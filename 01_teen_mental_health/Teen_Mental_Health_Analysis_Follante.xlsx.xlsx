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ria\OneDrive\Documents\Data Analyst Portfolio\"/>
    </mc:Choice>
  </mc:AlternateContent>
  <xr:revisionPtr revIDLastSave="0" documentId="13_ncr:1_{4E5CED26-961C-4911-8572-76BC12FF8244}" xr6:coauthVersionLast="47" xr6:coauthVersionMax="47" xr10:uidLastSave="{00000000-0000-0000-0000-000000000000}"/>
  <bookViews>
    <workbookView xWindow="-120" yWindow="-120" windowWidth="29040" windowHeight="15720" firstSheet="1" activeTab="2" xr2:uid="{EF1660A0-0BDC-4CC2-B6A0-5B6C2AC8A6D6}"/>
  </bookViews>
  <sheets>
    <sheet name="Teen_Mental_Health_Dataset" sheetId="2" r:id="rId1"/>
    <sheet name="Pivotchart" sheetId="3" r:id="rId2"/>
    <sheet name="Sheet2" sheetId="6" r:id="rId3"/>
    <sheet name="Dashboard" sheetId="7" r:id="rId4"/>
  </sheets>
  <definedNames>
    <definedName name="ExternalData_1" localSheetId="0" hidden="1">Teen_Mental_Health_Dataset!$A$1:$M$1201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" l="1"/>
  <c r="E4" i="7"/>
  <c r="C10" i="6"/>
  <c r="C11" i="6"/>
  <c r="C12" i="6"/>
  <c r="C13" i="6"/>
  <c r="C14" i="6"/>
  <c r="C15" i="6"/>
  <c r="C16" i="6"/>
  <c r="C2" i="6"/>
  <c r="C3" i="6"/>
  <c r="C4" i="6"/>
  <c r="C5" i="6"/>
  <c r="C6" i="6"/>
  <c r="S9" i="2"/>
  <c r="S8" i="2"/>
  <c r="S7" i="2"/>
  <c r="R9" i="2"/>
  <c r="R8" i="2"/>
  <c r="R7" i="2"/>
  <c r="Q7" i="2"/>
  <c r="Q8" i="2"/>
  <c r="Q9" i="2"/>
  <c r="Q3" i="2"/>
  <c r="Q4" i="2"/>
  <c r="Q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C0037C-9CF3-4EC1-8EAE-C6FACE79C5C1}" keepAlive="1" name="Query - Teen_Mental_Health_Dataset" description="Connection to the 'Teen_Mental_Health_Dataset' query in the workbook." type="5" refreshedVersion="8" background="1" saveData="1">
    <dbPr connection="Provider=Microsoft.Mashup.OleDb.1;Data Source=$Workbook$;Location=Teen_Mental_Health_Dataset;Extended Properties=&quot;&quot;" command="SELECT * FROM [Teen_Mental_Health_Dataset]"/>
  </connection>
</connections>
</file>

<file path=xl/sharedStrings.xml><?xml version="1.0" encoding="utf-8"?>
<sst xmlns="http://schemas.openxmlformats.org/spreadsheetml/2006/main" count="3681" uniqueCount="57">
  <si>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</si>
  <si>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</si>
  <si>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</si>
  <si>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</si>
  <si>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</si>
  <si>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</si>
  <si>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</si>
  <si>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</si>
  <si>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</si>
  <si>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</si>
  <si>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</si>
  <si>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</si>
  <si>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</si>
  <si>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</si>
  <si>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</si>
  <si>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</si>
  <si>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</si>
  <si>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</si>
  <si>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</si>
  <si>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</si>
  <si>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</si>
  <si>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age_group</t>
  </si>
  <si>
    <t>Platform</t>
  </si>
  <si>
    <t>Tiktok</t>
  </si>
  <si>
    <t>Avg Sleep Hours</t>
  </si>
  <si>
    <t>Low (&lt;3 Hours)</t>
  </si>
  <si>
    <t>Medium (&lt;3-6 Hours)</t>
  </si>
  <si>
    <t>High (&gt;6 Hours)</t>
  </si>
  <si>
    <t>Usage Level</t>
  </si>
  <si>
    <t>Row Labels</t>
  </si>
  <si>
    <t>Grand Total</t>
  </si>
  <si>
    <t>Average of addiction_level</t>
  </si>
  <si>
    <t>Column Labels</t>
  </si>
  <si>
    <t>Student_ID</t>
  </si>
  <si>
    <t>Risk_Label</t>
  </si>
  <si>
    <t>Moderate Risk</t>
  </si>
  <si>
    <t>High Risk</t>
  </si>
  <si>
    <t>Low Risk</t>
  </si>
  <si>
    <t>Age</t>
  </si>
  <si>
    <t>Age_Group</t>
  </si>
  <si>
    <t>Early Teen</t>
  </si>
  <si>
    <t>Mid Teen</t>
  </si>
  <si>
    <t>Late Teen</t>
  </si>
  <si>
    <t>Teen Mental Health &amp; Social Media Analysis</t>
  </si>
  <si>
    <t>Total Students</t>
  </si>
  <si>
    <t>Avg Addiction Level</t>
  </si>
  <si>
    <t>13-14</t>
  </si>
  <si>
    <t>15-16</t>
  </si>
  <si>
    <t>17-18</t>
  </si>
  <si>
    <t>19</t>
  </si>
  <si>
    <t>Average of stress_level</t>
  </si>
  <si>
    <t>Key Findings:</t>
  </si>
  <si>
    <t>* Males show higher addiction levels than females across all platforms</t>
  </si>
  <si>
    <t>* TikTok is associated with the highest addiction scores</t>
  </si>
  <si>
    <t>* "Both" platform users are surprisingly the least addicted</t>
  </si>
  <si>
    <t>* Stress levels peak at ages 13-14 and spike again at 19</t>
  </si>
  <si>
    <t>* Teens average only 6.4 hours of sleep — below the recommended 8-10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</si>
</sst>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theme="1"/>
      <name val="Aptos Narrow"/>
      <scheme val="minor"/>
    </font>
    <font>
      <sz val="30"/>
      <color theme="0"/>
      <name val="Aptos Narrow"/>
      <family val="2"/>
      <scheme val="minor"/>
    </font>
    <font>
      <b/>
      <sz val="16"/>
      <color theme="1"/>
      <name val="Aptos Narrow"/>
      <scheme val="minor"/>
    </font>
    <font>
      <sz val="24"/>
      <color theme="0"/>
      <name val="Aptos Narrow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[Teen_Mental_Health_Analysis_Follante.xlsx.xlsx]Pivotchart!PivotTable1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Addiction Level by Platform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Pivotchart!$A$5:$A$8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Pivotchart!$B$5:$B$8</c:f>
              <c:numCache>
                <c:formatCode>General</c:formatCode>
                <c:ptCount val="3"/>
                <c:pt idx="0">
                  <c:v>5.4550264550264549</c:v>
                </c:pt>
                <c:pt idx="1">
                  <c:v>5.4679802955665027</c:v>
                </c:pt>
                <c:pt idx="2">
                  <c:v>5.5336787564766841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5-4D48-8DDD-DB72B0600D5A}"/>
            </c:ext>
          </c:extLst>
        </c:ser>
        <c:ser>
          <c:idx val="1"/>
          <c:order val="1"/>
          <c:tx>
            <c:strRef>
              <c:f>Pivotchart!$C$3:$C$4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Pivotchart!$A$5:$A$8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Pivotchart!$C$5:$C$8</c:f>
              <c:numCache>
                <c:formatCode>General</c:formatCode>
                <c:ptCount val="3"/>
                <c:pt idx="0">
                  <c:v>5.5346534653465342</c:v>
                </c:pt>
                <c:pt idx="1">
                  <c:v>5.6923076923076925</c:v>
                </c:pt>
                <c:pt idx="2">
                  <c:v>5.692682926829268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AA5-4D48-8DDD-DB72B0600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676224"/>
        <c:axId val="2061677184"/>
      </c:barChart>
      <c:catAx>
        <c:axId val="206167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77184"/>
        <c:crosses val="autoZero"/>
        <c:auto val="1"/>
        <c:lblAlgn val="ctr"/>
        <c:lblOffset val="100"/>
        <c:noMultiLvlLbl val="0"/>
      </c:catAx>
      <c:valAx>
        <c:axId val="2061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[Teen_Mental_Health_Analysis_Follante.xlsx.xlsx]Pivotchart!PivotTable2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Stress Level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Pivotchart!$B$30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Pivotchart!$A$31:$A$35</c:f>
              <c:strCache>
                <c:ptCount val="4"/>
                <c:pt idx="0">
                  <c:v>13-14</c:v>
                </c:pt>
                <c:pt idx="1">
                  <c:v>15-16</c:v>
                </c:pt>
                <c:pt idx="2">
                  <c:v>17-18</c:v>
                </c:pt>
                <c:pt idx="3">
                  <c:v>19</c:v>
                </c:pt>
              </c:strCache>
            </c:strRef>
          </c:cat>
          <c:val>
            <c:numRef>
              <c:f>Pivotchart!$B$31:$B$35</c:f>
              <c:numCache>
                <c:formatCode>General</c:formatCode>
                <c:ptCount val="4"/>
                <c:pt idx="0">
                  <c:v>5.7705382436260626</c:v>
                </c:pt>
                <c:pt idx="1">
                  <c:v>5.2857142857142856</c:v>
                </c:pt>
                <c:pt idx="2">
                  <c:v>5.1871345029239766</c:v>
                </c:pt>
                <c:pt idx="3">
                  <c:v>5.6234567901234565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2-4FFF-B8ED-0158E2657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532032"/>
        <c:axId val="1423028448"/>
      </c:lineChart>
      <c:catAx>
        <c:axId val="129153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28448"/>
        <c:crosses val="autoZero"/>
        <c:auto val="1"/>
        <c:lblAlgn val="ctr"/>
        <c:lblOffset val="100"/>
        <c:noMultiLvlLbl val="0"/>
      </c:catAx>
      <c:valAx>
        <c:axId val="14230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3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[Teen_Mental_Health_Analysis_Follante.xlsx.xlsx]Pivotchart!PivotTable1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Addiction Level by Platform and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Pivotchart!$B$3:$B$4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Pivotchart!$A$5:$A$8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Pivotchart!$B$5:$B$8</c:f>
              <c:numCache>
                <c:formatCode>General</c:formatCode>
                <c:ptCount val="3"/>
                <c:pt idx="0">
                  <c:v>5.4550264550264549</c:v>
                </c:pt>
                <c:pt idx="1">
                  <c:v>5.4679802955665027</c:v>
                </c:pt>
                <c:pt idx="2">
                  <c:v>5.5336787564766841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3-448B-81B7-19458BA79612}"/>
            </c:ext>
          </c:extLst>
        </c:ser>
        <c:ser>
          <c:idx val="1"/>
          <c:order val="1"/>
          <c:tx>
            <c:strRef>
              <c:f>Pivotchart!$C$3:$C$4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Pivotchart!$A$5:$A$8</c:f>
              <c:strCache>
                <c:ptCount val="3"/>
                <c:pt idx="0">
                  <c:v>Both</c:v>
                </c:pt>
                <c:pt idx="1">
                  <c:v>Instagram</c:v>
                </c:pt>
                <c:pt idx="2">
                  <c:v>TikTok</c:v>
                </c:pt>
              </c:strCache>
            </c:strRef>
          </c:cat>
          <c:val>
            <c:numRef>
              <c:f>Pivotchart!$C$5:$C$8</c:f>
              <c:numCache>
                <c:formatCode>General</c:formatCode>
                <c:ptCount val="3"/>
                <c:pt idx="0">
                  <c:v>5.5346534653465342</c:v>
                </c:pt>
                <c:pt idx="1">
                  <c:v>5.6923076923076925</c:v>
                </c:pt>
                <c:pt idx="2">
                  <c:v>5.692682926829268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3-448B-81B7-19458BA79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1676224"/>
        <c:axId val="2061677184"/>
      </c:barChart>
      <c:catAx>
        <c:axId val="2061676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77184"/>
        <c:crosses val="autoZero"/>
        <c:auto val="1"/>
        <c:lblAlgn val="ctr"/>
        <c:lblOffset val="100"/>
        <c:noMultiLvlLbl val="0"/>
      </c:catAx>
      <c:valAx>
        <c:axId val="206167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67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[Teen_Mental_Health_Analysis_Follante.xlsx.xlsx]Pivotchart!PivotTable2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Stress Level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Pivotchart!$B$30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Pivotchart!$A$31:$A$35</c:f>
              <c:strCache>
                <c:ptCount val="4"/>
                <c:pt idx="0">
                  <c:v>13-14</c:v>
                </c:pt>
                <c:pt idx="1">
                  <c:v>15-16</c:v>
                </c:pt>
                <c:pt idx="2">
                  <c:v>17-18</c:v>
                </c:pt>
                <c:pt idx="3">
                  <c:v>19</c:v>
                </c:pt>
              </c:strCache>
            </c:strRef>
          </c:cat>
          <c:val>
            <c:numRef>
              <c:f>Pivotchart!$B$31:$B$35</c:f>
              <c:numCache>
                <c:formatCode>General</c:formatCode>
                <c:ptCount val="4"/>
                <c:pt idx="0">
                  <c:v>5.7705382436260626</c:v>
                </c:pt>
                <c:pt idx="1">
                  <c:v>5.2857142857142856</c:v>
                </c:pt>
                <c:pt idx="2">
                  <c:v>5.1871345029239766</c:v>
                </c:pt>
                <c:pt idx="3">
                  <c:v>5.6234567901234565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7-4655-BFAC-592489BC3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532032"/>
        <c:axId val="1423028448"/>
      </c:lineChart>
      <c:catAx>
        <c:axId val="129153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28448"/>
        <c:crosses val="autoZero"/>
        <c:auto val="1"/>
        <c:lblAlgn val="ctr"/>
        <c:lblOffset val="100"/>
        <c:noMultiLvlLbl val="0"/>
      </c:catAx>
      <c:valAx>
        <c:axId val="14230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53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71436</xdr:colOff>
      <xdr:row>3</xdr:row>
      <xdr:rowOff>161925</xdr:rowOff>
    </xdr:from>
    <xdr:to>
      <xdr:col>14</xdr:col>
      <xdr:colOff>676274</xdr:colOff>
      <xdr:row>23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D1FFB-0573-D2BB-C590-9AE0A5048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376237</xdr:colOff>
      <xdr:row>26</xdr:row>
      <xdr:rowOff>152400</xdr:rowOff>
    </xdr:from>
    <xdr:to>
      <xdr:col>11</xdr:col>
      <xdr:colOff>147637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D27834-EDB8-6902-DE00-08BD0673D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</xdr:rowOff>
    </xdr:from>
    <xdr:to>
      <xdr:col>4</xdr:col>
      <xdr:colOff>2580410</xdr:colOff>
      <xdr:row>28</xdr:row>
      <xdr:rowOff>124694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5878A5-FE08-4CB4-8730-5C4292785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598715</xdr:colOff>
      <xdr:row>6</xdr:row>
      <xdr:rowOff>176891</xdr:rowOff>
    </xdr:from>
    <xdr:to>
      <xdr:col>10</xdr:col>
      <xdr:colOff>898071</xdr:colOff>
      <xdr:row>28</xdr:row>
      <xdr:rowOff>122464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D4731-7183-4597-9D3E-4BD63D290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 Paolo Follante" refreshedDate="46165.333701504627" createdVersion="8" refreshedVersion="8" minRefreshableVersion="3" recordCount="1200" xr:uid="{1A1181A6-E958-409F-837F-214721CEA9D5}">
  <cacheSource type="worksheet">
    <worksheetSource name="Teen_Mental_Health_Dataset"/>
  </cacheSource>
  <cacheFields count="14">
    <cacheField name="age" numFmtId="0">
      <sharedItems containsSemiMixedTypes="0" containsString="0" containsNumber="1" containsInteger="1" minValue="13" maxValue="19"/>
    </cacheField>
    <cacheField name="gender" numFmtId="0">
      <sharedItems count="2">
        <s v="male"/>
        <s v="female"/>
      </sharedItems>
    </cacheField>
    <cacheField name="daily_social_media_hours" numFmtId="0">
      <sharedItems containsSemiMixedTypes="0" containsString="0" containsNumber="1" minValue="1" maxValue="8"/>
    </cacheField>
    <cacheField name="platform_usage" numFmtId="0">
      <sharedItems count="3">
        <s v="Instagram"/>
        <s v="TikTok"/>
        <s v="Both"/>
      </sharedItems>
    </cacheField>
    <cacheField name="sleep_hours" numFmtId="0">
      <sharedItems containsSemiMixedTypes="0" containsString="0" containsNumber="1" minValue="4" maxValue="9"/>
    </cacheField>
    <cacheField name="screen_time_before_sleep" numFmtId="0">
      <sharedItems containsSemiMixedTypes="0" containsString="0" containsNumber="1" minValue="0.5" maxValue="3"/>
    </cacheField>
    <cacheField name="academic_performance" numFmtId="0">
      <sharedItems containsSemiMixedTypes="0" containsString="0" containsNumber="1" minValue="2" maxValue="4"/>
    </cacheField>
    <cacheField name="physical_activity" numFmtId="0">
      <sharedItems containsSemiMixedTypes="0" containsString="0" containsNumber="1" minValue="0" maxValue="2"/>
    </cacheField>
    <cacheField name="social_interaction_level" numFmtId="0">
      <sharedItems/>
    </cacheField>
    <cacheField name="stress_level" numFmtId="0">
      <sharedItems containsSemiMixedTypes="0" containsString="0" containsNumber="1" containsInteger="1" minValue="1" maxValue="10"/>
    </cacheField>
    <cacheField name="anxiety_level" numFmtId="0">
      <sharedItems containsSemiMixedTypes="0" containsString="0" containsNumber="1" containsInteger="1" minValue="1" maxValue="10"/>
    </cacheField>
    <cacheField name="addiction_level" numFmtId="0">
      <sharedItems containsSemiMixedTypes="0" containsString="0" containsNumber="1" containsInteger="1" minValue="1" maxValue="10"/>
    </cacheField>
    <cacheField name="depression_label" numFmtId="0">
      <sharedItems containsSemiMixedTypes="0" containsString="0" containsNumber="1" containsInteger="1" minValue="0" maxValue="1"/>
    </cacheField>
    <cacheField name="age_group" numFmtId="0">
      <sharedItems count="4">
        <s v="13-14"/>
        <s v="19"/>
        <s v="17-18"/>
        <s v="15-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4"/>
    <x v="0"/>
    <n v="7.9"/>
    <x v="0"/>
    <n v="7.4"/>
    <n v="2.9"/>
    <n v="3.01"/>
    <n v="1.5"/>
    <s v="low"/>
    <n v="2"/>
    <n v="2"/>
    <n v="1"/>
    <n v="0"/>
    <x v="0"/>
  </r>
  <r>
    <n v="19"/>
    <x v="1"/>
    <n v="1.9"/>
    <x v="1"/>
    <n v="8"/>
    <n v="2.9"/>
    <n v="3.22"/>
    <n v="0.8"/>
    <s v="high"/>
    <n v="8"/>
    <n v="1"/>
    <n v="10"/>
    <n v="0"/>
    <x v="1"/>
  </r>
  <r>
    <n v="17"/>
    <x v="1"/>
    <n v="1.3"/>
    <x v="0"/>
    <n v="7.6"/>
    <n v="0.5"/>
    <n v="3.92"/>
    <n v="0"/>
    <s v="high"/>
    <n v="2"/>
    <n v="4"/>
    <n v="2"/>
    <n v="0"/>
    <x v="2"/>
  </r>
  <r>
    <n v="15"/>
    <x v="0"/>
    <n v="7.4"/>
    <x v="1"/>
    <n v="6.9"/>
    <n v="1.6"/>
    <n v="3.48"/>
    <n v="0.8"/>
    <s v="medium"/>
    <n v="1"/>
    <n v="7"/>
    <n v="9"/>
    <n v="0"/>
    <x v="3"/>
  </r>
  <r>
    <n v="15"/>
    <x v="1"/>
    <n v="4.7"/>
    <x v="2"/>
    <n v="4.9000000000000004"/>
    <n v="3"/>
    <n v="2.37"/>
    <n v="1.4"/>
    <s v="medium"/>
    <n v="3"/>
    <n v="5"/>
    <n v="2"/>
    <n v="0"/>
    <x v="3"/>
  </r>
  <r>
    <n v="19"/>
    <x v="1"/>
    <n v="7.4"/>
    <x v="2"/>
    <n v="4.4000000000000004"/>
    <n v="2.4"/>
    <n v="2.63"/>
    <n v="0.6"/>
    <s v="high"/>
    <n v="3"/>
    <n v="5"/>
    <n v="7"/>
    <n v="0"/>
    <x v="1"/>
  </r>
  <r>
    <n v="18"/>
    <x v="1"/>
    <n v="2.5"/>
    <x v="0"/>
    <n v="6.4"/>
    <n v="2.4"/>
    <n v="2.63"/>
    <n v="0.7"/>
    <s v="low"/>
    <n v="2"/>
    <n v="2"/>
    <n v="5"/>
    <n v="0"/>
    <x v="2"/>
  </r>
  <r>
    <n v="16"/>
    <x v="0"/>
    <n v="4"/>
    <x v="2"/>
    <n v="4.2"/>
    <n v="0.5"/>
    <n v="2.4"/>
    <n v="1.3"/>
    <s v="low"/>
    <n v="6"/>
    <n v="10"/>
    <n v="5"/>
    <n v="0"/>
    <x v="3"/>
  </r>
  <r>
    <n v="19"/>
    <x v="1"/>
    <n v="3.3"/>
    <x v="1"/>
    <n v="5"/>
    <n v="2.1"/>
    <n v="2.04"/>
    <n v="0.9"/>
    <s v="high"/>
    <n v="1"/>
    <n v="10"/>
    <n v="9"/>
    <n v="0"/>
    <x v="1"/>
  </r>
  <r>
    <n v="15"/>
    <x v="0"/>
    <n v="1.9"/>
    <x v="1"/>
    <n v="4.9000000000000004"/>
    <n v="1.5"/>
    <n v="3.77"/>
    <n v="1.1000000000000001"/>
    <s v="high"/>
    <n v="1"/>
    <n v="1"/>
    <n v="4"/>
    <n v="0"/>
    <x v="3"/>
  </r>
  <r>
    <n v="16"/>
    <x v="0"/>
    <n v="7.2"/>
    <x v="2"/>
    <n v="5.8"/>
    <n v="2.9"/>
    <n v="3.16"/>
    <n v="1.2"/>
    <s v="medium"/>
    <n v="5"/>
    <n v="8"/>
    <n v="9"/>
    <n v="0"/>
    <x v="3"/>
  </r>
  <r>
    <n v="13"/>
    <x v="0"/>
    <n v="4.9000000000000004"/>
    <x v="0"/>
    <n v="4.7"/>
    <n v="2.5"/>
    <n v="3.92"/>
    <n v="1.2"/>
    <s v="low"/>
    <n v="1"/>
    <n v="10"/>
    <n v="8"/>
    <n v="0"/>
    <x v="0"/>
  </r>
  <r>
    <n v="16"/>
    <x v="0"/>
    <n v="6.2"/>
    <x v="2"/>
    <n v="7.2"/>
    <n v="2.6"/>
    <n v="2.02"/>
    <n v="1.7"/>
    <s v="medium"/>
    <n v="5"/>
    <n v="7"/>
    <n v="6"/>
    <n v="0"/>
    <x v="3"/>
  </r>
  <r>
    <n v="17"/>
    <x v="1"/>
    <n v="6.8"/>
    <x v="1"/>
    <n v="5.7"/>
    <n v="1.1000000000000001"/>
    <n v="3.29"/>
    <n v="1.3"/>
    <s v="medium"/>
    <n v="1"/>
    <n v="10"/>
    <n v="10"/>
    <n v="0"/>
    <x v="2"/>
  </r>
  <r>
    <n v="15"/>
    <x v="0"/>
    <n v="5.7"/>
    <x v="1"/>
    <n v="5.9"/>
    <n v="0.8"/>
    <n v="3.5"/>
    <n v="0.7"/>
    <s v="low"/>
    <n v="1"/>
    <n v="9"/>
    <n v="1"/>
    <n v="0"/>
    <x v="3"/>
  </r>
  <r>
    <n v="14"/>
    <x v="1"/>
    <n v="3.6"/>
    <x v="2"/>
    <n v="5.3"/>
    <n v="0.6"/>
    <n v="2.99"/>
    <n v="0.3"/>
    <s v="high"/>
    <n v="4"/>
    <n v="10"/>
    <n v="2"/>
    <n v="0"/>
    <x v="0"/>
  </r>
  <r>
    <n v="13"/>
    <x v="0"/>
    <n v="1.5"/>
    <x v="2"/>
    <n v="4.2"/>
    <n v="1.4"/>
    <n v="2.59"/>
    <n v="0.5"/>
    <s v="high"/>
    <n v="4"/>
    <n v="5"/>
    <n v="8"/>
    <n v="0"/>
    <x v="0"/>
  </r>
  <r>
    <n v="16"/>
    <x v="0"/>
    <n v="3.1"/>
    <x v="2"/>
    <n v="6.1"/>
    <n v="0.8"/>
    <n v="2.11"/>
    <n v="1.9"/>
    <s v="high"/>
    <n v="10"/>
    <n v="7"/>
    <n v="10"/>
    <n v="0"/>
    <x v="3"/>
  </r>
  <r>
    <n v="16"/>
    <x v="1"/>
    <n v="6.7"/>
    <x v="2"/>
    <n v="6.8"/>
    <n v="1.9"/>
    <n v="3.08"/>
    <n v="1.4"/>
    <s v="high"/>
    <n v="10"/>
    <n v="9"/>
    <n v="1"/>
    <n v="0"/>
    <x v="3"/>
  </r>
  <r>
    <n v="14"/>
    <x v="1"/>
    <n v="1.2"/>
    <x v="0"/>
    <n v="7.6"/>
    <n v="1"/>
    <n v="3.85"/>
    <n v="0.8"/>
    <s v="high"/>
    <n v="8"/>
    <n v="4"/>
    <n v="6"/>
    <n v="0"/>
    <x v="0"/>
  </r>
  <r>
    <n v="16"/>
    <x v="0"/>
    <n v="3.4"/>
    <x v="1"/>
    <n v="4.5999999999999996"/>
    <n v="2.1"/>
    <n v="2.2400000000000002"/>
    <n v="0.4"/>
    <s v="high"/>
    <n v="4"/>
    <n v="1"/>
    <n v="3"/>
    <n v="0"/>
    <x v="3"/>
  </r>
  <r>
    <n v="18"/>
    <x v="0"/>
    <n v="4.0999999999999996"/>
    <x v="2"/>
    <n v="7.4"/>
    <n v="2.4"/>
    <n v="2.38"/>
    <n v="1.5"/>
    <s v="medium"/>
    <n v="8"/>
    <n v="4"/>
    <n v="9"/>
    <n v="0"/>
    <x v="2"/>
  </r>
  <r>
    <n v="18"/>
    <x v="0"/>
    <n v="5.3"/>
    <x v="0"/>
    <n v="4.9000000000000004"/>
    <n v="1.2"/>
    <n v="3.69"/>
    <n v="1.2"/>
    <s v="low"/>
    <n v="5"/>
    <n v="4"/>
    <n v="5"/>
    <n v="0"/>
    <x v="2"/>
  </r>
  <r>
    <n v="18"/>
    <x v="1"/>
    <n v="2.2999999999999998"/>
    <x v="1"/>
    <n v="7.6"/>
    <n v="0.5"/>
    <n v="2.96"/>
    <n v="1.7"/>
    <s v="medium"/>
    <n v="9"/>
    <n v="8"/>
    <n v="7"/>
    <n v="0"/>
    <x v="2"/>
  </r>
  <r>
    <n v="18"/>
    <x v="1"/>
    <n v="2.4"/>
    <x v="2"/>
    <n v="6.7"/>
    <n v="1.9"/>
    <n v="2.5299999999999998"/>
    <n v="0.4"/>
    <s v="high"/>
    <n v="8"/>
    <n v="8"/>
    <n v="2"/>
    <n v="0"/>
    <x v="2"/>
  </r>
  <r>
    <n v="13"/>
    <x v="1"/>
    <n v="1.5"/>
    <x v="2"/>
    <n v="7.2"/>
    <n v="2.5"/>
    <n v="2.15"/>
    <n v="1.3"/>
    <s v="medium"/>
    <n v="4"/>
    <n v="6"/>
    <n v="2"/>
    <n v="0"/>
    <x v="0"/>
  </r>
  <r>
    <n v="14"/>
    <x v="1"/>
    <n v="5.7"/>
    <x v="2"/>
    <n v="8.6999999999999993"/>
    <n v="0.6"/>
    <n v="2.64"/>
    <n v="0.1"/>
    <s v="low"/>
    <n v="8"/>
    <n v="9"/>
    <n v="4"/>
    <n v="0"/>
    <x v="0"/>
  </r>
  <r>
    <n v="19"/>
    <x v="0"/>
    <n v="2"/>
    <x v="1"/>
    <n v="7.1"/>
    <n v="0.9"/>
    <n v="3.26"/>
    <n v="1.6"/>
    <s v="high"/>
    <n v="7"/>
    <n v="5"/>
    <n v="9"/>
    <n v="0"/>
    <x v="1"/>
  </r>
  <r>
    <n v="14"/>
    <x v="0"/>
    <n v="2.5"/>
    <x v="1"/>
    <n v="5.6"/>
    <n v="2.9"/>
    <n v="2.2400000000000002"/>
    <n v="0.5"/>
    <s v="low"/>
    <n v="3"/>
    <n v="9"/>
    <n v="5"/>
    <n v="0"/>
    <x v="0"/>
  </r>
  <r>
    <n v="16"/>
    <x v="1"/>
    <n v="3.4"/>
    <x v="1"/>
    <n v="7.8"/>
    <n v="2.8"/>
    <n v="3.83"/>
    <n v="1.8"/>
    <s v="medium"/>
    <n v="6"/>
    <n v="6"/>
    <n v="4"/>
    <n v="0"/>
    <x v="3"/>
  </r>
  <r>
    <n v="13"/>
    <x v="0"/>
    <n v="6.6"/>
    <x v="1"/>
    <n v="5.7"/>
    <n v="2.5"/>
    <n v="2.67"/>
    <n v="1.1000000000000001"/>
    <s v="low"/>
    <n v="2"/>
    <n v="1"/>
    <n v="10"/>
    <n v="0"/>
    <x v="0"/>
  </r>
  <r>
    <n v="13"/>
    <x v="1"/>
    <n v="1.6"/>
    <x v="0"/>
    <n v="8.6999999999999993"/>
    <n v="2.5"/>
    <n v="3.69"/>
    <n v="0.4"/>
    <s v="high"/>
    <n v="8"/>
    <n v="2"/>
    <n v="9"/>
    <n v="0"/>
    <x v="0"/>
  </r>
  <r>
    <n v="16"/>
    <x v="0"/>
    <n v="2.7"/>
    <x v="0"/>
    <n v="4.2"/>
    <n v="2.4"/>
    <n v="3.05"/>
    <n v="0.2"/>
    <s v="high"/>
    <n v="1"/>
    <n v="8"/>
    <n v="4"/>
    <n v="0"/>
    <x v="3"/>
  </r>
  <r>
    <n v="14"/>
    <x v="0"/>
    <n v="4.0999999999999996"/>
    <x v="1"/>
    <n v="8"/>
    <n v="3"/>
    <n v="2.31"/>
    <n v="0.8"/>
    <s v="low"/>
    <n v="8"/>
    <n v="4"/>
    <n v="1"/>
    <n v="0"/>
    <x v="0"/>
  </r>
  <r>
    <n v="13"/>
    <x v="1"/>
    <n v="6.6"/>
    <x v="1"/>
    <n v="7.3"/>
    <n v="1.6"/>
    <n v="3.27"/>
    <n v="0.1"/>
    <s v="medium"/>
    <n v="10"/>
    <n v="2"/>
    <n v="1"/>
    <n v="0"/>
    <x v="0"/>
  </r>
  <r>
    <n v="17"/>
    <x v="1"/>
    <n v="5"/>
    <x v="2"/>
    <n v="4.9000000000000004"/>
    <n v="2.1"/>
    <n v="2.0099999999999998"/>
    <n v="1"/>
    <s v="low"/>
    <n v="9"/>
    <n v="4"/>
    <n v="9"/>
    <n v="0"/>
    <x v="2"/>
  </r>
  <r>
    <n v="19"/>
    <x v="1"/>
    <n v="4.5999999999999996"/>
    <x v="0"/>
    <n v="5.5"/>
    <n v="2.5"/>
    <n v="3.96"/>
    <n v="0.8"/>
    <s v="high"/>
    <n v="3"/>
    <n v="10"/>
    <n v="7"/>
    <n v="0"/>
    <x v="1"/>
  </r>
  <r>
    <n v="17"/>
    <x v="1"/>
    <n v="4.8"/>
    <x v="0"/>
    <n v="4.4000000000000004"/>
    <n v="1.3"/>
    <n v="2.02"/>
    <n v="0.5"/>
    <s v="low"/>
    <n v="5"/>
    <n v="10"/>
    <n v="6"/>
    <n v="0"/>
    <x v="2"/>
  </r>
  <r>
    <n v="17"/>
    <x v="1"/>
    <n v="1.3"/>
    <x v="1"/>
    <n v="8"/>
    <n v="2"/>
    <n v="2.84"/>
    <n v="1.8"/>
    <s v="high"/>
    <n v="1"/>
    <n v="7"/>
    <n v="8"/>
    <n v="0"/>
    <x v="2"/>
  </r>
  <r>
    <n v="17"/>
    <x v="1"/>
    <n v="6.3"/>
    <x v="0"/>
    <n v="4"/>
    <n v="1"/>
    <n v="2.4300000000000002"/>
    <n v="1.2"/>
    <s v="high"/>
    <n v="1"/>
    <n v="10"/>
    <n v="9"/>
    <n v="0"/>
    <x v="2"/>
  </r>
  <r>
    <n v="14"/>
    <x v="0"/>
    <n v="6.4"/>
    <x v="0"/>
    <n v="5.7"/>
    <n v="0.9"/>
    <n v="2.06"/>
    <n v="1.8"/>
    <s v="high"/>
    <n v="10"/>
    <n v="4"/>
    <n v="2"/>
    <n v="0"/>
    <x v="0"/>
  </r>
  <r>
    <n v="19"/>
    <x v="0"/>
    <n v="1.6"/>
    <x v="0"/>
    <n v="8.6"/>
    <n v="2.4"/>
    <n v="3.81"/>
    <n v="0.4"/>
    <s v="low"/>
    <n v="10"/>
    <n v="4"/>
    <n v="1"/>
    <n v="0"/>
    <x v="1"/>
  </r>
  <r>
    <n v="14"/>
    <x v="1"/>
    <n v="7.3"/>
    <x v="0"/>
    <n v="7.7"/>
    <n v="1.4"/>
    <n v="3.42"/>
    <n v="0.3"/>
    <s v="medium"/>
    <n v="6"/>
    <n v="1"/>
    <n v="8"/>
    <n v="0"/>
    <x v="0"/>
  </r>
  <r>
    <n v="15"/>
    <x v="0"/>
    <n v="4"/>
    <x v="2"/>
    <n v="8.8000000000000007"/>
    <n v="1.3"/>
    <n v="3.59"/>
    <n v="1.9"/>
    <s v="medium"/>
    <n v="10"/>
    <n v="6"/>
    <n v="10"/>
    <n v="0"/>
    <x v="3"/>
  </r>
  <r>
    <n v="14"/>
    <x v="0"/>
    <n v="5.2"/>
    <x v="2"/>
    <n v="4.0999999999999996"/>
    <n v="2.1"/>
    <n v="3.07"/>
    <n v="0.2"/>
    <s v="medium"/>
    <n v="9"/>
    <n v="3"/>
    <n v="8"/>
    <n v="0"/>
    <x v="0"/>
  </r>
  <r>
    <n v="14"/>
    <x v="1"/>
    <n v="4.5"/>
    <x v="1"/>
    <n v="4.8"/>
    <n v="0.9"/>
    <n v="2.2200000000000002"/>
    <n v="0.8"/>
    <s v="low"/>
    <n v="1"/>
    <n v="4"/>
    <n v="10"/>
    <n v="0"/>
    <x v="0"/>
  </r>
  <r>
    <n v="18"/>
    <x v="0"/>
    <n v="6.8"/>
    <x v="1"/>
    <n v="8.6"/>
    <n v="1.1000000000000001"/>
    <n v="2.36"/>
    <n v="1.6"/>
    <s v="high"/>
    <n v="1"/>
    <n v="10"/>
    <n v="10"/>
    <n v="0"/>
    <x v="2"/>
  </r>
  <r>
    <n v="13"/>
    <x v="1"/>
    <n v="3.5"/>
    <x v="0"/>
    <n v="5.0999999999999996"/>
    <n v="1.1000000000000001"/>
    <n v="2.27"/>
    <n v="1.8"/>
    <s v="medium"/>
    <n v="2"/>
    <n v="5"/>
    <n v="6"/>
    <n v="0"/>
    <x v="0"/>
  </r>
  <r>
    <n v="16"/>
    <x v="0"/>
    <n v="2.2999999999999998"/>
    <x v="1"/>
    <n v="6.3"/>
    <n v="3"/>
    <n v="3.24"/>
    <n v="1.9"/>
    <s v="medium"/>
    <n v="4"/>
    <n v="4"/>
    <n v="9"/>
    <n v="0"/>
    <x v="3"/>
  </r>
  <r>
    <n v="14"/>
    <x v="0"/>
    <n v="1.2"/>
    <x v="0"/>
    <n v="8.5"/>
    <n v="1.8"/>
    <n v="3.65"/>
    <n v="1.8"/>
    <s v="high"/>
    <n v="5"/>
    <n v="10"/>
    <n v="10"/>
    <n v="0"/>
    <x v="0"/>
  </r>
  <r>
    <n v="13"/>
    <x v="0"/>
    <n v="6.2"/>
    <x v="2"/>
    <n v="7.1"/>
    <n v="2.2000000000000002"/>
    <n v="3.43"/>
    <n v="0.2"/>
    <s v="medium"/>
    <n v="5"/>
    <n v="2"/>
    <n v="2"/>
    <n v="0"/>
    <x v="0"/>
  </r>
  <r>
    <n v="18"/>
    <x v="0"/>
    <n v="4.5"/>
    <x v="1"/>
    <n v="4.0999999999999996"/>
    <n v="1.9"/>
    <n v="3.42"/>
    <n v="0.1"/>
    <s v="medium"/>
    <n v="6"/>
    <n v="7"/>
    <n v="8"/>
    <n v="0"/>
    <x v="2"/>
  </r>
  <r>
    <n v="18"/>
    <x v="0"/>
    <n v="2.9"/>
    <x v="0"/>
    <n v="4.5"/>
    <n v="2.5"/>
    <n v="3.16"/>
    <n v="1.3"/>
    <s v="low"/>
    <n v="3"/>
    <n v="7"/>
    <n v="8"/>
    <n v="0"/>
    <x v="2"/>
  </r>
  <r>
    <n v="13"/>
    <x v="1"/>
    <n v="5.8"/>
    <x v="1"/>
    <n v="8.5"/>
    <n v="2.2999999999999998"/>
    <n v="3.3"/>
    <n v="1.9"/>
    <s v="high"/>
    <n v="1"/>
    <n v="1"/>
    <n v="5"/>
    <n v="0"/>
    <x v="0"/>
  </r>
  <r>
    <n v="18"/>
    <x v="0"/>
    <n v="6.8"/>
    <x v="0"/>
    <n v="6.5"/>
    <n v="2.7"/>
    <n v="2.97"/>
    <n v="1.9"/>
    <s v="low"/>
    <n v="4"/>
    <n v="4"/>
    <n v="5"/>
    <n v="0"/>
    <x v="2"/>
  </r>
  <r>
    <n v="15"/>
    <x v="1"/>
    <n v="7.4"/>
    <x v="0"/>
    <n v="8.6"/>
    <n v="0.9"/>
    <n v="2.2999999999999998"/>
    <n v="0"/>
    <s v="low"/>
    <n v="1"/>
    <n v="5"/>
    <n v="3"/>
    <n v="0"/>
    <x v="3"/>
  </r>
  <r>
    <n v="18"/>
    <x v="0"/>
    <n v="4.5"/>
    <x v="1"/>
    <n v="5"/>
    <n v="2.5"/>
    <n v="2.65"/>
    <n v="0.7"/>
    <s v="medium"/>
    <n v="8"/>
    <n v="9"/>
    <n v="1"/>
    <n v="0"/>
    <x v="2"/>
  </r>
  <r>
    <n v="16"/>
    <x v="0"/>
    <n v="6.4"/>
    <x v="1"/>
    <n v="5.3"/>
    <n v="2.4"/>
    <n v="2.0299999999999998"/>
    <n v="1.7"/>
    <s v="medium"/>
    <n v="7"/>
    <n v="5"/>
    <n v="10"/>
    <n v="0"/>
    <x v="3"/>
  </r>
  <r>
    <n v="13"/>
    <x v="0"/>
    <n v="7.3"/>
    <x v="2"/>
    <n v="4.2"/>
    <n v="1.3"/>
    <n v="2.16"/>
    <n v="1"/>
    <s v="high"/>
    <n v="4"/>
    <n v="5"/>
    <n v="2"/>
    <n v="0"/>
    <x v="0"/>
  </r>
  <r>
    <n v="17"/>
    <x v="1"/>
    <n v="7.1"/>
    <x v="0"/>
    <n v="5.6"/>
    <n v="0.6"/>
    <n v="3.07"/>
    <n v="1"/>
    <s v="medium"/>
    <n v="1"/>
    <n v="3"/>
    <n v="7"/>
    <n v="0"/>
    <x v="2"/>
  </r>
  <r>
    <n v="18"/>
    <x v="0"/>
    <n v="1.6"/>
    <x v="1"/>
    <n v="5.0999999999999996"/>
    <n v="2.7"/>
    <n v="3.57"/>
    <n v="0.8"/>
    <s v="high"/>
    <n v="3"/>
    <n v="9"/>
    <n v="7"/>
    <n v="0"/>
    <x v="2"/>
  </r>
  <r>
    <n v="15"/>
    <x v="1"/>
    <n v="1.5"/>
    <x v="0"/>
    <n v="4.7"/>
    <n v="1"/>
    <n v="3.82"/>
    <n v="0.6"/>
    <s v="medium"/>
    <n v="6"/>
    <n v="1"/>
    <n v="4"/>
    <n v="0"/>
    <x v="3"/>
  </r>
  <r>
    <n v="13"/>
    <x v="0"/>
    <n v="4.3"/>
    <x v="2"/>
    <n v="5.8"/>
    <n v="0.7"/>
    <n v="3.15"/>
    <n v="0.1"/>
    <s v="medium"/>
    <n v="7"/>
    <n v="2"/>
    <n v="1"/>
    <n v="0"/>
    <x v="0"/>
  </r>
  <r>
    <n v="17"/>
    <x v="0"/>
    <n v="2.5"/>
    <x v="2"/>
    <n v="6.7"/>
    <n v="2"/>
    <n v="2.56"/>
    <n v="1.7"/>
    <s v="high"/>
    <n v="5"/>
    <n v="7"/>
    <n v="5"/>
    <n v="0"/>
    <x v="2"/>
  </r>
  <r>
    <n v="19"/>
    <x v="1"/>
    <n v="7.9"/>
    <x v="1"/>
    <n v="5.0999999999999996"/>
    <n v="1.7"/>
    <n v="2.8"/>
    <n v="0.8"/>
    <s v="low"/>
    <n v="6"/>
    <n v="1"/>
    <n v="8"/>
    <n v="0"/>
    <x v="1"/>
  </r>
  <r>
    <n v="17"/>
    <x v="0"/>
    <n v="2.7"/>
    <x v="0"/>
    <n v="8"/>
    <n v="2.6"/>
    <n v="3.53"/>
    <n v="1.9"/>
    <s v="high"/>
    <n v="1"/>
    <n v="8"/>
    <n v="7"/>
    <n v="0"/>
    <x v="2"/>
  </r>
  <r>
    <n v="13"/>
    <x v="0"/>
    <n v="3.1"/>
    <x v="1"/>
    <n v="8.1999999999999993"/>
    <n v="1.5"/>
    <n v="2.4500000000000002"/>
    <n v="0.3"/>
    <s v="low"/>
    <n v="5"/>
    <n v="8"/>
    <n v="6"/>
    <n v="0"/>
    <x v="0"/>
  </r>
  <r>
    <n v="17"/>
    <x v="0"/>
    <n v="5.8"/>
    <x v="2"/>
    <n v="7.6"/>
    <n v="0.7"/>
    <n v="2.83"/>
    <n v="1"/>
    <s v="medium"/>
    <n v="7"/>
    <n v="6"/>
    <n v="8"/>
    <n v="0"/>
    <x v="2"/>
  </r>
  <r>
    <n v="14"/>
    <x v="1"/>
    <n v="3.9"/>
    <x v="2"/>
    <n v="7"/>
    <n v="2.8"/>
    <n v="2.8"/>
    <n v="0.1"/>
    <s v="low"/>
    <n v="8"/>
    <n v="2"/>
    <n v="8"/>
    <n v="0"/>
    <x v="0"/>
  </r>
  <r>
    <n v="15"/>
    <x v="0"/>
    <n v="7.5"/>
    <x v="2"/>
    <n v="7"/>
    <n v="0.9"/>
    <n v="3.48"/>
    <n v="1.1000000000000001"/>
    <s v="high"/>
    <n v="2"/>
    <n v="2"/>
    <n v="6"/>
    <n v="0"/>
    <x v="3"/>
  </r>
  <r>
    <n v="14"/>
    <x v="0"/>
    <n v="5.2"/>
    <x v="2"/>
    <n v="6.7"/>
    <n v="2"/>
    <n v="3.48"/>
    <n v="1"/>
    <s v="medium"/>
    <n v="2"/>
    <n v="1"/>
    <n v="5"/>
    <n v="0"/>
    <x v="0"/>
  </r>
  <r>
    <n v="16"/>
    <x v="1"/>
    <n v="3.1"/>
    <x v="1"/>
    <n v="5"/>
    <n v="1.1000000000000001"/>
    <n v="2.73"/>
    <n v="1.6"/>
    <s v="low"/>
    <n v="2"/>
    <n v="8"/>
    <n v="1"/>
    <n v="0"/>
    <x v="3"/>
  </r>
  <r>
    <n v="16"/>
    <x v="1"/>
    <n v="2"/>
    <x v="0"/>
    <n v="8.6999999999999993"/>
    <n v="1.2"/>
    <n v="3"/>
    <n v="0"/>
    <s v="low"/>
    <n v="8"/>
    <n v="8"/>
    <n v="4"/>
    <n v="0"/>
    <x v="3"/>
  </r>
  <r>
    <n v="14"/>
    <x v="0"/>
    <n v="2.7"/>
    <x v="0"/>
    <n v="8.4"/>
    <n v="1.3"/>
    <n v="2.0099999999999998"/>
    <n v="0.6"/>
    <s v="low"/>
    <n v="6"/>
    <n v="3"/>
    <n v="8"/>
    <n v="0"/>
    <x v="0"/>
  </r>
  <r>
    <n v="14"/>
    <x v="0"/>
    <n v="1.5"/>
    <x v="2"/>
    <n v="4.3"/>
    <n v="2.1"/>
    <n v="3.9"/>
    <n v="1.5"/>
    <s v="low"/>
    <n v="10"/>
    <n v="2"/>
    <n v="4"/>
    <n v="0"/>
    <x v="0"/>
  </r>
  <r>
    <n v="17"/>
    <x v="1"/>
    <n v="6.9"/>
    <x v="0"/>
    <n v="8.1999999999999993"/>
    <n v="0.8"/>
    <n v="2.36"/>
    <n v="0"/>
    <s v="medium"/>
    <n v="10"/>
    <n v="10"/>
    <n v="7"/>
    <n v="0"/>
    <x v="2"/>
  </r>
  <r>
    <n v="13"/>
    <x v="0"/>
    <n v="1.1000000000000001"/>
    <x v="1"/>
    <n v="7.1"/>
    <n v="1.8"/>
    <n v="2.5499999999999998"/>
    <n v="0.8"/>
    <s v="high"/>
    <n v="5"/>
    <n v="5"/>
    <n v="10"/>
    <n v="0"/>
    <x v="0"/>
  </r>
  <r>
    <n v="13"/>
    <x v="0"/>
    <n v="3.4"/>
    <x v="1"/>
    <n v="4.4000000000000004"/>
    <n v="0.6"/>
    <n v="3.41"/>
    <n v="0.2"/>
    <s v="low"/>
    <n v="8"/>
    <n v="6"/>
    <n v="3"/>
    <n v="0"/>
    <x v="0"/>
  </r>
  <r>
    <n v="15"/>
    <x v="0"/>
    <n v="6.7"/>
    <x v="2"/>
    <n v="4.5"/>
    <n v="2.1"/>
    <n v="3.71"/>
    <n v="1.3"/>
    <s v="high"/>
    <n v="3"/>
    <n v="3"/>
    <n v="3"/>
    <n v="0"/>
    <x v="3"/>
  </r>
  <r>
    <n v="18"/>
    <x v="0"/>
    <n v="1.1000000000000001"/>
    <x v="2"/>
    <n v="7.2"/>
    <n v="1"/>
    <n v="3.13"/>
    <n v="0.6"/>
    <s v="medium"/>
    <n v="2"/>
    <n v="1"/>
    <n v="4"/>
    <n v="0"/>
    <x v="2"/>
  </r>
  <r>
    <n v="18"/>
    <x v="1"/>
    <n v="7.4"/>
    <x v="0"/>
    <n v="7.5"/>
    <n v="2.2999999999999998"/>
    <n v="2.39"/>
    <n v="0.9"/>
    <s v="high"/>
    <n v="4"/>
    <n v="1"/>
    <n v="4"/>
    <n v="0"/>
    <x v="2"/>
  </r>
  <r>
    <n v="19"/>
    <x v="1"/>
    <n v="4.8"/>
    <x v="1"/>
    <n v="6"/>
    <n v="1.5"/>
    <n v="2.61"/>
    <n v="1.2"/>
    <s v="high"/>
    <n v="2"/>
    <n v="2"/>
    <n v="6"/>
    <n v="0"/>
    <x v="1"/>
  </r>
  <r>
    <n v="14"/>
    <x v="0"/>
    <n v="1.2"/>
    <x v="2"/>
    <n v="5.2"/>
    <n v="2.2000000000000002"/>
    <n v="2.19"/>
    <n v="1.9"/>
    <s v="medium"/>
    <n v="9"/>
    <n v="9"/>
    <n v="4"/>
    <n v="0"/>
    <x v="0"/>
  </r>
  <r>
    <n v="13"/>
    <x v="0"/>
    <n v="7.4"/>
    <x v="0"/>
    <n v="5.6"/>
    <n v="1.4"/>
    <n v="2.95"/>
    <n v="1.7"/>
    <s v="high"/>
    <n v="8"/>
    <n v="5"/>
    <n v="5"/>
    <n v="0"/>
    <x v="0"/>
  </r>
  <r>
    <n v="16"/>
    <x v="1"/>
    <n v="2.6"/>
    <x v="2"/>
    <n v="8.6"/>
    <n v="1.3"/>
    <n v="3.64"/>
    <n v="1.6"/>
    <s v="high"/>
    <n v="5"/>
    <n v="3"/>
    <n v="1"/>
    <n v="0"/>
    <x v="3"/>
  </r>
  <r>
    <n v="17"/>
    <x v="1"/>
    <n v="5"/>
    <x v="2"/>
    <n v="9"/>
    <n v="2.5"/>
    <n v="3.4"/>
    <n v="0.9"/>
    <s v="high"/>
    <n v="8"/>
    <n v="10"/>
    <n v="5"/>
    <n v="0"/>
    <x v="2"/>
  </r>
  <r>
    <n v="18"/>
    <x v="0"/>
    <n v="7.5"/>
    <x v="0"/>
    <n v="7.4"/>
    <n v="1.8"/>
    <n v="3.47"/>
    <n v="0"/>
    <s v="low"/>
    <n v="9"/>
    <n v="4"/>
    <n v="2"/>
    <n v="0"/>
    <x v="2"/>
  </r>
  <r>
    <n v="17"/>
    <x v="1"/>
    <n v="5.4"/>
    <x v="2"/>
    <n v="5.7"/>
    <n v="2.5"/>
    <n v="3.13"/>
    <n v="1.9"/>
    <s v="medium"/>
    <n v="5"/>
    <n v="10"/>
    <n v="3"/>
    <n v="0"/>
    <x v="2"/>
  </r>
  <r>
    <n v="17"/>
    <x v="1"/>
    <n v="5.6"/>
    <x v="0"/>
    <n v="5.3"/>
    <n v="1.7"/>
    <n v="2.77"/>
    <n v="0.9"/>
    <s v="medium"/>
    <n v="8"/>
    <n v="4"/>
    <n v="8"/>
    <n v="0"/>
    <x v="2"/>
  </r>
  <r>
    <n v="18"/>
    <x v="0"/>
    <n v="6.2"/>
    <x v="0"/>
    <n v="4.0999999999999996"/>
    <n v="2.8"/>
    <n v="3.41"/>
    <n v="1.1000000000000001"/>
    <s v="medium"/>
    <n v="7"/>
    <n v="8"/>
    <n v="1"/>
    <n v="1"/>
    <x v="2"/>
  </r>
  <r>
    <n v="17"/>
    <x v="1"/>
    <n v="4.7"/>
    <x v="0"/>
    <n v="4.7"/>
    <n v="2.4"/>
    <n v="3.94"/>
    <n v="0"/>
    <s v="medium"/>
    <n v="10"/>
    <n v="5"/>
    <n v="8"/>
    <n v="0"/>
    <x v="2"/>
  </r>
  <r>
    <n v="18"/>
    <x v="1"/>
    <n v="4"/>
    <x v="0"/>
    <n v="4.5999999999999996"/>
    <n v="2.2000000000000002"/>
    <n v="3.7"/>
    <n v="0.6"/>
    <s v="medium"/>
    <n v="4"/>
    <n v="1"/>
    <n v="4"/>
    <n v="0"/>
    <x v="2"/>
  </r>
  <r>
    <n v="18"/>
    <x v="0"/>
    <n v="6.2"/>
    <x v="1"/>
    <n v="8.6"/>
    <n v="1.5"/>
    <n v="3.22"/>
    <n v="1.6"/>
    <s v="low"/>
    <n v="4"/>
    <n v="5"/>
    <n v="7"/>
    <n v="0"/>
    <x v="2"/>
  </r>
  <r>
    <n v="17"/>
    <x v="1"/>
    <n v="5.6"/>
    <x v="1"/>
    <n v="6.8"/>
    <n v="2"/>
    <n v="2.2200000000000002"/>
    <n v="1"/>
    <s v="medium"/>
    <n v="6"/>
    <n v="9"/>
    <n v="8"/>
    <n v="0"/>
    <x v="2"/>
  </r>
  <r>
    <n v="13"/>
    <x v="1"/>
    <n v="4"/>
    <x v="0"/>
    <n v="4.4000000000000004"/>
    <n v="2.5"/>
    <n v="3.6"/>
    <n v="1.4"/>
    <s v="medium"/>
    <n v="7"/>
    <n v="2"/>
    <n v="10"/>
    <n v="0"/>
    <x v="0"/>
  </r>
  <r>
    <n v="15"/>
    <x v="1"/>
    <n v="1.8"/>
    <x v="0"/>
    <n v="6.4"/>
    <n v="2.4"/>
    <n v="2.16"/>
    <n v="1.9"/>
    <s v="medium"/>
    <n v="3"/>
    <n v="6"/>
    <n v="9"/>
    <n v="0"/>
    <x v="3"/>
  </r>
  <r>
    <n v="13"/>
    <x v="0"/>
    <n v="3.1"/>
    <x v="1"/>
    <n v="5.4"/>
    <n v="1.9"/>
    <n v="3.66"/>
    <n v="0.4"/>
    <s v="low"/>
    <n v="7"/>
    <n v="4"/>
    <n v="2"/>
    <n v="0"/>
    <x v="0"/>
  </r>
  <r>
    <n v="13"/>
    <x v="1"/>
    <n v="3.5"/>
    <x v="1"/>
    <n v="5.2"/>
    <n v="2.5"/>
    <n v="2.57"/>
    <n v="1.1000000000000001"/>
    <s v="high"/>
    <n v="1"/>
    <n v="6"/>
    <n v="3"/>
    <n v="0"/>
    <x v="0"/>
  </r>
  <r>
    <n v="18"/>
    <x v="0"/>
    <n v="7.4"/>
    <x v="1"/>
    <n v="6.4"/>
    <n v="2.2000000000000002"/>
    <n v="3.51"/>
    <n v="1"/>
    <s v="high"/>
    <n v="4"/>
    <n v="5"/>
    <n v="4"/>
    <n v="0"/>
    <x v="2"/>
  </r>
  <r>
    <n v="16"/>
    <x v="0"/>
    <n v="8"/>
    <x v="0"/>
    <n v="5.5"/>
    <n v="1.4"/>
    <n v="2.95"/>
    <n v="0.3"/>
    <s v="medium"/>
    <n v="2"/>
    <n v="5"/>
    <n v="2"/>
    <n v="0"/>
    <x v="3"/>
  </r>
  <r>
    <n v="13"/>
    <x v="0"/>
    <n v="5.0999999999999996"/>
    <x v="2"/>
    <n v="4.0999999999999996"/>
    <n v="1.6"/>
    <n v="3.32"/>
    <n v="0.8"/>
    <s v="medium"/>
    <n v="1"/>
    <n v="3"/>
    <n v="8"/>
    <n v="0"/>
    <x v="0"/>
  </r>
  <r>
    <n v="18"/>
    <x v="1"/>
    <n v="2.4"/>
    <x v="0"/>
    <n v="6.3"/>
    <n v="1.3"/>
    <n v="3.05"/>
    <n v="1.7"/>
    <s v="low"/>
    <n v="2"/>
    <n v="9"/>
    <n v="5"/>
    <n v="0"/>
    <x v="2"/>
  </r>
  <r>
    <n v="13"/>
    <x v="0"/>
    <n v="1.6"/>
    <x v="0"/>
    <n v="4.2"/>
    <n v="1.5"/>
    <n v="3.72"/>
    <n v="1.7"/>
    <s v="medium"/>
    <n v="10"/>
    <n v="1"/>
    <n v="10"/>
    <n v="0"/>
    <x v="0"/>
  </r>
  <r>
    <n v="18"/>
    <x v="0"/>
    <n v="5.8"/>
    <x v="0"/>
    <n v="6.7"/>
    <n v="1.9"/>
    <n v="3"/>
    <n v="1.9"/>
    <s v="low"/>
    <n v="5"/>
    <n v="8"/>
    <n v="2"/>
    <n v="0"/>
    <x v="2"/>
  </r>
  <r>
    <n v="15"/>
    <x v="0"/>
    <n v="2.7"/>
    <x v="1"/>
    <n v="6.6"/>
    <n v="1.9"/>
    <n v="2.75"/>
    <n v="1.9"/>
    <s v="medium"/>
    <n v="3"/>
    <n v="6"/>
    <n v="6"/>
    <n v="0"/>
    <x v="3"/>
  </r>
  <r>
    <n v="13"/>
    <x v="1"/>
    <n v="4"/>
    <x v="2"/>
    <n v="4.5"/>
    <n v="1"/>
    <n v="3.65"/>
    <n v="1.8"/>
    <s v="low"/>
    <n v="5"/>
    <n v="6"/>
    <n v="5"/>
    <n v="0"/>
    <x v="0"/>
  </r>
  <r>
    <n v="18"/>
    <x v="0"/>
    <n v="3.2"/>
    <x v="2"/>
    <n v="8.8000000000000007"/>
    <n v="1.2"/>
    <n v="3.71"/>
    <n v="1.1000000000000001"/>
    <s v="medium"/>
    <n v="7"/>
    <n v="6"/>
    <n v="10"/>
    <n v="0"/>
    <x v="2"/>
  </r>
  <r>
    <n v="13"/>
    <x v="0"/>
    <n v="1.6"/>
    <x v="1"/>
    <n v="4.3"/>
    <n v="0.6"/>
    <n v="3.91"/>
    <n v="2"/>
    <s v="medium"/>
    <n v="5"/>
    <n v="10"/>
    <n v="7"/>
    <n v="0"/>
    <x v="0"/>
  </r>
  <r>
    <n v="14"/>
    <x v="0"/>
    <n v="2.2999999999999998"/>
    <x v="1"/>
    <n v="8"/>
    <n v="2.5"/>
    <n v="3.08"/>
    <n v="1.7"/>
    <s v="medium"/>
    <n v="5"/>
    <n v="6"/>
    <n v="7"/>
    <n v="0"/>
    <x v="0"/>
  </r>
  <r>
    <n v="17"/>
    <x v="0"/>
    <n v="7.7"/>
    <x v="1"/>
    <n v="8.5"/>
    <n v="1.2"/>
    <n v="3.56"/>
    <n v="0"/>
    <s v="medium"/>
    <n v="7"/>
    <n v="10"/>
    <n v="7"/>
    <n v="0"/>
    <x v="2"/>
  </r>
  <r>
    <n v="16"/>
    <x v="0"/>
    <n v="4.8"/>
    <x v="2"/>
    <n v="7.1"/>
    <n v="0.6"/>
    <n v="3.36"/>
    <n v="0.7"/>
    <s v="high"/>
    <n v="7"/>
    <n v="6"/>
    <n v="9"/>
    <n v="0"/>
    <x v="3"/>
  </r>
  <r>
    <n v="17"/>
    <x v="1"/>
    <n v="5.2"/>
    <x v="2"/>
    <n v="6"/>
    <n v="0.6"/>
    <n v="3.07"/>
    <n v="0.6"/>
    <s v="medium"/>
    <n v="6"/>
    <n v="2"/>
    <n v="9"/>
    <n v="0"/>
    <x v="2"/>
  </r>
  <r>
    <n v="13"/>
    <x v="0"/>
    <n v="5.7"/>
    <x v="2"/>
    <n v="6.6"/>
    <n v="2.4"/>
    <n v="3.99"/>
    <n v="1.7"/>
    <s v="high"/>
    <n v="1"/>
    <n v="3"/>
    <n v="1"/>
    <n v="0"/>
    <x v="0"/>
  </r>
  <r>
    <n v="15"/>
    <x v="0"/>
    <n v="4.5999999999999996"/>
    <x v="1"/>
    <n v="5.2"/>
    <n v="1.4"/>
    <n v="2.98"/>
    <n v="1.9"/>
    <s v="low"/>
    <n v="1"/>
    <n v="4"/>
    <n v="5"/>
    <n v="0"/>
    <x v="3"/>
  </r>
  <r>
    <n v="13"/>
    <x v="0"/>
    <n v="4.3"/>
    <x v="1"/>
    <n v="7.5"/>
    <n v="2.7"/>
    <n v="2.29"/>
    <n v="0.8"/>
    <s v="high"/>
    <n v="1"/>
    <n v="10"/>
    <n v="1"/>
    <n v="0"/>
    <x v="0"/>
  </r>
  <r>
    <n v="17"/>
    <x v="1"/>
    <n v="4.0999999999999996"/>
    <x v="0"/>
    <n v="8.6"/>
    <n v="3"/>
    <n v="2.77"/>
    <n v="0.1"/>
    <s v="medium"/>
    <n v="3"/>
    <n v="6"/>
    <n v="1"/>
    <n v="0"/>
    <x v="2"/>
  </r>
  <r>
    <n v="15"/>
    <x v="0"/>
    <n v="6.5"/>
    <x v="2"/>
    <n v="8.1"/>
    <n v="2"/>
    <n v="3.89"/>
    <n v="1.3"/>
    <s v="high"/>
    <n v="8"/>
    <n v="2"/>
    <n v="2"/>
    <n v="0"/>
    <x v="3"/>
  </r>
  <r>
    <n v="19"/>
    <x v="1"/>
    <n v="7.8"/>
    <x v="2"/>
    <n v="8.8000000000000007"/>
    <n v="2.1"/>
    <n v="3.75"/>
    <n v="1.3"/>
    <s v="high"/>
    <n v="10"/>
    <n v="9"/>
    <n v="6"/>
    <n v="0"/>
    <x v="1"/>
  </r>
  <r>
    <n v="17"/>
    <x v="0"/>
    <n v="6.5"/>
    <x v="0"/>
    <n v="4.0999999999999996"/>
    <n v="2.7"/>
    <n v="3.66"/>
    <n v="1.1000000000000001"/>
    <s v="medium"/>
    <n v="6"/>
    <n v="10"/>
    <n v="10"/>
    <n v="0"/>
    <x v="2"/>
  </r>
  <r>
    <n v="17"/>
    <x v="1"/>
    <n v="3.2"/>
    <x v="1"/>
    <n v="4.2"/>
    <n v="0.6"/>
    <n v="2.21"/>
    <n v="1.4"/>
    <s v="medium"/>
    <n v="6"/>
    <n v="6"/>
    <n v="3"/>
    <n v="0"/>
    <x v="2"/>
  </r>
  <r>
    <n v="13"/>
    <x v="0"/>
    <n v="2.4"/>
    <x v="1"/>
    <n v="4.0999999999999996"/>
    <n v="0.8"/>
    <n v="2.79"/>
    <n v="1.1000000000000001"/>
    <s v="medium"/>
    <n v="8"/>
    <n v="6"/>
    <n v="3"/>
    <n v="0"/>
    <x v="0"/>
  </r>
  <r>
    <n v="15"/>
    <x v="1"/>
    <n v="4"/>
    <x v="0"/>
    <n v="8.1"/>
    <n v="2.1"/>
    <n v="2.0099999999999998"/>
    <n v="0.4"/>
    <s v="medium"/>
    <n v="4"/>
    <n v="8"/>
    <n v="8"/>
    <n v="0"/>
    <x v="3"/>
  </r>
  <r>
    <n v="17"/>
    <x v="1"/>
    <n v="6"/>
    <x v="2"/>
    <n v="8.8000000000000007"/>
    <n v="1.3"/>
    <n v="4"/>
    <n v="0.9"/>
    <s v="medium"/>
    <n v="8"/>
    <n v="10"/>
    <n v="7"/>
    <n v="0"/>
    <x v="2"/>
  </r>
  <r>
    <n v="18"/>
    <x v="0"/>
    <n v="1.2"/>
    <x v="1"/>
    <n v="8"/>
    <n v="1.7"/>
    <n v="3.12"/>
    <n v="0.1"/>
    <s v="low"/>
    <n v="6"/>
    <n v="4"/>
    <n v="2"/>
    <n v="0"/>
    <x v="2"/>
  </r>
  <r>
    <n v="16"/>
    <x v="0"/>
    <n v="5.7"/>
    <x v="2"/>
    <n v="5.8"/>
    <n v="2.8"/>
    <n v="2.17"/>
    <n v="0.5"/>
    <s v="medium"/>
    <n v="3"/>
    <n v="9"/>
    <n v="2"/>
    <n v="0"/>
    <x v="3"/>
  </r>
  <r>
    <n v="19"/>
    <x v="0"/>
    <n v="6.5"/>
    <x v="2"/>
    <n v="8.1"/>
    <n v="2.2999999999999998"/>
    <n v="2.21"/>
    <n v="0.4"/>
    <s v="high"/>
    <n v="8"/>
    <n v="8"/>
    <n v="6"/>
    <n v="0"/>
    <x v="1"/>
  </r>
  <r>
    <n v="16"/>
    <x v="0"/>
    <n v="6.6"/>
    <x v="0"/>
    <n v="5.6"/>
    <n v="0.8"/>
    <n v="3.48"/>
    <n v="1.7"/>
    <s v="medium"/>
    <n v="4"/>
    <n v="3"/>
    <n v="4"/>
    <n v="0"/>
    <x v="3"/>
  </r>
  <r>
    <n v="13"/>
    <x v="0"/>
    <n v="6"/>
    <x v="1"/>
    <n v="7.2"/>
    <n v="1.5"/>
    <n v="2.36"/>
    <n v="0.2"/>
    <s v="low"/>
    <n v="1"/>
    <n v="3"/>
    <n v="4"/>
    <n v="0"/>
    <x v="0"/>
  </r>
  <r>
    <n v="18"/>
    <x v="1"/>
    <n v="1.1000000000000001"/>
    <x v="2"/>
    <n v="8"/>
    <n v="2.7"/>
    <n v="2.04"/>
    <n v="0.1"/>
    <s v="low"/>
    <n v="7"/>
    <n v="10"/>
    <n v="2"/>
    <n v="0"/>
    <x v="2"/>
  </r>
  <r>
    <n v="13"/>
    <x v="1"/>
    <n v="3.8"/>
    <x v="0"/>
    <n v="7.9"/>
    <n v="1.3"/>
    <n v="3.97"/>
    <n v="0.2"/>
    <s v="medium"/>
    <n v="7"/>
    <n v="10"/>
    <n v="9"/>
    <n v="0"/>
    <x v="0"/>
  </r>
  <r>
    <n v="13"/>
    <x v="1"/>
    <n v="4.7"/>
    <x v="2"/>
    <n v="6.8"/>
    <n v="1.7"/>
    <n v="3.27"/>
    <n v="1.4"/>
    <s v="low"/>
    <n v="4"/>
    <n v="2"/>
    <n v="4"/>
    <n v="0"/>
    <x v="0"/>
  </r>
  <r>
    <n v="15"/>
    <x v="0"/>
    <n v="7.4"/>
    <x v="1"/>
    <n v="6.3"/>
    <n v="1.3"/>
    <n v="3.47"/>
    <n v="1.2"/>
    <s v="medium"/>
    <n v="1"/>
    <n v="3"/>
    <n v="9"/>
    <n v="0"/>
    <x v="3"/>
  </r>
  <r>
    <n v="17"/>
    <x v="0"/>
    <n v="3.9"/>
    <x v="0"/>
    <n v="7.1"/>
    <n v="2.4"/>
    <n v="3.82"/>
    <n v="0.8"/>
    <s v="high"/>
    <n v="3"/>
    <n v="6"/>
    <n v="10"/>
    <n v="0"/>
    <x v="2"/>
  </r>
  <r>
    <n v="18"/>
    <x v="0"/>
    <n v="3.1"/>
    <x v="0"/>
    <n v="5.7"/>
    <n v="2.9"/>
    <n v="3.1"/>
    <n v="0.6"/>
    <s v="medium"/>
    <n v="9"/>
    <n v="4"/>
    <n v="2"/>
    <n v="0"/>
    <x v="2"/>
  </r>
  <r>
    <n v="16"/>
    <x v="1"/>
    <n v="2.6"/>
    <x v="1"/>
    <n v="8.8000000000000007"/>
    <n v="1.7"/>
    <n v="2.39"/>
    <n v="1"/>
    <s v="medium"/>
    <n v="5"/>
    <n v="2"/>
    <n v="6"/>
    <n v="0"/>
    <x v="3"/>
  </r>
  <r>
    <n v="13"/>
    <x v="0"/>
    <n v="5"/>
    <x v="1"/>
    <n v="6.9"/>
    <n v="0.6"/>
    <n v="3.03"/>
    <n v="0.8"/>
    <s v="low"/>
    <n v="9"/>
    <n v="3"/>
    <n v="8"/>
    <n v="0"/>
    <x v="0"/>
  </r>
  <r>
    <n v="18"/>
    <x v="0"/>
    <n v="4.5"/>
    <x v="0"/>
    <n v="8.1"/>
    <n v="1.6"/>
    <n v="3.72"/>
    <n v="1.2"/>
    <s v="low"/>
    <n v="1"/>
    <n v="2"/>
    <n v="1"/>
    <n v="0"/>
    <x v="2"/>
  </r>
  <r>
    <n v="17"/>
    <x v="0"/>
    <n v="2.1"/>
    <x v="1"/>
    <n v="4.7"/>
    <n v="2"/>
    <n v="2.99"/>
    <n v="1.9"/>
    <s v="low"/>
    <n v="5"/>
    <n v="1"/>
    <n v="8"/>
    <n v="0"/>
    <x v="2"/>
  </r>
  <r>
    <n v="14"/>
    <x v="1"/>
    <n v="6.4"/>
    <x v="0"/>
    <n v="6"/>
    <n v="1.1000000000000001"/>
    <n v="3.81"/>
    <n v="0.9"/>
    <s v="medium"/>
    <n v="8"/>
    <n v="2"/>
    <n v="3"/>
    <n v="0"/>
    <x v="0"/>
  </r>
  <r>
    <n v="15"/>
    <x v="1"/>
    <n v="2.2999999999999998"/>
    <x v="1"/>
    <n v="6.5"/>
    <n v="2.6"/>
    <n v="3.18"/>
    <n v="0.1"/>
    <s v="low"/>
    <n v="1"/>
    <n v="8"/>
    <n v="4"/>
    <n v="0"/>
    <x v="3"/>
  </r>
  <r>
    <n v="13"/>
    <x v="1"/>
    <n v="4.4000000000000004"/>
    <x v="1"/>
    <n v="8.8000000000000007"/>
    <n v="1.3"/>
    <n v="2.69"/>
    <n v="0.4"/>
    <s v="low"/>
    <n v="3"/>
    <n v="1"/>
    <n v="7"/>
    <n v="0"/>
    <x v="0"/>
  </r>
  <r>
    <n v="19"/>
    <x v="0"/>
    <n v="2.2999999999999998"/>
    <x v="0"/>
    <n v="6.9"/>
    <n v="2.2999999999999998"/>
    <n v="2.17"/>
    <n v="1.6"/>
    <s v="medium"/>
    <n v="3"/>
    <n v="6"/>
    <n v="10"/>
    <n v="0"/>
    <x v="1"/>
  </r>
  <r>
    <n v="13"/>
    <x v="0"/>
    <n v="4.3"/>
    <x v="0"/>
    <n v="4.4000000000000004"/>
    <n v="0.7"/>
    <n v="3.19"/>
    <n v="0.3"/>
    <s v="low"/>
    <n v="6"/>
    <n v="2"/>
    <n v="6"/>
    <n v="0"/>
    <x v="0"/>
  </r>
  <r>
    <n v="18"/>
    <x v="1"/>
    <n v="3.9"/>
    <x v="1"/>
    <n v="5.2"/>
    <n v="1.8"/>
    <n v="2.41"/>
    <n v="0.6"/>
    <s v="high"/>
    <n v="9"/>
    <n v="5"/>
    <n v="5"/>
    <n v="0"/>
    <x v="2"/>
  </r>
  <r>
    <n v="18"/>
    <x v="0"/>
    <n v="2.9"/>
    <x v="1"/>
    <n v="7.5"/>
    <n v="0.9"/>
    <n v="2.62"/>
    <n v="2"/>
    <s v="high"/>
    <n v="3"/>
    <n v="1"/>
    <n v="9"/>
    <n v="0"/>
    <x v="2"/>
  </r>
  <r>
    <n v="14"/>
    <x v="0"/>
    <n v="2.1"/>
    <x v="0"/>
    <n v="8.5"/>
    <n v="1.1000000000000001"/>
    <n v="3.03"/>
    <n v="1.6"/>
    <s v="medium"/>
    <n v="5"/>
    <n v="6"/>
    <n v="7"/>
    <n v="0"/>
    <x v="0"/>
  </r>
  <r>
    <n v="14"/>
    <x v="0"/>
    <n v="2.1"/>
    <x v="1"/>
    <n v="5"/>
    <n v="1.4"/>
    <n v="2.96"/>
    <n v="1.1000000000000001"/>
    <s v="low"/>
    <n v="7"/>
    <n v="1"/>
    <n v="9"/>
    <n v="0"/>
    <x v="0"/>
  </r>
  <r>
    <n v="16"/>
    <x v="0"/>
    <n v="3.8"/>
    <x v="1"/>
    <n v="5.7"/>
    <n v="1.3"/>
    <n v="3.84"/>
    <n v="1.6"/>
    <s v="medium"/>
    <n v="3"/>
    <n v="4"/>
    <n v="10"/>
    <n v="0"/>
    <x v="3"/>
  </r>
  <r>
    <n v="15"/>
    <x v="1"/>
    <n v="1.1000000000000001"/>
    <x v="1"/>
    <n v="8.1999999999999993"/>
    <n v="0.7"/>
    <n v="2.94"/>
    <n v="0.7"/>
    <s v="high"/>
    <n v="10"/>
    <n v="7"/>
    <n v="9"/>
    <n v="0"/>
    <x v="3"/>
  </r>
  <r>
    <n v="14"/>
    <x v="0"/>
    <n v="2.5"/>
    <x v="2"/>
    <n v="5.3"/>
    <n v="2.4"/>
    <n v="3.87"/>
    <n v="1.3"/>
    <s v="high"/>
    <n v="10"/>
    <n v="9"/>
    <n v="6"/>
    <n v="0"/>
    <x v="0"/>
  </r>
  <r>
    <n v="19"/>
    <x v="1"/>
    <n v="4.0999999999999996"/>
    <x v="0"/>
    <n v="6.4"/>
    <n v="0.9"/>
    <n v="2.4700000000000002"/>
    <n v="1.2"/>
    <s v="high"/>
    <n v="7"/>
    <n v="3"/>
    <n v="4"/>
    <n v="0"/>
    <x v="1"/>
  </r>
  <r>
    <n v="16"/>
    <x v="0"/>
    <n v="3"/>
    <x v="0"/>
    <n v="8.6"/>
    <n v="1.5"/>
    <n v="2.84"/>
    <n v="0.3"/>
    <s v="high"/>
    <n v="6"/>
    <n v="4"/>
    <n v="3"/>
    <n v="0"/>
    <x v="3"/>
  </r>
  <r>
    <n v="13"/>
    <x v="1"/>
    <n v="3.9"/>
    <x v="0"/>
    <n v="5"/>
    <n v="0.7"/>
    <n v="2.98"/>
    <n v="0.3"/>
    <s v="medium"/>
    <n v="10"/>
    <n v="8"/>
    <n v="3"/>
    <n v="0"/>
    <x v="0"/>
  </r>
  <r>
    <n v="13"/>
    <x v="0"/>
    <n v="7"/>
    <x v="1"/>
    <n v="8.9"/>
    <n v="0.6"/>
    <n v="2.7"/>
    <n v="1.8"/>
    <s v="medium"/>
    <n v="5"/>
    <n v="4"/>
    <n v="1"/>
    <n v="0"/>
    <x v="0"/>
  </r>
  <r>
    <n v="16"/>
    <x v="0"/>
    <n v="3.6"/>
    <x v="2"/>
    <n v="8.9"/>
    <n v="1.9"/>
    <n v="2.11"/>
    <n v="1.7"/>
    <s v="low"/>
    <n v="9"/>
    <n v="5"/>
    <n v="2"/>
    <n v="0"/>
    <x v="3"/>
  </r>
  <r>
    <n v="15"/>
    <x v="0"/>
    <n v="7.6"/>
    <x v="0"/>
    <n v="7.6"/>
    <n v="2.7"/>
    <n v="2.36"/>
    <n v="1.2"/>
    <s v="medium"/>
    <n v="5"/>
    <n v="10"/>
    <n v="3"/>
    <n v="0"/>
    <x v="3"/>
  </r>
  <r>
    <n v="19"/>
    <x v="0"/>
    <n v="1.3"/>
    <x v="0"/>
    <n v="4.5"/>
    <n v="0.7"/>
    <n v="2.5099999999999998"/>
    <n v="0.8"/>
    <s v="low"/>
    <n v="10"/>
    <n v="9"/>
    <n v="7"/>
    <n v="0"/>
    <x v="1"/>
  </r>
  <r>
    <n v="17"/>
    <x v="1"/>
    <n v="2.1"/>
    <x v="2"/>
    <n v="7.8"/>
    <n v="2.1"/>
    <n v="3.29"/>
    <n v="1.5"/>
    <s v="low"/>
    <n v="8"/>
    <n v="1"/>
    <n v="7"/>
    <n v="0"/>
    <x v="2"/>
  </r>
  <r>
    <n v="15"/>
    <x v="1"/>
    <n v="2.7"/>
    <x v="2"/>
    <n v="8.8000000000000007"/>
    <n v="1.9"/>
    <n v="2.14"/>
    <n v="0.4"/>
    <s v="high"/>
    <n v="8"/>
    <n v="10"/>
    <n v="3"/>
    <n v="0"/>
    <x v="3"/>
  </r>
  <r>
    <n v="13"/>
    <x v="0"/>
    <n v="7.5"/>
    <x v="2"/>
    <n v="8"/>
    <n v="2"/>
    <n v="3.25"/>
    <n v="0.7"/>
    <s v="medium"/>
    <n v="9"/>
    <n v="10"/>
    <n v="2"/>
    <n v="0"/>
    <x v="0"/>
  </r>
  <r>
    <n v="16"/>
    <x v="1"/>
    <n v="6.1"/>
    <x v="2"/>
    <n v="8.8000000000000007"/>
    <n v="1.7"/>
    <n v="3.55"/>
    <n v="1.3"/>
    <s v="medium"/>
    <n v="6"/>
    <n v="10"/>
    <n v="9"/>
    <n v="0"/>
    <x v="3"/>
  </r>
  <r>
    <n v="19"/>
    <x v="0"/>
    <n v="2.4"/>
    <x v="2"/>
    <n v="7.4"/>
    <n v="1.2"/>
    <n v="2.5"/>
    <n v="1.8"/>
    <s v="high"/>
    <n v="2"/>
    <n v="5"/>
    <n v="2"/>
    <n v="0"/>
    <x v="1"/>
  </r>
  <r>
    <n v="19"/>
    <x v="0"/>
    <n v="2"/>
    <x v="1"/>
    <n v="5.3"/>
    <n v="1.7"/>
    <n v="2.91"/>
    <n v="0.8"/>
    <s v="low"/>
    <n v="9"/>
    <n v="5"/>
    <n v="9"/>
    <n v="0"/>
    <x v="1"/>
  </r>
  <r>
    <n v="15"/>
    <x v="1"/>
    <n v="7.8"/>
    <x v="1"/>
    <n v="5.3"/>
    <n v="0.5"/>
    <n v="2.3199999999999998"/>
    <n v="0.8"/>
    <s v="low"/>
    <n v="8"/>
    <n v="9"/>
    <n v="3"/>
    <n v="1"/>
    <x v="3"/>
  </r>
  <r>
    <n v="16"/>
    <x v="1"/>
    <n v="6.8"/>
    <x v="1"/>
    <n v="7.2"/>
    <n v="2.5"/>
    <n v="3.61"/>
    <n v="0.5"/>
    <s v="medium"/>
    <n v="10"/>
    <n v="1"/>
    <n v="9"/>
    <n v="0"/>
    <x v="3"/>
  </r>
  <r>
    <n v="17"/>
    <x v="0"/>
    <n v="8"/>
    <x v="0"/>
    <n v="4.5999999999999996"/>
    <n v="2.6"/>
    <n v="3.06"/>
    <n v="0.1"/>
    <s v="high"/>
    <n v="9"/>
    <n v="2"/>
    <n v="6"/>
    <n v="0"/>
    <x v="2"/>
  </r>
  <r>
    <n v="13"/>
    <x v="1"/>
    <n v="7.3"/>
    <x v="2"/>
    <n v="8.9"/>
    <n v="2.7"/>
    <n v="3.68"/>
    <n v="1.9"/>
    <s v="low"/>
    <n v="6"/>
    <n v="6"/>
    <n v="10"/>
    <n v="0"/>
    <x v="0"/>
  </r>
  <r>
    <n v="15"/>
    <x v="1"/>
    <n v="1.5"/>
    <x v="2"/>
    <n v="8.6999999999999993"/>
    <n v="1.2"/>
    <n v="2.52"/>
    <n v="0.1"/>
    <s v="low"/>
    <n v="9"/>
    <n v="7"/>
    <n v="2"/>
    <n v="0"/>
    <x v="3"/>
  </r>
  <r>
    <n v="15"/>
    <x v="1"/>
    <n v="3.4"/>
    <x v="0"/>
    <n v="5"/>
    <n v="1.8"/>
    <n v="3.2"/>
    <n v="1.5"/>
    <s v="medium"/>
    <n v="4"/>
    <n v="5"/>
    <n v="1"/>
    <n v="0"/>
    <x v="3"/>
  </r>
  <r>
    <n v="15"/>
    <x v="0"/>
    <n v="7.3"/>
    <x v="2"/>
    <n v="4.8"/>
    <n v="2.6"/>
    <n v="3.81"/>
    <n v="1.5"/>
    <s v="low"/>
    <n v="4"/>
    <n v="7"/>
    <n v="4"/>
    <n v="0"/>
    <x v="3"/>
  </r>
  <r>
    <n v="13"/>
    <x v="1"/>
    <n v="1.9"/>
    <x v="1"/>
    <n v="8.5"/>
    <n v="0.8"/>
    <n v="3.33"/>
    <n v="1.3"/>
    <s v="medium"/>
    <n v="5"/>
    <n v="1"/>
    <n v="3"/>
    <n v="0"/>
    <x v="0"/>
  </r>
  <r>
    <n v="17"/>
    <x v="1"/>
    <n v="3.9"/>
    <x v="0"/>
    <n v="8.1999999999999993"/>
    <n v="1.3"/>
    <n v="3.21"/>
    <n v="1.8"/>
    <s v="medium"/>
    <n v="3"/>
    <n v="7"/>
    <n v="7"/>
    <n v="0"/>
    <x v="2"/>
  </r>
  <r>
    <n v="18"/>
    <x v="0"/>
    <n v="1.3"/>
    <x v="0"/>
    <n v="5.8"/>
    <n v="1.3"/>
    <n v="3.35"/>
    <n v="1.9"/>
    <s v="medium"/>
    <n v="9"/>
    <n v="4"/>
    <n v="9"/>
    <n v="0"/>
    <x v="2"/>
  </r>
  <r>
    <n v="19"/>
    <x v="0"/>
    <n v="4.7"/>
    <x v="1"/>
    <n v="8.1999999999999993"/>
    <n v="1.8"/>
    <n v="2.2599999999999998"/>
    <n v="1"/>
    <s v="low"/>
    <n v="7"/>
    <n v="4"/>
    <n v="7"/>
    <n v="0"/>
    <x v="1"/>
  </r>
  <r>
    <n v="15"/>
    <x v="0"/>
    <n v="1.9"/>
    <x v="1"/>
    <n v="5.8"/>
    <n v="2.2999999999999998"/>
    <n v="2.4700000000000002"/>
    <n v="0.3"/>
    <s v="high"/>
    <n v="10"/>
    <n v="9"/>
    <n v="4"/>
    <n v="0"/>
    <x v="3"/>
  </r>
  <r>
    <n v="18"/>
    <x v="1"/>
    <n v="7"/>
    <x v="2"/>
    <n v="6.3"/>
    <n v="1.6"/>
    <n v="2.5499999999999998"/>
    <n v="0.5"/>
    <s v="medium"/>
    <n v="10"/>
    <n v="1"/>
    <n v="8"/>
    <n v="0"/>
    <x v="2"/>
  </r>
  <r>
    <n v="15"/>
    <x v="0"/>
    <n v="6.2"/>
    <x v="1"/>
    <n v="6.3"/>
    <n v="1.7"/>
    <n v="2.2599999999999998"/>
    <n v="1.1000000000000001"/>
    <s v="high"/>
    <n v="9"/>
    <n v="6"/>
    <n v="2"/>
    <n v="0"/>
    <x v="3"/>
  </r>
  <r>
    <n v="14"/>
    <x v="0"/>
    <n v="3.2"/>
    <x v="1"/>
    <n v="8"/>
    <n v="1.3"/>
    <n v="2.5"/>
    <n v="1.1000000000000001"/>
    <s v="high"/>
    <n v="2"/>
    <n v="7"/>
    <n v="5"/>
    <n v="0"/>
    <x v="0"/>
  </r>
  <r>
    <n v="18"/>
    <x v="1"/>
    <n v="4.5"/>
    <x v="2"/>
    <n v="7.9"/>
    <n v="1.4"/>
    <n v="2.38"/>
    <n v="0.1"/>
    <s v="high"/>
    <n v="7"/>
    <n v="9"/>
    <n v="1"/>
    <n v="0"/>
    <x v="2"/>
  </r>
  <r>
    <n v="14"/>
    <x v="1"/>
    <n v="1.1000000000000001"/>
    <x v="2"/>
    <n v="6.1"/>
    <n v="2.5"/>
    <n v="2.8"/>
    <n v="1.8"/>
    <s v="high"/>
    <n v="4"/>
    <n v="10"/>
    <n v="3"/>
    <n v="0"/>
    <x v="0"/>
  </r>
  <r>
    <n v="13"/>
    <x v="0"/>
    <n v="5.9"/>
    <x v="0"/>
    <n v="8"/>
    <n v="2.8"/>
    <n v="3.21"/>
    <n v="1.6"/>
    <s v="medium"/>
    <n v="2"/>
    <n v="8"/>
    <n v="8"/>
    <n v="0"/>
    <x v="0"/>
  </r>
  <r>
    <n v="17"/>
    <x v="0"/>
    <n v="5.0999999999999996"/>
    <x v="2"/>
    <n v="5"/>
    <n v="2.2000000000000002"/>
    <n v="3.58"/>
    <n v="1.2"/>
    <s v="high"/>
    <n v="6"/>
    <n v="3"/>
    <n v="9"/>
    <n v="0"/>
    <x v="2"/>
  </r>
  <r>
    <n v="15"/>
    <x v="0"/>
    <n v="1.6"/>
    <x v="0"/>
    <n v="6.9"/>
    <n v="2.2999999999999998"/>
    <n v="3.16"/>
    <n v="0.9"/>
    <s v="medium"/>
    <n v="3"/>
    <n v="1"/>
    <n v="5"/>
    <n v="0"/>
    <x v="3"/>
  </r>
  <r>
    <n v="15"/>
    <x v="1"/>
    <n v="7.2"/>
    <x v="1"/>
    <n v="8"/>
    <n v="1.4"/>
    <n v="3.64"/>
    <n v="0.4"/>
    <s v="medium"/>
    <n v="10"/>
    <n v="5"/>
    <n v="7"/>
    <n v="0"/>
    <x v="3"/>
  </r>
  <r>
    <n v="17"/>
    <x v="1"/>
    <n v="1.4"/>
    <x v="0"/>
    <n v="6.9"/>
    <n v="2.4"/>
    <n v="3.06"/>
    <n v="1.9"/>
    <s v="medium"/>
    <n v="4"/>
    <n v="10"/>
    <n v="8"/>
    <n v="0"/>
    <x v="2"/>
  </r>
  <r>
    <n v="17"/>
    <x v="1"/>
    <n v="6.6"/>
    <x v="0"/>
    <n v="8"/>
    <n v="2.2000000000000002"/>
    <n v="2.21"/>
    <n v="1"/>
    <s v="high"/>
    <n v="10"/>
    <n v="8"/>
    <n v="10"/>
    <n v="0"/>
    <x v="2"/>
  </r>
  <r>
    <n v="15"/>
    <x v="1"/>
    <n v="3.5"/>
    <x v="0"/>
    <n v="6.3"/>
    <n v="0.8"/>
    <n v="2.71"/>
    <n v="1.8"/>
    <s v="high"/>
    <n v="7"/>
    <n v="4"/>
    <n v="2"/>
    <n v="0"/>
    <x v="3"/>
  </r>
  <r>
    <n v="17"/>
    <x v="1"/>
    <n v="5.4"/>
    <x v="2"/>
    <n v="6.3"/>
    <n v="2.8"/>
    <n v="3.06"/>
    <n v="0.8"/>
    <s v="low"/>
    <n v="3"/>
    <n v="7"/>
    <n v="9"/>
    <n v="0"/>
    <x v="2"/>
  </r>
  <r>
    <n v="16"/>
    <x v="1"/>
    <n v="4.2"/>
    <x v="2"/>
    <n v="7.3"/>
    <n v="1.1000000000000001"/>
    <n v="3.1"/>
    <n v="1.6"/>
    <s v="medium"/>
    <n v="1"/>
    <n v="6"/>
    <n v="2"/>
    <n v="0"/>
    <x v="3"/>
  </r>
  <r>
    <n v="13"/>
    <x v="0"/>
    <n v="2.5"/>
    <x v="0"/>
    <n v="8.3000000000000007"/>
    <n v="1.6"/>
    <n v="2.91"/>
    <n v="0.6"/>
    <s v="high"/>
    <n v="10"/>
    <n v="2"/>
    <n v="6"/>
    <n v="0"/>
    <x v="0"/>
  </r>
  <r>
    <n v="16"/>
    <x v="1"/>
    <n v="3.8"/>
    <x v="1"/>
    <n v="6"/>
    <n v="3"/>
    <n v="2.1"/>
    <n v="0.2"/>
    <s v="low"/>
    <n v="7"/>
    <n v="9"/>
    <n v="1"/>
    <n v="0"/>
    <x v="3"/>
  </r>
  <r>
    <n v="13"/>
    <x v="0"/>
    <n v="1.8"/>
    <x v="0"/>
    <n v="8.9"/>
    <n v="1.2"/>
    <n v="3.67"/>
    <n v="0.1"/>
    <s v="medium"/>
    <n v="2"/>
    <n v="8"/>
    <n v="9"/>
    <n v="0"/>
    <x v="0"/>
  </r>
  <r>
    <n v="14"/>
    <x v="0"/>
    <n v="5.4"/>
    <x v="0"/>
    <n v="5.6"/>
    <n v="1.8"/>
    <n v="3.01"/>
    <n v="0.9"/>
    <s v="low"/>
    <n v="10"/>
    <n v="6"/>
    <n v="8"/>
    <n v="0"/>
    <x v="0"/>
  </r>
  <r>
    <n v="14"/>
    <x v="1"/>
    <n v="7.7"/>
    <x v="0"/>
    <n v="6.1"/>
    <n v="0.8"/>
    <n v="3.47"/>
    <n v="1.5"/>
    <s v="medium"/>
    <n v="9"/>
    <n v="10"/>
    <n v="9"/>
    <n v="0"/>
    <x v="0"/>
  </r>
  <r>
    <n v="18"/>
    <x v="1"/>
    <n v="4.0999999999999996"/>
    <x v="0"/>
    <n v="8"/>
    <n v="1.7"/>
    <n v="2.29"/>
    <n v="1.4"/>
    <s v="low"/>
    <n v="2"/>
    <n v="1"/>
    <n v="10"/>
    <n v="0"/>
    <x v="2"/>
  </r>
  <r>
    <n v="15"/>
    <x v="1"/>
    <n v="6.6"/>
    <x v="2"/>
    <n v="4.9000000000000004"/>
    <n v="3"/>
    <n v="2.99"/>
    <n v="0.9"/>
    <s v="medium"/>
    <n v="4"/>
    <n v="8"/>
    <n v="3"/>
    <n v="0"/>
    <x v="3"/>
  </r>
  <r>
    <n v="16"/>
    <x v="0"/>
    <n v="2.2999999999999998"/>
    <x v="2"/>
    <n v="4.0999999999999996"/>
    <n v="0.8"/>
    <n v="3.18"/>
    <n v="1.7"/>
    <s v="medium"/>
    <n v="5"/>
    <n v="3"/>
    <n v="8"/>
    <n v="0"/>
    <x v="3"/>
  </r>
  <r>
    <n v="17"/>
    <x v="1"/>
    <n v="7.5"/>
    <x v="0"/>
    <n v="5.9"/>
    <n v="2.9"/>
    <n v="3.71"/>
    <n v="1.7"/>
    <s v="low"/>
    <n v="3"/>
    <n v="1"/>
    <n v="10"/>
    <n v="0"/>
    <x v="2"/>
  </r>
  <r>
    <n v="18"/>
    <x v="0"/>
    <n v="7.1"/>
    <x v="0"/>
    <n v="8"/>
    <n v="2.9"/>
    <n v="2.59"/>
    <n v="1.2"/>
    <s v="high"/>
    <n v="10"/>
    <n v="8"/>
    <n v="5"/>
    <n v="0"/>
    <x v="2"/>
  </r>
  <r>
    <n v="17"/>
    <x v="1"/>
    <n v="1.7"/>
    <x v="2"/>
    <n v="6.3"/>
    <n v="1.5"/>
    <n v="2.66"/>
    <n v="1.8"/>
    <s v="low"/>
    <n v="1"/>
    <n v="4"/>
    <n v="10"/>
    <n v="0"/>
    <x v="2"/>
  </r>
  <r>
    <n v="13"/>
    <x v="0"/>
    <n v="7.9"/>
    <x v="0"/>
    <n v="5.8"/>
    <n v="0.8"/>
    <n v="3.31"/>
    <n v="1.6"/>
    <s v="medium"/>
    <n v="3"/>
    <n v="7"/>
    <n v="2"/>
    <n v="0"/>
    <x v="0"/>
  </r>
  <r>
    <n v="16"/>
    <x v="1"/>
    <n v="4"/>
    <x v="0"/>
    <n v="7.9"/>
    <n v="1.9"/>
    <n v="2.56"/>
    <n v="0.1"/>
    <s v="high"/>
    <n v="4"/>
    <n v="9"/>
    <n v="9"/>
    <n v="0"/>
    <x v="3"/>
  </r>
  <r>
    <n v="15"/>
    <x v="1"/>
    <n v="1.2"/>
    <x v="1"/>
    <n v="8.1"/>
    <n v="2"/>
    <n v="3.33"/>
    <n v="1.5"/>
    <s v="medium"/>
    <n v="7"/>
    <n v="3"/>
    <n v="8"/>
    <n v="0"/>
    <x v="3"/>
  </r>
  <r>
    <n v="19"/>
    <x v="0"/>
    <n v="3.5"/>
    <x v="1"/>
    <n v="8.4"/>
    <n v="1.7"/>
    <n v="2.46"/>
    <n v="0.1"/>
    <s v="high"/>
    <n v="6"/>
    <n v="9"/>
    <n v="3"/>
    <n v="0"/>
    <x v="1"/>
  </r>
  <r>
    <n v="17"/>
    <x v="0"/>
    <n v="1.1000000000000001"/>
    <x v="0"/>
    <n v="6.8"/>
    <n v="2"/>
    <n v="3.45"/>
    <n v="1.3"/>
    <s v="medium"/>
    <n v="7"/>
    <n v="1"/>
    <n v="2"/>
    <n v="0"/>
    <x v="2"/>
  </r>
  <r>
    <n v="19"/>
    <x v="1"/>
    <n v="1.6"/>
    <x v="1"/>
    <n v="4.0999999999999996"/>
    <n v="1.6"/>
    <n v="3.15"/>
    <n v="0.9"/>
    <s v="medium"/>
    <n v="2"/>
    <n v="6"/>
    <n v="4"/>
    <n v="0"/>
    <x v="1"/>
  </r>
  <r>
    <n v="16"/>
    <x v="1"/>
    <n v="2.5"/>
    <x v="1"/>
    <n v="8.9"/>
    <n v="2.9"/>
    <n v="2.5299999999999998"/>
    <n v="0.1"/>
    <s v="high"/>
    <n v="8"/>
    <n v="7"/>
    <n v="3"/>
    <n v="0"/>
    <x v="3"/>
  </r>
  <r>
    <n v="15"/>
    <x v="0"/>
    <n v="2.8"/>
    <x v="0"/>
    <n v="7.2"/>
    <n v="1.8"/>
    <n v="2.91"/>
    <n v="0.2"/>
    <s v="low"/>
    <n v="5"/>
    <n v="5"/>
    <n v="4"/>
    <n v="0"/>
    <x v="3"/>
  </r>
  <r>
    <n v="15"/>
    <x v="0"/>
    <n v="2.2000000000000002"/>
    <x v="0"/>
    <n v="5.2"/>
    <n v="1.4"/>
    <n v="2.62"/>
    <n v="1.5"/>
    <s v="medium"/>
    <n v="10"/>
    <n v="7"/>
    <n v="5"/>
    <n v="0"/>
    <x v="3"/>
  </r>
  <r>
    <n v="16"/>
    <x v="0"/>
    <n v="4.8"/>
    <x v="2"/>
    <n v="6.8"/>
    <n v="1"/>
    <n v="2.6"/>
    <n v="1.1000000000000001"/>
    <s v="medium"/>
    <n v="1"/>
    <n v="5"/>
    <n v="6"/>
    <n v="0"/>
    <x v="3"/>
  </r>
  <r>
    <n v="18"/>
    <x v="1"/>
    <n v="3.7"/>
    <x v="2"/>
    <n v="7.9"/>
    <n v="2.7"/>
    <n v="3.11"/>
    <n v="0.3"/>
    <s v="medium"/>
    <n v="6"/>
    <n v="6"/>
    <n v="5"/>
    <n v="0"/>
    <x v="2"/>
  </r>
  <r>
    <n v="16"/>
    <x v="0"/>
    <n v="5.5"/>
    <x v="0"/>
    <n v="8.3000000000000007"/>
    <n v="2.2999999999999998"/>
    <n v="3.47"/>
    <n v="1.6"/>
    <s v="medium"/>
    <n v="4"/>
    <n v="8"/>
    <n v="5"/>
    <n v="0"/>
    <x v="3"/>
  </r>
  <r>
    <n v="16"/>
    <x v="0"/>
    <n v="2.5"/>
    <x v="0"/>
    <n v="6.8"/>
    <n v="1"/>
    <n v="3.77"/>
    <n v="1"/>
    <s v="high"/>
    <n v="3"/>
    <n v="9"/>
    <n v="9"/>
    <n v="0"/>
    <x v="3"/>
  </r>
  <r>
    <n v="18"/>
    <x v="1"/>
    <n v="1.9"/>
    <x v="1"/>
    <n v="5.8"/>
    <n v="1.7"/>
    <n v="3.52"/>
    <n v="0.2"/>
    <s v="low"/>
    <n v="6"/>
    <n v="5"/>
    <n v="1"/>
    <n v="0"/>
    <x v="2"/>
  </r>
  <r>
    <n v="13"/>
    <x v="0"/>
    <n v="5.9"/>
    <x v="0"/>
    <n v="7.5"/>
    <n v="1.4"/>
    <n v="2.58"/>
    <n v="1.2"/>
    <s v="low"/>
    <n v="6"/>
    <n v="2"/>
    <n v="8"/>
    <n v="0"/>
    <x v="0"/>
  </r>
  <r>
    <n v="13"/>
    <x v="1"/>
    <n v="6.5"/>
    <x v="1"/>
    <n v="8.3000000000000007"/>
    <n v="0.6"/>
    <n v="3.05"/>
    <n v="0.3"/>
    <s v="high"/>
    <n v="2"/>
    <n v="7"/>
    <n v="8"/>
    <n v="0"/>
    <x v="0"/>
  </r>
  <r>
    <n v="15"/>
    <x v="0"/>
    <n v="7.5"/>
    <x v="0"/>
    <n v="8.1"/>
    <n v="2.5"/>
    <n v="3.56"/>
    <n v="1.2"/>
    <s v="medium"/>
    <n v="6"/>
    <n v="8"/>
    <n v="10"/>
    <n v="0"/>
    <x v="3"/>
  </r>
  <r>
    <n v="19"/>
    <x v="0"/>
    <n v="4.9000000000000004"/>
    <x v="1"/>
    <n v="4.5"/>
    <n v="2.9"/>
    <n v="3.88"/>
    <n v="0.8"/>
    <s v="low"/>
    <n v="5"/>
    <n v="5"/>
    <n v="6"/>
    <n v="0"/>
    <x v="1"/>
  </r>
  <r>
    <n v="13"/>
    <x v="0"/>
    <n v="2.2000000000000002"/>
    <x v="1"/>
    <n v="5.3"/>
    <n v="1.4"/>
    <n v="3.97"/>
    <n v="0"/>
    <s v="low"/>
    <n v="1"/>
    <n v="10"/>
    <n v="7"/>
    <n v="0"/>
    <x v="0"/>
  </r>
  <r>
    <n v="14"/>
    <x v="0"/>
    <n v="5.8"/>
    <x v="2"/>
    <n v="6.9"/>
    <n v="0.7"/>
    <n v="3.01"/>
    <n v="1.9"/>
    <s v="high"/>
    <n v="9"/>
    <n v="9"/>
    <n v="4"/>
    <n v="0"/>
    <x v="0"/>
  </r>
  <r>
    <n v="14"/>
    <x v="0"/>
    <n v="1.3"/>
    <x v="0"/>
    <n v="8.5"/>
    <n v="0.9"/>
    <n v="3.71"/>
    <n v="0.7"/>
    <s v="high"/>
    <n v="3"/>
    <n v="3"/>
    <n v="6"/>
    <n v="0"/>
    <x v="0"/>
  </r>
  <r>
    <n v="19"/>
    <x v="1"/>
    <n v="2.8"/>
    <x v="1"/>
    <n v="4.8"/>
    <n v="1.7"/>
    <n v="2.8"/>
    <n v="0.6"/>
    <s v="low"/>
    <n v="5"/>
    <n v="7"/>
    <n v="4"/>
    <n v="0"/>
    <x v="1"/>
  </r>
  <r>
    <n v="19"/>
    <x v="1"/>
    <n v="4"/>
    <x v="1"/>
    <n v="6.5"/>
    <n v="2.4"/>
    <n v="3.67"/>
    <n v="0.6"/>
    <s v="low"/>
    <n v="4"/>
    <n v="6"/>
    <n v="4"/>
    <n v="0"/>
    <x v="1"/>
  </r>
  <r>
    <n v="14"/>
    <x v="1"/>
    <n v="1.7"/>
    <x v="1"/>
    <n v="4.9000000000000004"/>
    <n v="1.6"/>
    <n v="2.36"/>
    <n v="1.7"/>
    <s v="high"/>
    <n v="3"/>
    <n v="1"/>
    <n v="6"/>
    <n v="0"/>
    <x v="0"/>
  </r>
  <r>
    <n v="18"/>
    <x v="1"/>
    <n v="1.4"/>
    <x v="1"/>
    <n v="6.1"/>
    <n v="1.6"/>
    <n v="2.56"/>
    <n v="1.2"/>
    <s v="high"/>
    <n v="2"/>
    <n v="7"/>
    <n v="8"/>
    <n v="0"/>
    <x v="2"/>
  </r>
  <r>
    <n v="19"/>
    <x v="0"/>
    <n v="2.2999999999999998"/>
    <x v="1"/>
    <n v="6.5"/>
    <n v="3"/>
    <n v="3.5"/>
    <n v="0.1"/>
    <s v="high"/>
    <n v="9"/>
    <n v="10"/>
    <n v="8"/>
    <n v="0"/>
    <x v="1"/>
  </r>
  <r>
    <n v="14"/>
    <x v="0"/>
    <n v="3.8"/>
    <x v="0"/>
    <n v="5.3"/>
    <n v="1"/>
    <n v="2.2799999999999998"/>
    <n v="1.2"/>
    <s v="low"/>
    <n v="9"/>
    <n v="3"/>
    <n v="1"/>
    <n v="0"/>
    <x v="0"/>
  </r>
  <r>
    <n v="13"/>
    <x v="0"/>
    <n v="6.4"/>
    <x v="1"/>
    <n v="5.0999999999999996"/>
    <n v="2.5"/>
    <n v="2.62"/>
    <n v="1.3"/>
    <s v="low"/>
    <n v="5"/>
    <n v="4"/>
    <n v="7"/>
    <n v="0"/>
    <x v="0"/>
  </r>
  <r>
    <n v="19"/>
    <x v="0"/>
    <n v="6"/>
    <x v="2"/>
    <n v="7.1"/>
    <n v="0.9"/>
    <n v="2.98"/>
    <n v="0.1"/>
    <s v="low"/>
    <n v="1"/>
    <n v="6"/>
    <n v="5"/>
    <n v="0"/>
    <x v="1"/>
  </r>
  <r>
    <n v="16"/>
    <x v="0"/>
    <n v="1.9"/>
    <x v="0"/>
    <n v="7.8"/>
    <n v="2.1"/>
    <n v="2.2599999999999998"/>
    <n v="0.3"/>
    <s v="high"/>
    <n v="7"/>
    <n v="7"/>
    <n v="5"/>
    <n v="0"/>
    <x v="3"/>
  </r>
  <r>
    <n v="17"/>
    <x v="0"/>
    <n v="2.4"/>
    <x v="1"/>
    <n v="8.5"/>
    <n v="2.4"/>
    <n v="2.79"/>
    <n v="1.1000000000000001"/>
    <s v="low"/>
    <n v="1"/>
    <n v="6"/>
    <n v="7"/>
    <n v="0"/>
    <x v="2"/>
  </r>
  <r>
    <n v="14"/>
    <x v="1"/>
    <n v="2.7"/>
    <x v="0"/>
    <n v="5.0999999999999996"/>
    <n v="2.4"/>
    <n v="2.17"/>
    <n v="1.8"/>
    <s v="high"/>
    <n v="3"/>
    <n v="10"/>
    <n v="8"/>
    <n v="0"/>
    <x v="0"/>
  </r>
  <r>
    <n v="14"/>
    <x v="0"/>
    <n v="1.5"/>
    <x v="2"/>
    <n v="7.2"/>
    <n v="1.7"/>
    <n v="2.76"/>
    <n v="0"/>
    <s v="low"/>
    <n v="10"/>
    <n v="7"/>
    <n v="10"/>
    <n v="0"/>
    <x v="0"/>
  </r>
  <r>
    <n v="18"/>
    <x v="0"/>
    <n v="7.7"/>
    <x v="0"/>
    <n v="7.3"/>
    <n v="1.8"/>
    <n v="3.13"/>
    <n v="2"/>
    <s v="medium"/>
    <n v="7"/>
    <n v="9"/>
    <n v="7"/>
    <n v="0"/>
    <x v="2"/>
  </r>
  <r>
    <n v="13"/>
    <x v="0"/>
    <n v="2.9"/>
    <x v="1"/>
    <n v="5.0999999999999996"/>
    <n v="2.2000000000000002"/>
    <n v="3.81"/>
    <n v="0.7"/>
    <s v="low"/>
    <n v="6"/>
    <n v="6"/>
    <n v="10"/>
    <n v="0"/>
    <x v="0"/>
  </r>
  <r>
    <n v="16"/>
    <x v="0"/>
    <n v="7.6"/>
    <x v="1"/>
    <n v="4.3"/>
    <n v="2.7"/>
    <n v="2.5099999999999998"/>
    <n v="0.3"/>
    <s v="medium"/>
    <n v="3"/>
    <n v="9"/>
    <n v="10"/>
    <n v="0"/>
    <x v="3"/>
  </r>
  <r>
    <n v="18"/>
    <x v="0"/>
    <n v="5.7"/>
    <x v="2"/>
    <n v="8.4"/>
    <n v="2.4"/>
    <n v="2.84"/>
    <n v="0.7"/>
    <s v="low"/>
    <n v="5"/>
    <n v="4"/>
    <n v="9"/>
    <n v="0"/>
    <x v="2"/>
  </r>
  <r>
    <n v="19"/>
    <x v="0"/>
    <n v="1.2"/>
    <x v="1"/>
    <n v="5"/>
    <n v="1.5"/>
    <n v="2.09"/>
    <n v="0.6"/>
    <s v="medium"/>
    <n v="5"/>
    <n v="2"/>
    <n v="1"/>
    <n v="0"/>
    <x v="1"/>
  </r>
  <r>
    <n v="16"/>
    <x v="1"/>
    <n v="2.4"/>
    <x v="2"/>
    <n v="6.2"/>
    <n v="1.6"/>
    <n v="2.38"/>
    <n v="0"/>
    <s v="medium"/>
    <n v="8"/>
    <n v="4"/>
    <n v="10"/>
    <n v="0"/>
    <x v="3"/>
  </r>
  <r>
    <n v="17"/>
    <x v="1"/>
    <n v="6.2"/>
    <x v="2"/>
    <n v="5.0999999999999996"/>
    <n v="2"/>
    <n v="3.82"/>
    <n v="1.7"/>
    <s v="medium"/>
    <n v="7"/>
    <n v="3"/>
    <n v="5"/>
    <n v="0"/>
    <x v="2"/>
  </r>
  <r>
    <n v="14"/>
    <x v="1"/>
    <n v="4.7"/>
    <x v="0"/>
    <n v="5.0999999999999996"/>
    <n v="2.2000000000000002"/>
    <n v="2.0299999999999998"/>
    <n v="1.1000000000000001"/>
    <s v="medium"/>
    <n v="2"/>
    <n v="10"/>
    <n v="7"/>
    <n v="0"/>
    <x v="0"/>
  </r>
  <r>
    <n v="19"/>
    <x v="0"/>
    <n v="5.3"/>
    <x v="0"/>
    <n v="6.7"/>
    <n v="0.7"/>
    <n v="3.59"/>
    <n v="1.8"/>
    <s v="high"/>
    <n v="4"/>
    <n v="8"/>
    <n v="8"/>
    <n v="0"/>
    <x v="1"/>
  </r>
  <r>
    <n v="19"/>
    <x v="1"/>
    <n v="6"/>
    <x v="1"/>
    <n v="6"/>
    <n v="0.7"/>
    <n v="3.29"/>
    <n v="1.4"/>
    <s v="low"/>
    <n v="4"/>
    <n v="5"/>
    <n v="1"/>
    <n v="0"/>
    <x v="1"/>
  </r>
  <r>
    <n v="16"/>
    <x v="1"/>
    <n v="7.8"/>
    <x v="1"/>
    <n v="4.7"/>
    <n v="2.1"/>
    <n v="2.48"/>
    <n v="2"/>
    <s v="low"/>
    <n v="8"/>
    <n v="3"/>
    <n v="1"/>
    <n v="0"/>
    <x v="3"/>
  </r>
  <r>
    <n v="14"/>
    <x v="1"/>
    <n v="4.4000000000000004"/>
    <x v="2"/>
    <n v="4.2"/>
    <n v="2.6"/>
    <n v="2.2799999999999998"/>
    <n v="1.3"/>
    <s v="medium"/>
    <n v="8"/>
    <n v="10"/>
    <n v="4"/>
    <n v="0"/>
    <x v="0"/>
  </r>
  <r>
    <n v="17"/>
    <x v="0"/>
    <n v="6.7"/>
    <x v="0"/>
    <n v="7.6"/>
    <n v="2.4"/>
    <n v="3.59"/>
    <n v="0.4"/>
    <s v="medium"/>
    <n v="9"/>
    <n v="5"/>
    <n v="5"/>
    <n v="0"/>
    <x v="2"/>
  </r>
  <r>
    <n v="13"/>
    <x v="1"/>
    <n v="7.2"/>
    <x v="1"/>
    <n v="7.4"/>
    <n v="2.2000000000000002"/>
    <n v="3.42"/>
    <n v="0.1"/>
    <s v="low"/>
    <n v="8"/>
    <n v="9"/>
    <n v="6"/>
    <n v="0"/>
    <x v="0"/>
  </r>
  <r>
    <n v="18"/>
    <x v="0"/>
    <n v="6.1"/>
    <x v="2"/>
    <n v="4.4000000000000004"/>
    <n v="2.1"/>
    <n v="2.23"/>
    <n v="1"/>
    <s v="low"/>
    <n v="8"/>
    <n v="2"/>
    <n v="5"/>
    <n v="0"/>
    <x v="2"/>
  </r>
  <r>
    <n v="16"/>
    <x v="0"/>
    <n v="5.4"/>
    <x v="1"/>
    <n v="8.6999999999999993"/>
    <n v="1.9"/>
    <n v="2.67"/>
    <n v="1.3"/>
    <s v="low"/>
    <n v="1"/>
    <n v="5"/>
    <n v="7"/>
    <n v="0"/>
    <x v="3"/>
  </r>
  <r>
    <n v="19"/>
    <x v="0"/>
    <n v="2.7"/>
    <x v="2"/>
    <n v="7.7"/>
    <n v="0.7"/>
    <n v="2.2200000000000002"/>
    <n v="0.4"/>
    <s v="medium"/>
    <n v="10"/>
    <n v="8"/>
    <n v="7"/>
    <n v="0"/>
    <x v="1"/>
  </r>
  <r>
    <n v="13"/>
    <x v="1"/>
    <n v="7.9"/>
    <x v="0"/>
    <n v="7.2"/>
    <n v="1.5"/>
    <n v="2.36"/>
    <n v="0.2"/>
    <s v="medium"/>
    <n v="2"/>
    <n v="6"/>
    <n v="8"/>
    <n v="0"/>
    <x v="0"/>
  </r>
  <r>
    <n v="13"/>
    <x v="0"/>
    <n v="4.5999999999999996"/>
    <x v="1"/>
    <n v="7.3"/>
    <n v="1.6"/>
    <n v="2.91"/>
    <n v="0.4"/>
    <s v="low"/>
    <n v="10"/>
    <n v="5"/>
    <n v="7"/>
    <n v="0"/>
    <x v="0"/>
  </r>
  <r>
    <n v="13"/>
    <x v="0"/>
    <n v="5.6"/>
    <x v="0"/>
    <n v="4.5999999999999996"/>
    <n v="1.9"/>
    <n v="2.54"/>
    <n v="0.1"/>
    <s v="low"/>
    <n v="5"/>
    <n v="5"/>
    <n v="6"/>
    <n v="0"/>
    <x v="0"/>
  </r>
  <r>
    <n v="17"/>
    <x v="1"/>
    <n v="6.5"/>
    <x v="1"/>
    <n v="6.4"/>
    <n v="0.7"/>
    <n v="3.57"/>
    <n v="1.1000000000000001"/>
    <s v="low"/>
    <n v="2"/>
    <n v="9"/>
    <n v="6"/>
    <n v="0"/>
    <x v="2"/>
  </r>
  <r>
    <n v="19"/>
    <x v="0"/>
    <n v="5.9"/>
    <x v="2"/>
    <n v="7.2"/>
    <n v="0.9"/>
    <n v="3.99"/>
    <n v="1.7"/>
    <s v="low"/>
    <n v="7"/>
    <n v="9"/>
    <n v="3"/>
    <n v="0"/>
    <x v="1"/>
  </r>
  <r>
    <n v="19"/>
    <x v="1"/>
    <n v="1.1000000000000001"/>
    <x v="1"/>
    <n v="5.0999999999999996"/>
    <n v="2.2000000000000002"/>
    <n v="2.13"/>
    <n v="0.9"/>
    <s v="low"/>
    <n v="7"/>
    <n v="7"/>
    <n v="2"/>
    <n v="0"/>
    <x v="1"/>
  </r>
  <r>
    <n v="18"/>
    <x v="0"/>
    <n v="3.2"/>
    <x v="1"/>
    <n v="5.0999999999999996"/>
    <n v="1.2"/>
    <n v="3.54"/>
    <n v="1.3"/>
    <s v="low"/>
    <n v="6"/>
    <n v="2"/>
    <n v="8"/>
    <n v="0"/>
    <x v="2"/>
  </r>
  <r>
    <n v="14"/>
    <x v="0"/>
    <n v="6.5"/>
    <x v="0"/>
    <n v="5.3"/>
    <n v="2.7"/>
    <n v="3.79"/>
    <n v="0.8"/>
    <s v="low"/>
    <n v="8"/>
    <n v="6"/>
    <n v="4"/>
    <n v="0"/>
    <x v="0"/>
  </r>
  <r>
    <n v="17"/>
    <x v="1"/>
    <n v="7.3"/>
    <x v="0"/>
    <n v="6.2"/>
    <n v="1"/>
    <n v="2.02"/>
    <n v="0.2"/>
    <s v="low"/>
    <n v="1"/>
    <n v="6"/>
    <n v="3"/>
    <n v="0"/>
    <x v="2"/>
  </r>
  <r>
    <n v="17"/>
    <x v="0"/>
    <n v="1.5"/>
    <x v="1"/>
    <n v="5.5"/>
    <n v="1.7"/>
    <n v="2.93"/>
    <n v="0.7"/>
    <s v="low"/>
    <n v="4"/>
    <n v="9"/>
    <n v="9"/>
    <n v="0"/>
    <x v="2"/>
  </r>
  <r>
    <n v="16"/>
    <x v="0"/>
    <n v="3.8"/>
    <x v="0"/>
    <n v="6.8"/>
    <n v="2.4"/>
    <n v="3.1"/>
    <n v="1.6"/>
    <s v="low"/>
    <n v="6"/>
    <n v="10"/>
    <n v="4"/>
    <n v="0"/>
    <x v="3"/>
  </r>
  <r>
    <n v="13"/>
    <x v="1"/>
    <n v="3.6"/>
    <x v="1"/>
    <n v="8.6"/>
    <n v="2.8"/>
    <n v="3.28"/>
    <n v="0.7"/>
    <s v="high"/>
    <n v="10"/>
    <n v="3"/>
    <n v="5"/>
    <n v="0"/>
    <x v="0"/>
  </r>
  <r>
    <n v="15"/>
    <x v="0"/>
    <n v="3.6"/>
    <x v="1"/>
    <n v="4.3"/>
    <n v="2.9"/>
    <n v="2.2000000000000002"/>
    <n v="1"/>
    <s v="high"/>
    <n v="10"/>
    <n v="9"/>
    <n v="7"/>
    <n v="0"/>
    <x v="3"/>
  </r>
  <r>
    <n v="17"/>
    <x v="1"/>
    <n v="5.3"/>
    <x v="0"/>
    <n v="7.4"/>
    <n v="1.2"/>
    <n v="3.41"/>
    <n v="1.1000000000000001"/>
    <s v="high"/>
    <n v="6"/>
    <n v="3"/>
    <n v="7"/>
    <n v="0"/>
    <x v="2"/>
  </r>
  <r>
    <n v="19"/>
    <x v="0"/>
    <n v="4.4000000000000004"/>
    <x v="1"/>
    <n v="4.3"/>
    <n v="0.8"/>
    <n v="2.44"/>
    <n v="1"/>
    <s v="high"/>
    <n v="9"/>
    <n v="9"/>
    <n v="7"/>
    <n v="0"/>
    <x v="1"/>
  </r>
  <r>
    <n v="18"/>
    <x v="0"/>
    <n v="7.7"/>
    <x v="1"/>
    <n v="4.7"/>
    <n v="1.4"/>
    <n v="3.04"/>
    <n v="0.6"/>
    <s v="medium"/>
    <n v="9"/>
    <n v="6"/>
    <n v="6"/>
    <n v="0"/>
    <x v="2"/>
  </r>
  <r>
    <n v="14"/>
    <x v="1"/>
    <n v="7.1"/>
    <x v="1"/>
    <n v="4.5"/>
    <n v="2.4"/>
    <n v="3.53"/>
    <n v="0.4"/>
    <s v="high"/>
    <n v="3"/>
    <n v="4"/>
    <n v="4"/>
    <n v="0"/>
    <x v="0"/>
  </r>
  <r>
    <n v="16"/>
    <x v="0"/>
    <n v="4.9000000000000004"/>
    <x v="0"/>
    <n v="6.8"/>
    <n v="1"/>
    <n v="3.18"/>
    <n v="1.9"/>
    <s v="high"/>
    <n v="7"/>
    <n v="4"/>
    <n v="8"/>
    <n v="0"/>
    <x v="3"/>
  </r>
  <r>
    <n v="19"/>
    <x v="0"/>
    <n v="4.5999999999999996"/>
    <x v="2"/>
    <n v="8.9"/>
    <n v="1.9"/>
    <n v="2.5"/>
    <n v="0.4"/>
    <s v="medium"/>
    <n v="8"/>
    <n v="1"/>
    <n v="3"/>
    <n v="0"/>
    <x v="1"/>
  </r>
  <r>
    <n v="19"/>
    <x v="0"/>
    <n v="1.8"/>
    <x v="0"/>
    <n v="6.5"/>
    <n v="2.6"/>
    <n v="2.75"/>
    <n v="1.7"/>
    <s v="high"/>
    <n v="7"/>
    <n v="6"/>
    <n v="1"/>
    <n v="0"/>
    <x v="1"/>
  </r>
  <r>
    <n v="16"/>
    <x v="0"/>
    <n v="4.2"/>
    <x v="2"/>
    <n v="5.7"/>
    <n v="1"/>
    <n v="2.77"/>
    <n v="0.1"/>
    <s v="high"/>
    <n v="10"/>
    <n v="5"/>
    <n v="9"/>
    <n v="0"/>
    <x v="3"/>
  </r>
  <r>
    <n v="16"/>
    <x v="0"/>
    <n v="1.5"/>
    <x v="1"/>
    <n v="6.7"/>
    <n v="0.5"/>
    <n v="2.78"/>
    <n v="1.2"/>
    <s v="low"/>
    <n v="1"/>
    <n v="9"/>
    <n v="6"/>
    <n v="0"/>
    <x v="3"/>
  </r>
  <r>
    <n v="19"/>
    <x v="0"/>
    <n v="7"/>
    <x v="0"/>
    <n v="8.9"/>
    <n v="2.8"/>
    <n v="2.84"/>
    <n v="0.4"/>
    <s v="high"/>
    <n v="6"/>
    <n v="8"/>
    <n v="6"/>
    <n v="0"/>
    <x v="1"/>
  </r>
  <r>
    <n v="14"/>
    <x v="1"/>
    <n v="6.5"/>
    <x v="2"/>
    <n v="7.8"/>
    <n v="1.5"/>
    <n v="3.26"/>
    <n v="0.8"/>
    <s v="medium"/>
    <n v="9"/>
    <n v="2"/>
    <n v="3"/>
    <n v="0"/>
    <x v="0"/>
  </r>
  <r>
    <n v="19"/>
    <x v="1"/>
    <n v="4.3"/>
    <x v="0"/>
    <n v="5.9"/>
    <n v="2.1"/>
    <n v="2.85"/>
    <n v="1.7"/>
    <s v="high"/>
    <n v="9"/>
    <n v="9"/>
    <n v="8"/>
    <n v="0"/>
    <x v="1"/>
  </r>
  <r>
    <n v="16"/>
    <x v="0"/>
    <n v="7.2"/>
    <x v="2"/>
    <n v="7.7"/>
    <n v="2.5"/>
    <n v="2.56"/>
    <n v="1.7"/>
    <s v="high"/>
    <n v="8"/>
    <n v="7"/>
    <n v="6"/>
    <n v="0"/>
    <x v="3"/>
  </r>
  <r>
    <n v="13"/>
    <x v="0"/>
    <n v="7"/>
    <x v="2"/>
    <n v="4.0999999999999996"/>
    <n v="1.9"/>
    <n v="2.2999999999999998"/>
    <n v="0.3"/>
    <s v="medium"/>
    <n v="3"/>
    <n v="10"/>
    <n v="6"/>
    <n v="0"/>
    <x v="0"/>
  </r>
  <r>
    <n v="18"/>
    <x v="1"/>
    <n v="3.8"/>
    <x v="2"/>
    <n v="5.4"/>
    <n v="1.7"/>
    <n v="3.06"/>
    <n v="1.9"/>
    <s v="medium"/>
    <n v="5"/>
    <n v="10"/>
    <n v="3"/>
    <n v="0"/>
    <x v="2"/>
  </r>
  <r>
    <n v="17"/>
    <x v="1"/>
    <n v="3"/>
    <x v="0"/>
    <n v="6.9"/>
    <n v="2.2999999999999998"/>
    <n v="3.34"/>
    <n v="0.6"/>
    <s v="low"/>
    <n v="5"/>
    <n v="2"/>
    <n v="9"/>
    <n v="0"/>
    <x v="2"/>
  </r>
  <r>
    <n v="14"/>
    <x v="1"/>
    <n v="7"/>
    <x v="1"/>
    <n v="7.8"/>
    <n v="1.1000000000000001"/>
    <n v="3.81"/>
    <n v="1.4"/>
    <s v="medium"/>
    <n v="10"/>
    <n v="4"/>
    <n v="2"/>
    <n v="0"/>
    <x v="0"/>
  </r>
  <r>
    <n v="13"/>
    <x v="0"/>
    <n v="4.5999999999999996"/>
    <x v="1"/>
    <n v="5.3"/>
    <n v="2.2999999999999998"/>
    <n v="2.42"/>
    <n v="0.2"/>
    <s v="low"/>
    <n v="5"/>
    <n v="9"/>
    <n v="5"/>
    <n v="0"/>
    <x v="0"/>
  </r>
  <r>
    <n v="16"/>
    <x v="0"/>
    <n v="3.4"/>
    <x v="2"/>
    <n v="8.9"/>
    <n v="2.6"/>
    <n v="2.54"/>
    <n v="1.8"/>
    <s v="high"/>
    <n v="6"/>
    <n v="2"/>
    <n v="5"/>
    <n v="0"/>
    <x v="3"/>
  </r>
  <r>
    <n v="19"/>
    <x v="1"/>
    <n v="3.5"/>
    <x v="1"/>
    <n v="6.7"/>
    <n v="2.7"/>
    <n v="3.4"/>
    <n v="1.2"/>
    <s v="low"/>
    <n v="4"/>
    <n v="6"/>
    <n v="7"/>
    <n v="0"/>
    <x v="1"/>
  </r>
  <r>
    <n v="14"/>
    <x v="1"/>
    <n v="4.4000000000000004"/>
    <x v="2"/>
    <n v="7.3"/>
    <n v="2.7"/>
    <n v="3.3"/>
    <n v="1.1000000000000001"/>
    <s v="low"/>
    <n v="2"/>
    <n v="1"/>
    <n v="9"/>
    <n v="0"/>
    <x v="0"/>
  </r>
  <r>
    <n v="14"/>
    <x v="1"/>
    <n v="1.8"/>
    <x v="2"/>
    <n v="8.1999999999999993"/>
    <n v="2.2000000000000002"/>
    <n v="3.36"/>
    <n v="1.7"/>
    <s v="high"/>
    <n v="9"/>
    <n v="5"/>
    <n v="10"/>
    <n v="0"/>
    <x v="0"/>
  </r>
  <r>
    <n v="17"/>
    <x v="0"/>
    <n v="3.9"/>
    <x v="2"/>
    <n v="7.7"/>
    <n v="1"/>
    <n v="2.1"/>
    <n v="1.8"/>
    <s v="high"/>
    <n v="7"/>
    <n v="4"/>
    <n v="5"/>
    <n v="0"/>
    <x v="2"/>
  </r>
  <r>
    <n v="14"/>
    <x v="1"/>
    <n v="4.4000000000000004"/>
    <x v="1"/>
    <n v="5.7"/>
    <n v="1"/>
    <n v="3.2"/>
    <n v="1.9"/>
    <s v="high"/>
    <n v="4"/>
    <n v="2"/>
    <n v="2"/>
    <n v="0"/>
    <x v="0"/>
  </r>
  <r>
    <n v="13"/>
    <x v="1"/>
    <n v="2"/>
    <x v="0"/>
    <n v="8.6999999999999993"/>
    <n v="1.9"/>
    <n v="2.2799999999999998"/>
    <n v="1.2"/>
    <s v="medium"/>
    <n v="7"/>
    <n v="7"/>
    <n v="9"/>
    <n v="0"/>
    <x v="0"/>
  </r>
  <r>
    <n v="17"/>
    <x v="0"/>
    <n v="7.2"/>
    <x v="1"/>
    <n v="8.8000000000000007"/>
    <n v="2.5"/>
    <n v="3.97"/>
    <n v="1.9"/>
    <s v="low"/>
    <n v="1"/>
    <n v="3"/>
    <n v="9"/>
    <n v="0"/>
    <x v="2"/>
  </r>
  <r>
    <n v="19"/>
    <x v="0"/>
    <n v="4.4000000000000004"/>
    <x v="2"/>
    <n v="6.4"/>
    <n v="0.9"/>
    <n v="2.72"/>
    <n v="0.2"/>
    <s v="medium"/>
    <n v="6"/>
    <n v="9"/>
    <n v="8"/>
    <n v="0"/>
    <x v="1"/>
  </r>
  <r>
    <n v="14"/>
    <x v="0"/>
    <n v="7.2"/>
    <x v="1"/>
    <n v="4.8"/>
    <n v="1.4"/>
    <n v="2.36"/>
    <n v="0.1"/>
    <s v="low"/>
    <n v="5"/>
    <n v="7"/>
    <n v="1"/>
    <n v="0"/>
    <x v="0"/>
  </r>
  <r>
    <n v="13"/>
    <x v="0"/>
    <n v="5.4"/>
    <x v="0"/>
    <n v="6.5"/>
    <n v="0.8"/>
    <n v="3.17"/>
    <n v="0.3"/>
    <s v="medium"/>
    <n v="10"/>
    <n v="3"/>
    <n v="3"/>
    <n v="0"/>
    <x v="0"/>
  </r>
  <r>
    <n v="16"/>
    <x v="0"/>
    <n v="1.5"/>
    <x v="1"/>
    <n v="4.0999999999999996"/>
    <n v="1.3"/>
    <n v="3.67"/>
    <n v="1.2"/>
    <s v="high"/>
    <n v="10"/>
    <n v="6"/>
    <n v="6"/>
    <n v="0"/>
    <x v="3"/>
  </r>
  <r>
    <n v="15"/>
    <x v="1"/>
    <n v="1.8"/>
    <x v="0"/>
    <n v="8"/>
    <n v="2.8"/>
    <n v="3.49"/>
    <n v="0.6"/>
    <s v="low"/>
    <n v="9"/>
    <n v="8"/>
    <n v="8"/>
    <n v="0"/>
    <x v="3"/>
  </r>
  <r>
    <n v="17"/>
    <x v="1"/>
    <n v="3.7"/>
    <x v="1"/>
    <n v="5.3"/>
    <n v="0.7"/>
    <n v="2.09"/>
    <n v="0.8"/>
    <s v="high"/>
    <n v="8"/>
    <n v="8"/>
    <n v="10"/>
    <n v="0"/>
    <x v="2"/>
  </r>
  <r>
    <n v="13"/>
    <x v="0"/>
    <n v="6.4"/>
    <x v="2"/>
    <n v="8.3000000000000007"/>
    <n v="1.3"/>
    <n v="2.21"/>
    <n v="1.2"/>
    <s v="high"/>
    <n v="4"/>
    <n v="5"/>
    <n v="9"/>
    <n v="0"/>
    <x v="0"/>
  </r>
  <r>
    <n v="19"/>
    <x v="0"/>
    <n v="6.4"/>
    <x v="2"/>
    <n v="6.7"/>
    <n v="2.4"/>
    <n v="2.2000000000000002"/>
    <n v="1.3"/>
    <s v="low"/>
    <n v="5"/>
    <n v="2"/>
    <n v="2"/>
    <n v="0"/>
    <x v="1"/>
  </r>
  <r>
    <n v="17"/>
    <x v="1"/>
    <n v="1.1000000000000001"/>
    <x v="0"/>
    <n v="9"/>
    <n v="2.9"/>
    <n v="2.74"/>
    <n v="1"/>
    <s v="medium"/>
    <n v="2"/>
    <n v="8"/>
    <n v="2"/>
    <n v="0"/>
    <x v="2"/>
  </r>
  <r>
    <n v="13"/>
    <x v="0"/>
    <n v="1.3"/>
    <x v="1"/>
    <n v="7.8"/>
    <n v="2.6"/>
    <n v="3.01"/>
    <n v="0.3"/>
    <s v="low"/>
    <n v="2"/>
    <n v="9"/>
    <n v="10"/>
    <n v="0"/>
    <x v="0"/>
  </r>
  <r>
    <n v="17"/>
    <x v="1"/>
    <n v="4.4000000000000004"/>
    <x v="0"/>
    <n v="6"/>
    <n v="1.2"/>
    <n v="2.48"/>
    <n v="0.9"/>
    <s v="medium"/>
    <n v="6"/>
    <n v="2"/>
    <n v="6"/>
    <n v="0"/>
    <x v="2"/>
  </r>
  <r>
    <n v="13"/>
    <x v="0"/>
    <n v="7.8"/>
    <x v="0"/>
    <n v="5"/>
    <n v="1.8"/>
    <n v="3.57"/>
    <n v="1.5"/>
    <s v="medium"/>
    <n v="8"/>
    <n v="10"/>
    <n v="3"/>
    <n v="1"/>
    <x v="0"/>
  </r>
  <r>
    <n v="14"/>
    <x v="1"/>
    <n v="6.9"/>
    <x v="1"/>
    <n v="6.4"/>
    <n v="0.9"/>
    <n v="2.04"/>
    <n v="1.3"/>
    <s v="medium"/>
    <n v="5"/>
    <n v="5"/>
    <n v="9"/>
    <n v="0"/>
    <x v="0"/>
  </r>
  <r>
    <n v="14"/>
    <x v="1"/>
    <n v="4.8"/>
    <x v="0"/>
    <n v="6.8"/>
    <n v="0.8"/>
    <n v="3"/>
    <n v="0.9"/>
    <s v="low"/>
    <n v="4"/>
    <n v="3"/>
    <n v="4"/>
    <n v="0"/>
    <x v="0"/>
  </r>
  <r>
    <n v="13"/>
    <x v="0"/>
    <n v="7.5"/>
    <x v="0"/>
    <n v="8.6"/>
    <n v="1.9"/>
    <n v="3.33"/>
    <n v="0.9"/>
    <s v="medium"/>
    <n v="7"/>
    <n v="3"/>
    <n v="10"/>
    <n v="0"/>
    <x v="0"/>
  </r>
  <r>
    <n v="15"/>
    <x v="1"/>
    <n v="6.7"/>
    <x v="0"/>
    <n v="7"/>
    <n v="2.2000000000000002"/>
    <n v="2.61"/>
    <n v="0.7"/>
    <s v="high"/>
    <n v="2"/>
    <n v="7"/>
    <n v="8"/>
    <n v="0"/>
    <x v="3"/>
  </r>
  <r>
    <n v="14"/>
    <x v="0"/>
    <n v="3.8"/>
    <x v="0"/>
    <n v="4.8"/>
    <n v="1.9"/>
    <n v="3.97"/>
    <n v="0.2"/>
    <s v="high"/>
    <n v="4"/>
    <n v="6"/>
    <n v="6"/>
    <n v="0"/>
    <x v="0"/>
  </r>
  <r>
    <n v="15"/>
    <x v="0"/>
    <n v="3"/>
    <x v="0"/>
    <n v="8.6"/>
    <n v="1.5"/>
    <n v="3.27"/>
    <n v="0.8"/>
    <s v="medium"/>
    <n v="10"/>
    <n v="10"/>
    <n v="4"/>
    <n v="0"/>
    <x v="3"/>
  </r>
  <r>
    <n v="17"/>
    <x v="0"/>
    <n v="7.8"/>
    <x v="1"/>
    <n v="7.1"/>
    <n v="0.8"/>
    <n v="2.79"/>
    <n v="1.4"/>
    <s v="medium"/>
    <n v="9"/>
    <n v="4"/>
    <n v="2"/>
    <n v="0"/>
    <x v="2"/>
  </r>
  <r>
    <n v="14"/>
    <x v="1"/>
    <n v="7.8"/>
    <x v="0"/>
    <n v="4.3"/>
    <n v="2.6"/>
    <n v="3.33"/>
    <n v="2"/>
    <s v="high"/>
    <n v="3"/>
    <n v="7"/>
    <n v="3"/>
    <n v="0"/>
    <x v="0"/>
  </r>
  <r>
    <n v="15"/>
    <x v="1"/>
    <n v="6.6"/>
    <x v="1"/>
    <n v="9"/>
    <n v="1.5"/>
    <n v="3.04"/>
    <n v="1.5"/>
    <s v="low"/>
    <n v="4"/>
    <n v="2"/>
    <n v="7"/>
    <n v="0"/>
    <x v="3"/>
  </r>
  <r>
    <n v="13"/>
    <x v="1"/>
    <n v="7.3"/>
    <x v="0"/>
    <n v="6.4"/>
    <n v="2.2999999999999998"/>
    <n v="2.5299999999999998"/>
    <n v="0.7"/>
    <s v="low"/>
    <n v="9"/>
    <n v="9"/>
    <n v="4"/>
    <n v="0"/>
    <x v="0"/>
  </r>
  <r>
    <n v="19"/>
    <x v="0"/>
    <n v="6.6"/>
    <x v="0"/>
    <n v="4.4000000000000004"/>
    <n v="1.1000000000000001"/>
    <n v="2.29"/>
    <n v="1"/>
    <s v="low"/>
    <n v="6"/>
    <n v="8"/>
    <n v="5"/>
    <n v="0"/>
    <x v="1"/>
  </r>
  <r>
    <n v="19"/>
    <x v="1"/>
    <n v="5.6"/>
    <x v="1"/>
    <n v="8.1"/>
    <n v="3"/>
    <n v="2.75"/>
    <n v="0.7"/>
    <s v="medium"/>
    <n v="6"/>
    <n v="3"/>
    <n v="4"/>
    <n v="0"/>
    <x v="1"/>
  </r>
  <r>
    <n v="13"/>
    <x v="1"/>
    <n v="8"/>
    <x v="0"/>
    <n v="5.4"/>
    <n v="2.8"/>
    <n v="3.1"/>
    <n v="1.9"/>
    <s v="high"/>
    <n v="6"/>
    <n v="10"/>
    <n v="10"/>
    <n v="0"/>
    <x v="0"/>
  </r>
  <r>
    <n v="13"/>
    <x v="1"/>
    <n v="1.3"/>
    <x v="0"/>
    <n v="8.9"/>
    <n v="2.6"/>
    <n v="3.54"/>
    <n v="1.2"/>
    <s v="high"/>
    <n v="8"/>
    <n v="5"/>
    <n v="2"/>
    <n v="0"/>
    <x v="0"/>
  </r>
  <r>
    <n v="15"/>
    <x v="1"/>
    <n v="5.9"/>
    <x v="2"/>
    <n v="6.9"/>
    <n v="1.4"/>
    <n v="3.62"/>
    <n v="1.5"/>
    <s v="medium"/>
    <n v="3"/>
    <n v="9"/>
    <n v="1"/>
    <n v="0"/>
    <x v="3"/>
  </r>
  <r>
    <n v="14"/>
    <x v="1"/>
    <n v="2"/>
    <x v="0"/>
    <n v="8.8000000000000007"/>
    <n v="0.9"/>
    <n v="3.61"/>
    <n v="0.7"/>
    <s v="high"/>
    <n v="10"/>
    <n v="2"/>
    <n v="3"/>
    <n v="0"/>
    <x v="0"/>
  </r>
  <r>
    <n v="19"/>
    <x v="1"/>
    <n v="1.4"/>
    <x v="0"/>
    <n v="6.6"/>
    <n v="1.8"/>
    <n v="3.07"/>
    <n v="0"/>
    <s v="low"/>
    <n v="5"/>
    <n v="2"/>
    <n v="6"/>
    <n v="0"/>
    <x v="1"/>
  </r>
  <r>
    <n v="13"/>
    <x v="1"/>
    <n v="6.4"/>
    <x v="2"/>
    <n v="6.7"/>
    <n v="0.8"/>
    <n v="3.9"/>
    <n v="1.9"/>
    <s v="high"/>
    <n v="3"/>
    <n v="3"/>
    <n v="10"/>
    <n v="0"/>
    <x v="0"/>
  </r>
  <r>
    <n v="15"/>
    <x v="0"/>
    <n v="7.6"/>
    <x v="1"/>
    <n v="7.9"/>
    <n v="0.8"/>
    <n v="3.55"/>
    <n v="1.9"/>
    <s v="high"/>
    <n v="10"/>
    <n v="8"/>
    <n v="6"/>
    <n v="0"/>
    <x v="3"/>
  </r>
  <r>
    <n v="16"/>
    <x v="0"/>
    <n v="7.9"/>
    <x v="2"/>
    <n v="5.5"/>
    <n v="0.6"/>
    <n v="3.65"/>
    <n v="1.4"/>
    <s v="low"/>
    <n v="1"/>
    <n v="4"/>
    <n v="1"/>
    <n v="0"/>
    <x v="3"/>
  </r>
  <r>
    <n v="15"/>
    <x v="0"/>
    <n v="5.0999999999999996"/>
    <x v="0"/>
    <n v="4.0999999999999996"/>
    <n v="2.8"/>
    <n v="3.79"/>
    <n v="0.8"/>
    <s v="medium"/>
    <n v="9"/>
    <n v="7"/>
    <n v="3"/>
    <n v="1"/>
    <x v="3"/>
  </r>
  <r>
    <n v="18"/>
    <x v="0"/>
    <n v="6.4"/>
    <x v="1"/>
    <n v="7.4"/>
    <n v="1.5"/>
    <n v="2.92"/>
    <n v="0.6"/>
    <s v="low"/>
    <n v="9"/>
    <n v="2"/>
    <n v="5"/>
    <n v="0"/>
    <x v="2"/>
  </r>
  <r>
    <n v="13"/>
    <x v="1"/>
    <n v="7.2"/>
    <x v="2"/>
    <n v="6.7"/>
    <n v="0.9"/>
    <n v="2.36"/>
    <n v="0.6"/>
    <s v="low"/>
    <n v="8"/>
    <n v="8"/>
    <n v="1"/>
    <n v="0"/>
    <x v="0"/>
  </r>
  <r>
    <n v="18"/>
    <x v="1"/>
    <n v="2.9"/>
    <x v="2"/>
    <n v="4.5999999999999996"/>
    <n v="2.2999999999999998"/>
    <n v="3.03"/>
    <n v="0.3"/>
    <s v="low"/>
    <n v="6"/>
    <n v="1"/>
    <n v="9"/>
    <n v="0"/>
    <x v="2"/>
  </r>
  <r>
    <n v="19"/>
    <x v="0"/>
    <n v="1.5"/>
    <x v="0"/>
    <n v="7.3"/>
    <n v="2.7"/>
    <n v="2.61"/>
    <n v="0.9"/>
    <s v="low"/>
    <n v="5"/>
    <n v="7"/>
    <n v="10"/>
    <n v="0"/>
    <x v="1"/>
  </r>
  <r>
    <n v="14"/>
    <x v="0"/>
    <n v="5.4"/>
    <x v="2"/>
    <n v="8.1"/>
    <n v="1.8"/>
    <n v="2.5299999999999998"/>
    <n v="0.9"/>
    <s v="medium"/>
    <n v="5"/>
    <n v="8"/>
    <n v="8"/>
    <n v="0"/>
    <x v="0"/>
  </r>
  <r>
    <n v="13"/>
    <x v="0"/>
    <n v="7.2"/>
    <x v="1"/>
    <n v="4.0999999999999996"/>
    <n v="1.3"/>
    <n v="2.4900000000000002"/>
    <n v="1.8"/>
    <s v="medium"/>
    <n v="5"/>
    <n v="5"/>
    <n v="4"/>
    <n v="0"/>
    <x v="0"/>
  </r>
  <r>
    <n v="15"/>
    <x v="1"/>
    <n v="7"/>
    <x v="0"/>
    <n v="5.9"/>
    <n v="1.3"/>
    <n v="2.91"/>
    <n v="1.2"/>
    <s v="low"/>
    <n v="10"/>
    <n v="2"/>
    <n v="6"/>
    <n v="0"/>
    <x v="3"/>
  </r>
  <r>
    <n v="17"/>
    <x v="1"/>
    <n v="7.5"/>
    <x v="1"/>
    <n v="6.7"/>
    <n v="1.1000000000000001"/>
    <n v="3.77"/>
    <n v="0.6"/>
    <s v="high"/>
    <n v="3"/>
    <n v="8"/>
    <n v="6"/>
    <n v="0"/>
    <x v="2"/>
  </r>
  <r>
    <n v="14"/>
    <x v="0"/>
    <n v="1.4"/>
    <x v="2"/>
    <n v="7"/>
    <n v="1.8"/>
    <n v="2.69"/>
    <n v="0.9"/>
    <s v="low"/>
    <n v="10"/>
    <n v="4"/>
    <n v="2"/>
    <n v="0"/>
    <x v="0"/>
  </r>
  <r>
    <n v="16"/>
    <x v="1"/>
    <n v="6.1"/>
    <x v="0"/>
    <n v="8.1"/>
    <n v="1.4"/>
    <n v="3.27"/>
    <n v="1.6"/>
    <s v="low"/>
    <n v="10"/>
    <n v="1"/>
    <n v="4"/>
    <n v="0"/>
    <x v="3"/>
  </r>
  <r>
    <n v="16"/>
    <x v="1"/>
    <n v="1.4"/>
    <x v="2"/>
    <n v="5.2"/>
    <n v="1.7"/>
    <n v="3.82"/>
    <n v="0.7"/>
    <s v="low"/>
    <n v="10"/>
    <n v="4"/>
    <n v="3"/>
    <n v="0"/>
    <x v="3"/>
  </r>
  <r>
    <n v="13"/>
    <x v="0"/>
    <n v="5.4"/>
    <x v="0"/>
    <n v="4.0999999999999996"/>
    <n v="2"/>
    <n v="3.82"/>
    <n v="1.9"/>
    <s v="medium"/>
    <n v="6"/>
    <n v="10"/>
    <n v="8"/>
    <n v="0"/>
    <x v="0"/>
  </r>
  <r>
    <n v="13"/>
    <x v="1"/>
    <n v="2.1"/>
    <x v="0"/>
    <n v="8.1999999999999993"/>
    <n v="0.9"/>
    <n v="2.48"/>
    <n v="0.5"/>
    <s v="high"/>
    <n v="2"/>
    <n v="7"/>
    <n v="6"/>
    <n v="0"/>
    <x v="0"/>
  </r>
  <r>
    <n v="14"/>
    <x v="0"/>
    <n v="5"/>
    <x v="2"/>
    <n v="4.3"/>
    <n v="1.1000000000000001"/>
    <n v="3.8"/>
    <n v="0.4"/>
    <s v="medium"/>
    <n v="9"/>
    <n v="4"/>
    <n v="10"/>
    <n v="0"/>
    <x v="0"/>
  </r>
  <r>
    <n v="13"/>
    <x v="1"/>
    <n v="4.4000000000000004"/>
    <x v="0"/>
    <n v="4.3"/>
    <n v="1.9"/>
    <n v="3.51"/>
    <n v="0.9"/>
    <s v="medium"/>
    <n v="8"/>
    <n v="4"/>
    <n v="3"/>
    <n v="0"/>
    <x v="0"/>
  </r>
  <r>
    <n v="13"/>
    <x v="0"/>
    <n v="3.4"/>
    <x v="2"/>
    <n v="8.6"/>
    <n v="0.8"/>
    <n v="3.08"/>
    <n v="0.4"/>
    <s v="low"/>
    <n v="7"/>
    <n v="10"/>
    <n v="6"/>
    <n v="0"/>
    <x v="0"/>
  </r>
  <r>
    <n v="18"/>
    <x v="0"/>
    <n v="1.2"/>
    <x v="0"/>
    <n v="6.4"/>
    <n v="1.3"/>
    <n v="3.03"/>
    <n v="1"/>
    <s v="low"/>
    <n v="5"/>
    <n v="9"/>
    <n v="10"/>
    <n v="0"/>
    <x v="2"/>
  </r>
  <r>
    <n v="14"/>
    <x v="0"/>
    <n v="5.5"/>
    <x v="1"/>
    <n v="7.3"/>
    <n v="1.4"/>
    <n v="2.61"/>
    <n v="1.2"/>
    <s v="high"/>
    <n v="5"/>
    <n v="7"/>
    <n v="1"/>
    <n v="0"/>
    <x v="0"/>
  </r>
  <r>
    <n v="15"/>
    <x v="0"/>
    <n v="2.2999999999999998"/>
    <x v="2"/>
    <n v="7.8"/>
    <n v="3"/>
    <n v="2.2999999999999998"/>
    <n v="1.4"/>
    <s v="medium"/>
    <n v="4"/>
    <n v="9"/>
    <n v="10"/>
    <n v="0"/>
    <x v="3"/>
  </r>
  <r>
    <n v="13"/>
    <x v="1"/>
    <n v="1.4"/>
    <x v="2"/>
    <n v="7.4"/>
    <n v="0.5"/>
    <n v="2.3199999999999998"/>
    <n v="1.3"/>
    <s v="low"/>
    <n v="3"/>
    <n v="2"/>
    <n v="6"/>
    <n v="0"/>
    <x v="0"/>
  </r>
  <r>
    <n v="13"/>
    <x v="1"/>
    <n v="3"/>
    <x v="0"/>
    <n v="7"/>
    <n v="0.9"/>
    <n v="2.73"/>
    <n v="1.7"/>
    <s v="high"/>
    <n v="5"/>
    <n v="6"/>
    <n v="9"/>
    <n v="0"/>
    <x v="0"/>
  </r>
  <r>
    <n v="14"/>
    <x v="0"/>
    <n v="2.8"/>
    <x v="0"/>
    <n v="5"/>
    <n v="2.5"/>
    <n v="3.92"/>
    <n v="1.8"/>
    <s v="high"/>
    <n v="1"/>
    <n v="3"/>
    <n v="4"/>
    <n v="0"/>
    <x v="0"/>
  </r>
  <r>
    <n v="14"/>
    <x v="0"/>
    <n v="7"/>
    <x v="1"/>
    <n v="6.9"/>
    <n v="1"/>
    <n v="3.93"/>
    <n v="1.1000000000000001"/>
    <s v="high"/>
    <n v="9"/>
    <n v="3"/>
    <n v="7"/>
    <n v="0"/>
    <x v="0"/>
  </r>
  <r>
    <n v="13"/>
    <x v="1"/>
    <n v="1.6"/>
    <x v="2"/>
    <n v="8.4"/>
    <n v="1.4"/>
    <n v="3.47"/>
    <n v="0.1"/>
    <s v="medium"/>
    <n v="1"/>
    <n v="6"/>
    <n v="6"/>
    <n v="0"/>
    <x v="0"/>
  </r>
  <r>
    <n v="15"/>
    <x v="1"/>
    <n v="4.2"/>
    <x v="0"/>
    <n v="8.4"/>
    <n v="1.2"/>
    <n v="2.61"/>
    <n v="0"/>
    <s v="medium"/>
    <n v="3"/>
    <n v="10"/>
    <n v="2"/>
    <n v="0"/>
    <x v="3"/>
  </r>
  <r>
    <n v="17"/>
    <x v="0"/>
    <n v="4.9000000000000004"/>
    <x v="0"/>
    <n v="8.6"/>
    <n v="3"/>
    <n v="3.62"/>
    <n v="1.2"/>
    <s v="low"/>
    <n v="6"/>
    <n v="6"/>
    <n v="9"/>
    <n v="0"/>
    <x v="2"/>
  </r>
  <r>
    <n v="14"/>
    <x v="1"/>
    <n v="3.6"/>
    <x v="0"/>
    <n v="4.0999999999999996"/>
    <n v="2.9"/>
    <n v="2.83"/>
    <n v="0.5"/>
    <s v="medium"/>
    <n v="10"/>
    <n v="6"/>
    <n v="7"/>
    <n v="0"/>
    <x v="0"/>
  </r>
  <r>
    <n v="19"/>
    <x v="0"/>
    <n v="1.8"/>
    <x v="1"/>
    <n v="6"/>
    <n v="2.2999999999999998"/>
    <n v="3.22"/>
    <n v="1"/>
    <s v="medium"/>
    <n v="5"/>
    <n v="6"/>
    <n v="8"/>
    <n v="0"/>
    <x v="1"/>
  </r>
  <r>
    <n v="17"/>
    <x v="1"/>
    <n v="2.7"/>
    <x v="0"/>
    <n v="5.4"/>
    <n v="2.6"/>
    <n v="2.0699999999999998"/>
    <n v="0"/>
    <s v="medium"/>
    <n v="6"/>
    <n v="5"/>
    <n v="6"/>
    <n v="0"/>
    <x v="2"/>
  </r>
  <r>
    <n v="15"/>
    <x v="1"/>
    <n v="1.2"/>
    <x v="0"/>
    <n v="5.2"/>
    <n v="1"/>
    <n v="2.78"/>
    <n v="1.3"/>
    <s v="high"/>
    <n v="5"/>
    <n v="8"/>
    <n v="10"/>
    <n v="0"/>
    <x v="3"/>
  </r>
  <r>
    <n v="18"/>
    <x v="1"/>
    <n v="6.2"/>
    <x v="2"/>
    <n v="6.7"/>
    <n v="1.4"/>
    <n v="3.42"/>
    <n v="0.9"/>
    <s v="low"/>
    <n v="6"/>
    <n v="8"/>
    <n v="6"/>
    <n v="0"/>
    <x v="2"/>
  </r>
  <r>
    <n v="18"/>
    <x v="0"/>
    <n v="1.6"/>
    <x v="1"/>
    <n v="6.2"/>
    <n v="1.9"/>
    <n v="2.0499999999999998"/>
    <n v="0.3"/>
    <s v="low"/>
    <n v="8"/>
    <n v="9"/>
    <n v="9"/>
    <n v="0"/>
    <x v="2"/>
  </r>
  <r>
    <n v="18"/>
    <x v="1"/>
    <n v="5.0999999999999996"/>
    <x v="1"/>
    <n v="7.4"/>
    <n v="1.3"/>
    <n v="3.5"/>
    <n v="1.6"/>
    <s v="high"/>
    <n v="1"/>
    <n v="5"/>
    <n v="5"/>
    <n v="0"/>
    <x v="2"/>
  </r>
  <r>
    <n v="13"/>
    <x v="1"/>
    <n v="5.2"/>
    <x v="1"/>
    <n v="8.1999999999999993"/>
    <n v="2.8"/>
    <n v="2.12"/>
    <n v="1.4"/>
    <s v="medium"/>
    <n v="1"/>
    <n v="8"/>
    <n v="1"/>
    <n v="0"/>
    <x v="0"/>
  </r>
  <r>
    <n v="14"/>
    <x v="0"/>
    <n v="4.0999999999999996"/>
    <x v="1"/>
    <n v="5.0999999999999996"/>
    <n v="2"/>
    <n v="3.51"/>
    <n v="0.7"/>
    <s v="high"/>
    <n v="2"/>
    <n v="9"/>
    <n v="1"/>
    <n v="0"/>
    <x v="0"/>
  </r>
  <r>
    <n v="19"/>
    <x v="1"/>
    <n v="5.4"/>
    <x v="1"/>
    <n v="4.4000000000000004"/>
    <n v="2.2999999999999998"/>
    <n v="3.34"/>
    <n v="0.4"/>
    <s v="high"/>
    <n v="3"/>
    <n v="3"/>
    <n v="8"/>
    <n v="0"/>
    <x v="1"/>
  </r>
  <r>
    <n v="13"/>
    <x v="0"/>
    <n v="2.4"/>
    <x v="1"/>
    <n v="8.4"/>
    <n v="1.6"/>
    <n v="2.82"/>
    <n v="1.1000000000000001"/>
    <s v="low"/>
    <n v="1"/>
    <n v="3"/>
    <n v="2"/>
    <n v="0"/>
    <x v="0"/>
  </r>
  <r>
    <n v="18"/>
    <x v="0"/>
    <n v="1.7"/>
    <x v="2"/>
    <n v="5.6"/>
    <n v="1.4"/>
    <n v="2.85"/>
    <n v="1"/>
    <s v="high"/>
    <n v="3"/>
    <n v="3"/>
    <n v="7"/>
    <n v="0"/>
    <x v="2"/>
  </r>
  <r>
    <n v="18"/>
    <x v="0"/>
    <n v="6"/>
    <x v="2"/>
    <n v="6.1"/>
    <n v="0.9"/>
    <n v="2.68"/>
    <n v="0.3"/>
    <s v="medium"/>
    <n v="2"/>
    <n v="10"/>
    <n v="10"/>
    <n v="0"/>
    <x v="2"/>
  </r>
  <r>
    <n v="17"/>
    <x v="0"/>
    <n v="7.2"/>
    <x v="2"/>
    <n v="6.1"/>
    <n v="0.8"/>
    <n v="3.9"/>
    <n v="0.2"/>
    <s v="low"/>
    <n v="8"/>
    <n v="3"/>
    <n v="7"/>
    <n v="0"/>
    <x v="2"/>
  </r>
  <r>
    <n v="18"/>
    <x v="0"/>
    <n v="3.5"/>
    <x v="1"/>
    <n v="6.3"/>
    <n v="2.9"/>
    <n v="3.35"/>
    <n v="1.6"/>
    <s v="high"/>
    <n v="1"/>
    <n v="4"/>
    <n v="2"/>
    <n v="0"/>
    <x v="2"/>
  </r>
  <r>
    <n v="15"/>
    <x v="1"/>
    <n v="3.8"/>
    <x v="0"/>
    <n v="4.4000000000000004"/>
    <n v="1.9"/>
    <n v="2.04"/>
    <n v="0.5"/>
    <s v="medium"/>
    <n v="4"/>
    <n v="9"/>
    <n v="7"/>
    <n v="0"/>
    <x v="3"/>
  </r>
  <r>
    <n v="18"/>
    <x v="1"/>
    <n v="4.5"/>
    <x v="2"/>
    <n v="8"/>
    <n v="1.5"/>
    <n v="3.45"/>
    <n v="1"/>
    <s v="low"/>
    <n v="4"/>
    <n v="3"/>
    <n v="9"/>
    <n v="0"/>
    <x v="2"/>
  </r>
  <r>
    <n v="16"/>
    <x v="1"/>
    <n v="7.3"/>
    <x v="2"/>
    <n v="7.2"/>
    <n v="0.5"/>
    <n v="2.78"/>
    <n v="1.9"/>
    <s v="low"/>
    <n v="7"/>
    <n v="3"/>
    <n v="9"/>
    <n v="0"/>
    <x v="3"/>
  </r>
  <r>
    <n v="18"/>
    <x v="1"/>
    <n v="6.4"/>
    <x v="0"/>
    <n v="7.7"/>
    <n v="0.5"/>
    <n v="3.05"/>
    <n v="1.2"/>
    <s v="low"/>
    <n v="3"/>
    <n v="1"/>
    <n v="2"/>
    <n v="0"/>
    <x v="2"/>
  </r>
  <r>
    <n v="16"/>
    <x v="0"/>
    <n v="5.3"/>
    <x v="1"/>
    <n v="8.4"/>
    <n v="2.2000000000000002"/>
    <n v="2.81"/>
    <n v="0.6"/>
    <s v="high"/>
    <n v="2"/>
    <n v="8"/>
    <n v="8"/>
    <n v="0"/>
    <x v="3"/>
  </r>
  <r>
    <n v="13"/>
    <x v="0"/>
    <n v="2.4"/>
    <x v="0"/>
    <n v="7.1"/>
    <n v="0.7"/>
    <n v="3.64"/>
    <n v="1.1000000000000001"/>
    <s v="high"/>
    <n v="6"/>
    <n v="5"/>
    <n v="5"/>
    <n v="0"/>
    <x v="0"/>
  </r>
  <r>
    <n v="13"/>
    <x v="0"/>
    <n v="8"/>
    <x v="2"/>
    <n v="8.9"/>
    <n v="2.2000000000000002"/>
    <n v="3.82"/>
    <n v="1.2"/>
    <s v="low"/>
    <n v="8"/>
    <n v="8"/>
    <n v="4"/>
    <n v="0"/>
    <x v="0"/>
  </r>
  <r>
    <n v="15"/>
    <x v="0"/>
    <n v="7.3"/>
    <x v="2"/>
    <n v="4.4000000000000004"/>
    <n v="2.2999999999999998"/>
    <n v="2.76"/>
    <n v="1.8"/>
    <s v="medium"/>
    <n v="4"/>
    <n v="6"/>
    <n v="9"/>
    <n v="0"/>
    <x v="3"/>
  </r>
  <r>
    <n v="17"/>
    <x v="1"/>
    <n v="4.5"/>
    <x v="2"/>
    <n v="7.3"/>
    <n v="0.9"/>
    <n v="2.34"/>
    <n v="0.9"/>
    <s v="medium"/>
    <n v="7"/>
    <n v="3"/>
    <n v="8"/>
    <n v="0"/>
    <x v="2"/>
  </r>
  <r>
    <n v="19"/>
    <x v="0"/>
    <n v="5"/>
    <x v="2"/>
    <n v="9"/>
    <n v="2.4"/>
    <n v="2.5299999999999998"/>
    <n v="0.4"/>
    <s v="medium"/>
    <n v="7"/>
    <n v="2"/>
    <n v="10"/>
    <n v="0"/>
    <x v="1"/>
  </r>
  <r>
    <n v="16"/>
    <x v="1"/>
    <n v="5.7"/>
    <x v="2"/>
    <n v="4.2"/>
    <n v="1.4"/>
    <n v="2.56"/>
    <n v="0.1"/>
    <s v="high"/>
    <n v="4"/>
    <n v="3"/>
    <n v="1"/>
    <n v="0"/>
    <x v="3"/>
  </r>
  <r>
    <n v="18"/>
    <x v="1"/>
    <n v="2.9"/>
    <x v="0"/>
    <n v="8.4"/>
    <n v="2.6"/>
    <n v="2.57"/>
    <n v="1.8"/>
    <s v="medium"/>
    <n v="4"/>
    <n v="1"/>
    <n v="3"/>
    <n v="0"/>
    <x v="2"/>
  </r>
  <r>
    <n v="13"/>
    <x v="0"/>
    <n v="7.9"/>
    <x v="0"/>
    <n v="8.8000000000000007"/>
    <n v="2.2999999999999998"/>
    <n v="3.39"/>
    <n v="0.5"/>
    <s v="low"/>
    <n v="1"/>
    <n v="9"/>
    <n v="3"/>
    <n v="0"/>
    <x v="0"/>
  </r>
  <r>
    <n v="19"/>
    <x v="0"/>
    <n v="4.8"/>
    <x v="1"/>
    <n v="5"/>
    <n v="2.6"/>
    <n v="3.25"/>
    <n v="1.6"/>
    <s v="low"/>
    <n v="4"/>
    <n v="6"/>
    <n v="1"/>
    <n v="0"/>
    <x v="1"/>
  </r>
  <r>
    <n v="13"/>
    <x v="1"/>
    <n v="3"/>
    <x v="2"/>
    <n v="6"/>
    <n v="1"/>
    <n v="2.63"/>
    <n v="0.1"/>
    <s v="low"/>
    <n v="5"/>
    <n v="10"/>
    <n v="9"/>
    <n v="0"/>
    <x v="0"/>
  </r>
  <r>
    <n v="14"/>
    <x v="1"/>
    <n v="4.0999999999999996"/>
    <x v="2"/>
    <n v="6.4"/>
    <n v="2"/>
    <n v="3.69"/>
    <n v="1.5"/>
    <s v="medium"/>
    <n v="7"/>
    <n v="7"/>
    <n v="9"/>
    <n v="0"/>
    <x v="0"/>
  </r>
  <r>
    <n v="19"/>
    <x v="0"/>
    <n v="6.9"/>
    <x v="0"/>
    <n v="5"/>
    <n v="1.2"/>
    <n v="2.56"/>
    <n v="1.6"/>
    <s v="high"/>
    <n v="3"/>
    <n v="10"/>
    <n v="8"/>
    <n v="0"/>
    <x v="1"/>
  </r>
  <r>
    <n v="17"/>
    <x v="1"/>
    <n v="3.2"/>
    <x v="0"/>
    <n v="6.2"/>
    <n v="2.2000000000000002"/>
    <n v="2.96"/>
    <n v="1.6"/>
    <s v="low"/>
    <n v="8"/>
    <n v="10"/>
    <n v="9"/>
    <n v="0"/>
    <x v="2"/>
  </r>
  <r>
    <n v="18"/>
    <x v="1"/>
    <n v="1.3"/>
    <x v="2"/>
    <n v="4.9000000000000004"/>
    <n v="0.9"/>
    <n v="3.86"/>
    <n v="0"/>
    <s v="medium"/>
    <n v="4"/>
    <n v="9"/>
    <n v="8"/>
    <n v="0"/>
    <x v="2"/>
  </r>
  <r>
    <n v="15"/>
    <x v="1"/>
    <n v="4.2"/>
    <x v="1"/>
    <n v="6.8"/>
    <n v="1.1000000000000001"/>
    <n v="3.37"/>
    <n v="0.7"/>
    <s v="high"/>
    <n v="3"/>
    <n v="6"/>
    <n v="8"/>
    <n v="0"/>
    <x v="3"/>
  </r>
  <r>
    <n v="19"/>
    <x v="0"/>
    <n v="6.6"/>
    <x v="2"/>
    <n v="6"/>
    <n v="2.1"/>
    <n v="2.84"/>
    <n v="1.5"/>
    <s v="low"/>
    <n v="9"/>
    <n v="4"/>
    <n v="5"/>
    <n v="0"/>
    <x v="1"/>
  </r>
  <r>
    <n v="13"/>
    <x v="0"/>
    <n v="7.5"/>
    <x v="1"/>
    <n v="4.8"/>
    <n v="0.7"/>
    <n v="2.91"/>
    <n v="2"/>
    <s v="high"/>
    <n v="10"/>
    <n v="9"/>
    <n v="1"/>
    <n v="1"/>
    <x v="0"/>
  </r>
  <r>
    <n v="15"/>
    <x v="0"/>
    <n v="7"/>
    <x v="2"/>
    <n v="8.6999999999999993"/>
    <n v="3"/>
    <n v="2.84"/>
    <n v="1.4"/>
    <s v="medium"/>
    <n v="5"/>
    <n v="3"/>
    <n v="2"/>
    <n v="0"/>
    <x v="3"/>
  </r>
  <r>
    <n v="15"/>
    <x v="1"/>
    <n v="6.7"/>
    <x v="2"/>
    <n v="5"/>
    <n v="0.6"/>
    <n v="2.75"/>
    <n v="1.5"/>
    <s v="medium"/>
    <n v="7"/>
    <n v="4"/>
    <n v="8"/>
    <n v="0"/>
    <x v="3"/>
  </r>
  <r>
    <n v="15"/>
    <x v="1"/>
    <n v="2.2999999999999998"/>
    <x v="0"/>
    <n v="5.6"/>
    <n v="2.9"/>
    <n v="2.72"/>
    <n v="1"/>
    <s v="high"/>
    <n v="6"/>
    <n v="6"/>
    <n v="2"/>
    <n v="0"/>
    <x v="3"/>
  </r>
  <r>
    <n v="14"/>
    <x v="0"/>
    <n v="5.3"/>
    <x v="2"/>
    <n v="9"/>
    <n v="2.8"/>
    <n v="3.1"/>
    <n v="1.6"/>
    <s v="high"/>
    <n v="10"/>
    <n v="7"/>
    <n v="6"/>
    <n v="0"/>
    <x v="0"/>
  </r>
  <r>
    <n v="13"/>
    <x v="1"/>
    <n v="2.7"/>
    <x v="1"/>
    <n v="6.5"/>
    <n v="1.5"/>
    <n v="2.58"/>
    <n v="0.4"/>
    <s v="high"/>
    <n v="1"/>
    <n v="1"/>
    <n v="6"/>
    <n v="0"/>
    <x v="0"/>
  </r>
  <r>
    <n v="13"/>
    <x v="0"/>
    <n v="5.4"/>
    <x v="0"/>
    <n v="7.8"/>
    <n v="1.8"/>
    <n v="3.46"/>
    <n v="1"/>
    <s v="high"/>
    <n v="4"/>
    <n v="7"/>
    <n v="7"/>
    <n v="0"/>
    <x v="0"/>
  </r>
  <r>
    <n v="17"/>
    <x v="0"/>
    <n v="7.2"/>
    <x v="0"/>
    <n v="8"/>
    <n v="1.9"/>
    <n v="2.66"/>
    <n v="1.4"/>
    <s v="medium"/>
    <n v="5"/>
    <n v="8"/>
    <n v="6"/>
    <n v="0"/>
    <x v="2"/>
  </r>
  <r>
    <n v="19"/>
    <x v="0"/>
    <n v="1.5"/>
    <x v="1"/>
    <n v="6.8"/>
    <n v="2.5"/>
    <n v="2.13"/>
    <n v="0.2"/>
    <s v="medium"/>
    <n v="9"/>
    <n v="8"/>
    <n v="10"/>
    <n v="0"/>
    <x v="1"/>
  </r>
  <r>
    <n v="13"/>
    <x v="0"/>
    <n v="4"/>
    <x v="2"/>
    <n v="4.2"/>
    <n v="0.5"/>
    <n v="2.46"/>
    <n v="0.6"/>
    <s v="low"/>
    <n v="2"/>
    <n v="9"/>
    <n v="9"/>
    <n v="0"/>
    <x v="0"/>
  </r>
  <r>
    <n v="15"/>
    <x v="1"/>
    <n v="4.2"/>
    <x v="2"/>
    <n v="7.1"/>
    <n v="2.1"/>
    <n v="2.21"/>
    <n v="1.8"/>
    <s v="medium"/>
    <n v="4"/>
    <n v="1"/>
    <n v="3"/>
    <n v="0"/>
    <x v="3"/>
  </r>
  <r>
    <n v="19"/>
    <x v="0"/>
    <n v="1.8"/>
    <x v="1"/>
    <n v="7.7"/>
    <n v="2.2000000000000002"/>
    <n v="3.77"/>
    <n v="0.3"/>
    <s v="medium"/>
    <n v="4"/>
    <n v="6"/>
    <n v="7"/>
    <n v="0"/>
    <x v="1"/>
  </r>
  <r>
    <n v="17"/>
    <x v="1"/>
    <n v="3.3"/>
    <x v="0"/>
    <n v="8.6"/>
    <n v="1.1000000000000001"/>
    <n v="2.62"/>
    <n v="0.4"/>
    <s v="low"/>
    <n v="4"/>
    <n v="7"/>
    <n v="9"/>
    <n v="0"/>
    <x v="2"/>
  </r>
  <r>
    <n v="14"/>
    <x v="1"/>
    <n v="1"/>
    <x v="2"/>
    <n v="6.6"/>
    <n v="1.4"/>
    <n v="2.02"/>
    <n v="1.9"/>
    <s v="low"/>
    <n v="6"/>
    <n v="5"/>
    <n v="5"/>
    <n v="0"/>
    <x v="0"/>
  </r>
  <r>
    <n v="13"/>
    <x v="1"/>
    <n v="1.2"/>
    <x v="1"/>
    <n v="8"/>
    <n v="2.8"/>
    <n v="2.1800000000000002"/>
    <n v="1.1000000000000001"/>
    <s v="high"/>
    <n v="5"/>
    <n v="8"/>
    <n v="5"/>
    <n v="0"/>
    <x v="0"/>
  </r>
  <r>
    <n v="19"/>
    <x v="0"/>
    <n v="2"/>
    <x v="0"/>
    <n v="4.0999999999999996"/>
    <n v="1.3"/>
    <n v="3.71"/>
    <n v="1.6"/>
    <s v="low"/>
    <n v="7"/>
    <n v="7"/>
    <n v="8"/>
    <n v="0"/>
    <x v="1"/>
  </r>
  <r>
    <n v="13"/>
    <x v="1"/>
    <n v="7.1"/>
    <x v="2"/>
    <n v="6.5"/>
    <n v="1.6"/>
    <n v="2.0299999999999998"/>
    <n v="0.3"/>
    <s v="medium"/>
    <n v="1"/>
    <n v="10"/>
    <n v="6"/>
    <n v="0"/>
    <x v="0"/>
  </r>
  <r>
    <n v="15"/>
    <x v="1"/>
    <n v="5.5"/>
    <x v="1"/>
    <n v="7.8"/>
    <n v="1.5"/>
    <n v="2.79"/>
    <n v="0.7"/>
    <s v="high"/>
    <n v="9"/>
    <n v="10"/>
    <n v="7"/>
    <n v="0"/>
    <x v="3"/>
  </r>
  <r>
    <n v="17"/>
    <x v="0"/>
    <n v="7.7"/>
    <x v="1"/>
    <n v="4.7"/>
    <n v="2.8"/>
    <n v="3.5"/>
    <n v="1.5"/>
    <s v="low"/>
    <n v="8"/>
    <n v="4"/>
    <n v="8"/>
    <n v="0"/>
    <x v="2"/>
  </r>
  <r>
    <n v="17"/>
    <x v="1"/>
    <n v="7.6"/>
    <x v="0"/>
    <n v="5.9"/>
    <n v="2"/>
    <n v="2.52"/>
    <n v="1.5"/>
    <s v="medium"/>
    <n v="1"/>
    <n v="5"/>
    <n v="1"/>
    <n v="0"/>
    <x v="2"/>
  </r>
  <r>
    <n v="13"/>
    <x v="0"/>
    <n v="8"/>
    <x v="0"/>
    <n v="6.9"/>
    <n v="2.5"/>
    <n v="2.4500000000000002"/>
    <n v="1.7"/>
    <s v="medium"/>
    <n v="10"/>
    <n v="1"/>
    <n v="3"/>
    <n v="0"/>
    <x v="0"/>
  </r>
  <r>
    <n v="16"/>
    <x v="1"/>
    <n v="4.3"/>
    <x v="0"/>
    <n v="6"/>
    <n v="1.4"/>
    <n v="2.98"/>
    <n v="1.7"/>
    <s v="low"/>
    <n v="8"/>
    <n v="7"/>
    <n v="4"/>
    <n v="0"/>
    <x v="3"/>
  </r>
  <r>
    <n v="13"/>
    <x v="0"/>
    <n v="3.8"/>
    <x v="2"/>
    <n v="5.3"/>
    <n v="2.5"/>
    <n v="3.48"/>
    <n v="1"/>
    <s v="low"/>
    <n v="6"/>
    <n v="7"/>
    <n v="7"/>
    <n v="0"/>
    <x v="0"/>
  </r>
  <r>
    <n v="16"/>
    <x v="1"/>
    <n v="2.9"/>
    <x v="1"/>
    <n v="6.3"/>
    <n v="3"/>
    <n v="2.6"/>
    <n v="0.4"/>
    <s v="medium"/>
    <n v="9"/>
    <n v="7"/>
    <n v="3"/>
    <n v="0"/>
    <x v="3"/>
  </r>
  <r>
    <n v="13"/>
    <x v="1"/>
    <n v="5.3"/>
    <x v="1"/>
    <n v="6.5"/>
    <n v="1.1000000000000001"/>
    <n v="3.48"/>
    <n v="1.8"/>
    <s v="low"/>
    <n v="9"/>
    <n v="5"/>
    <n v="4"/>
    <n v="0"/>
    <x v="0"/>
  </r>
  <r>
    <n v="15"/>
    <x v="1"/>
    <n v="5.7"/>
    <x v="0"/>
    <n v="7.5"/>
    <n v="2.4"/>
    <n v="2.84"/>
    <n v="1.3"/>
    <s v="medium"/>
    <n v="10"/>
    <n v="10"/>
    <n v="2"/>
    <n v="0"/>
    <x v="3"/>
  </r>
  <r>
    <n v="18"/>
    <x v="1"/>
    <n v="2.8"/>
    <x v="0"/>
    <n v="7.4"/>
    <n v="1"/>
    <n v="3.73"/>
    <n v="1.9"/>
    <s v="low"/>
    <n v="7"/>
    <n v="3"/>
    <n v="6"/>
    <n v="0"/>
    <x v="2"/>
  </r>
  <r>
    <n v="15"/>
    <x v="0"/>
    <n v="2.8"/>
    <x v="1"/>
    <n v="6.1"/>
    <n v="2.9"/>
    <n v="2.98"/>
    <n v="1.8"/>
    <s v="medium"/>
    <n v="6"/>
    <n v="3"/>
    <n v="7"/>
    <n v="0"/>
    <x v="3"/>
  </r>
  <r>
    <n v="13"/>
    <x v="1"/>
    <n v="1.1000000000000001"/>
    <x v="0"/>
    <n v="7"/>
    <n v="1.9"/>
    <n v="4"/>
    <n v="0.9"/>
    <s v="medium"/>
    <n v="2"/>
    <n v="9"/>
    <n v="6"/>
    <n v="0"/>
    <x v="0"/>
  </r>
  <r>
    <n v="14"/>
    <x v="1"/>
    <n v="2"/>
    <x v="2"/>
    <n v="5"/>
    <n v="2.6"/>
    <n v="2.71"/>
    <n v="2"/>
    <s v="low"/>
    <n v="5"/>
    <n v="4"/>
    <n v="3"/>
    <n v="0"/>
    <x v="0"/>
  </r>
  <r>
    <n v="16"/>
    <x v="1"/>
    <n v="6.5"/>
    <x v="1"/>
    <n v="5.3"/>
    <n v="1.8"/>
    <n v="2.29"/>
    <n v="0.2"/>
    <s v="high"/>
    <n v="4"/>
    <n v="10"/>
    <n v="2"/>
    <n v="0"/>
    <x v="3"/>
  </r>
  <r>
    <n v="16"/>
    <x v="1"/>
    <n v="7.5"/>
    <x v="1"/>
    <n v="7.8"/>
    <n v="1.3"/>
    <n v="2.73"/>
    <n v="1.5"/>
    <s v="medium"/>
    <n v="4"/>
    <n v="5"/>
    <n v="8"/>
    <n v="0"/>
    <x v="3"/>
  </r>
  <r>
    <n v="16"/>
    <x v="1"/>
    <n v="3.1"/>
    <x v="0"/>
    <n v="7.9"/>
    <n v="1.2"/>
    <n v="2.85"/>
    <n v="0.7"/>
    <s v="high"/>
    <n v="2"/>
    <n v="2"/>
    <n v="5"/>
    <n v="0"/>
    <x v="3"/>
  </r>
  <r>
    <n v="19"/>
    <x v="0"/>
    <n v="5.9"/>
    <x v="2"/>
    <n v="7"/>
    <n v="2.2999999999999998"/>
    <n v="3"/>
    <n v="1.6"/>
    <s v="low"/>
    <n v="3"/>
    <n v="5"/>
    <n v="10"/>
    <n v="0"/>
    <x v="1"/>
  </r>
  <r>
    <n v="15"/>
    <x v="0"/>
    <n v="7.9"/>
    <x v="1"/>
    <n v="4.0999999999999996"/>
    <n v="0.7"/>
    <n v="2.33"/>
    <n v="1.2"/>
    <s v="medium"/>
    <n v="3"/>
    <n v="8"/>
    <n v="1"/>
    <n v="0"/>
    <x v="3"/>
  </r>
  <r>
    <n v="15"/>
    <x v="0"/>
    <n v="5.0999999999999996"/>
    <x v="0"/>
    <n v="7.4"/>
    <n v="0.7"/>
    <n v="2.64"/>
    <n v="0.2"/>
    <s v="medium"/>
    <n v="5"/>
    <n v="8"/>
    <n v="1"/>
    <n v="0"/>
    <x v="3"/>
  </r>
  <r>
    <n v="16"/>
    <x v="0"/>
    <n v="1.9"/>
    <x v="2"/>
    <n v="5.8"/>
    <n v="2.1"/>
    <n v="2.27"/>
    <n v="0.6"/>
    <s v="medium"/>
    <n v="3"/>
    <n v="3"/>
    <n v="2"/>
    <n v="0"/>
    <x v="3"/>
  </r>
  <r>
    <n v="17"/>
    <x v="0"/>
    <n v="8"/>
    <x v="0"/>
    <n v="8.6999999999999993"/>
    <n v="1.5"/>
    <n v="3.7"/>
    <n v="2"/>
    <s v="high"/>
    <n v="10"/>
    <n v="9"/>
    <n v="5"/>
    <n v="0"/>
    <x v="2"/>
  </r>
  <r>
    <n v="19"/>
    <x v="0"/>
    <n v="2.9"/>
    <x v="2"/>
    <n v="4"/>
    <n v="0.5"/>
    <n v="3.16"/>
    <n v="0.2"/>
    <s v="high"/>
    <n v="7"/>
    <n v="6"/>
    <n v="3"/>
    <n v="0"/>
    <x v="1"/>
  </r>
  <r>
    <n v="14"/>
    <x v="0"/>
    <n v="4.3"/>
    <x v="0"/>
    <n v="8.4"/>
    <n v="0.9"/>
    <n v="3.2"/>
    <n v="1.6"/>
    <s v="high"/>
    <n v="10"/>
    <n v="10"/>
    <n v="1"/>
    <n v="0"/>
    <x v="0"/>
  </r>
  <r>
    <n v="16"/>
    <x v="0"/>
    <n v="1.1000000000000001"/>
    <x v="0"/>
    <n v="6.4"/>
    <n v="3"/>
    <n v="2.5099999999999998"/>
    <n v="0.1"/>
    <s v="medium"/>
    <n v="8"/>
    <n v="6"/>
    <n v="9"/>
    <n v="0"/>
    <x v="3"/>
  </r>
  <r>
    <n v="16"/>
    <x v="0"/>
    <n v="4.9000000000000004"/>
    <x v="0"/>
    <n v="5.7"/>
    <n v="1.2"/>
    <n v="2.0699999999999998"/>
    <n v="0.1"/>
    <s v="medium"/>
    <n v="8"/>
    <n v="2"/>
    <n v="1"/>
    <n v="0"/>
    <x v="3"/>
  </r>
  <r>
    <n v="14"/>
    <x v="0"/>
    <n v="6.1"/>
    <x v="2"/>
    <n v="7.6"/>
    <n v="1.4"/>
    <n v="2.72"/>
    <n v="0.9"/>
    <s v="low"/>
    <n v="9"/>
    <n v="3"/>
    <n v="3"/>
    <n v="0"/>
    <x v="0"/>
  </r>
  <r>
    <n v="15"/>
    <x v="1"/>
    <n v="2.7"/>
    <x v="2"/>
    <n v="6.5"/>
    <n v="1.6"/>
    <n v="2.14"/>
    <n v="0.4"/>
    <s v="high"/>
    <n v="6"/>
    <n v="6"/>
    <n v="6"/>
    <n v="0"/>
    <x v="3"/>
  </r>
  <r>
    <n v="16"/>
    <x v="1"/>
    <n v="7.8"/>
    <x v="2"/>
    <n v="7.4"/>
    <n v="0.7"/>
    <n v="2.54"/>
    <n v="1.2"/>
    <s v="medium"/>
    <n v="10"/>
    <n v="4"/>
    <n v="9"/>
    <n v="0"/>
    <x v="3"/>
  </r>
  <r>
    <n v="18"/>
    <x v="0"/>
    <n v="4.2"/>
    <x v="1"/>
    <n v="6.5"/>
    <n v="1.4"/>
    <n v="2.91"/>
    <n v="1.5"/>
    <s v="low"/>
    <n v="5"/>
    <n v="6"/>
    <n v="4"/>
    <n v="0"/>
    <x v="2"/>
  </r>
  <r>
    <n v="13"/>
    <x v="1"/>
    <n v="4.4000000000000004"/>
    <x v="0"/>
    <n v="5.5"/>
    <n v="2.7"/>
    <n v="3.17"/>
    <n v="0.3"/>
    <s v="low"/>
    <n v="5"/>
    <n v="1"/>
    <n v="5"/>
    <n v="0"/>
    <x v="0"/>
  </r>
  <r>
    <n v="13"/>
    <x v="1"/>
    <n v="1.4"/>
    <x v="2"/>
    <n v="7.8"/>
    <n v="0.6"/>
    <n v="3.42"/>
    <n v="1.6"/>
    <s v="medium"/>
    <n v="10"/>
    <n v="4"/>
    <n v="6"/>
    <n v="0"/>
    <x v="0"/>
  </r>
  <r>
    <n v="17"/>
    <x v="0"/>
    <n v="3.7"/>
    <x v="1"/>
    <n v="7.2"/>
    <n v="0.6"/>
    <n v="3.34"/>
    <n v="1.8"/>
    <s v="high"/>
    <n v="2"/>
    <n v="6"/>
    <n v="2"/>
    <n v="0"/>
    <x v="2"/>
  </r>
  <r>
    <n v="14"/>
    <x v="0"/>
    <n v="3.8"/>
    <x v="0"/>
    <n v="8.9"/>
    <n v="1.9"/>
    <n v="2.77"/>
    <n v="0.2"/>
    <s v="medium"/>
    <n v="6"/>
    <n v="2"/>
    <n v="2"/>
    <n v="0"/>
    <x v="0"/>
  </r>
  <r>
    <n v="15"/>
    <x v="1"/>
    <n v="5.4"/>
    <x v="1"/>
    <n v="7"/>
    <n v="1.8"/>
    <n v="2.54"/>
    <n v="0.1"/>
    <s v="low"/>
    <n v="1"/>
    <n v="4"/>
    <n v="4"/>
    <n v="0"/>
    <x v="3"/>
  </r>
  <r>
    <n v="17"/>
    <x v="0"/>
    <n v="4"/>
    <x v="2"/>
    <n v="4.3"/>
    <n v="1.8"/>
    <n v="2.17"/>
    <n v="0.9"/>
    <s v="high"/>
    <n v="8"/>
    <n v="8"/>
    <n v="3"/>
    <n v="0"/>
    <x v="2"/>
  </r>
  <r>
    <n v="19"/>
    <x v="0"/>
    <n v="3.5"/>
    <x v="1"/>
    <n v="5.8"/>
    <n v="1.8"/>
    <n v="3.3"/>
    <n v="0.9"/>
    <s v="low"/>
    <n v="7"/>
    <n v="6"/>
    <n v="9"/>
    <n v="0"/>
    <x v="1"/>
  </r>
  <r>
    <n v="17"/>
    <x v="0"/>
    <n v="1.3"/>
    <x v="2"/>
    <n v="8.3000000000000007"/>
    <n v="1"/>
    <n v="3.95"/>
    <n v="1.2"/>
    <s v="medium"/>
    <n v="4"/>
    <n v="1"/>
    <n v="1"/>
    <n v="0"/>
    <x v="2"/>
  </r>
  <r>
    <n v="14"/>
    <x v="0"/>
    <n v="5.6"/>
    <x v="0"/>
    <n v="8.8000000000000007"/>
    <n v="0.9"/>
    <n v="3.03"/>
    <n v="2"/>
    <s v="low"/>
    <n v="8"/>
    <n v="10"/>
    <n v="3"/>
    <n v="0"/>
    <x v="0"/>
  </r>
  <r>
    <n v="13"/>
    <x v="1"/>
    <n v="2.4"/>
    <x v="0"/>
    <n v="5.5"/>
    <n v="0.6"/>
    <n v="3.56"/>
    <n v="1.6"/>
    <s v="medium"/>
    <n v="4"/>
    <n v="8"/>
    <n v="7"/>
    <n v="0"/>
    <x v="0"/>
  </r>
  <r>
    <n v="16"/>
    <x v="0"/>
    <n v="2"/>
    <x v="2"/>
    <n v="7.8"/>
    <n v="2.8"/>
    <n v="2.1"/>
    <n v="0.6"/>
    <s v="medium"/>
    <n v="2"/>
    <n v="6"/>
    <n v="8"/>
    <n v="0"/>
    <x v="3"/>
  </r>
  <r>
    <n v="15"/>
    <x v="0"/>
    <n v="6.6"/>
    <x v="0"/>
    <n v="8.6"/>
    <n v="1.5"/>
    <n v="2.63"/>
    <n v="1.1000000000000001"/>
    <s v="low"/>
    <n v="1"/>
    <n v="9"/>
    <n v="9"/>
    <n v="0"/>
    <x v="3"/>
  </r>
  <r>
    <n v="17"/>
    <x v="1"/>
    <n v="2.2999999999999998"/>
    <x v="1"/>
    <n v="6.4"/>
    <n v="2.4"/>
    <n v="3.61"/>
    <n v="0.6"/>
    <s v="medium"/>
    <n v="2"/>
    <n v="1"/>
    <n v="1"/>
    <n v="0"/>
    <x v="2"/>
  </r>
  <r>
    <n v="16"/>
    <x v="0"/>
    <n v="6.4"/>
    <x v="1"/>
    <n v="5.4"/>
    <n v="1.4"/>
    <n v="2.42"/>
    <n v="1.9"/>
    <s v="medium"/>
    <n v="4"/>
    <n v="9"/>
    <n v="5"/>
    <n v="0"/>
    <x v="3"/>
  </r>
  <r>
    <n v="18"/>
    <x v="1"/>
    <n v="3.5"/>
    <x v="2"/>
    <n v="5.9"/>
    <n v="1.3"/>
    <n v="3.68"/>
    <n v="2"/>
    <s v="medium"/>
    <n v="7"/>
    <n v="4"/>
    <n v="10"/>
    <n v="0"/>
    <x v="2"/>
  </r>
  <r>
    <n v="18"/>
    <x v="1"/>
    <n v="1.7"/>
    <x v="0"/>
    <n v="8.5"/>
    <n v="1"/>
    <n v="3.32"/>
    <n v="1.3"/>
    <s v="medium"/>
    <n v="1"/>
    <n v="1"/>
    <n v="7"/>
    <n v="0"/>
    <x v="2"/>
  </r>
  <r>
    <n v="14"/>
    <x v="0"/>
    <n v="4.0999999999999996"/>
    <x v="0"/>
    <n v="8.1999999999999993"/>
    <n v="1.7"/>
    <n v="2.3199999999999998"/>
    <n v="1.4"/>
    <s v="high"/>
    <n v="9"/>
    <n v="2"/>
    <n v="4"/>
    <n v="0"/>
    <x v="0"/>
  </r>
  <r>
    <n v="14"/>
    <x v="0"/>
    <n v="3.3"/>
    <x v="0"/>
    <n v="6.5"/>
    <n v="0.8"/>
    <n v="2.54"/>
    <n v="0.8"/>
    <s v="low"/>
    <n v="1"/>
    <n v="2"/>
    <n v="3"/>
    <n v="0"/>
    <x v="0"/>
  </r>
  <r>
    <n v="14"/>
    <x v="1"/>
    <n v="5"/>
    <x v="1"/>
    <n v="4.9000000000000004"/>
    <n v="2.6"/>
    <n v="3.82"/>
    <n v="1.9"/>
    <s v="medium"/>
    <n v="3"/>
    <n v="10"/>
    <n v="10"/>
    <n v="0"/>
    <x v="0"/>
  </r>
  <r>
    <n v="19"/>
    <x v="1"/>
    <n v="1.5"/>
    <x v="0"/>
    <n v="8.4"/>
    <n v="3"/>
    <n v="2.46"/>
    <n v="1.5"/>
    <s v="high"/>
    <n v="1"/>
    <n v="7"/>
    <n v="6"/>
    <n v="0"/>
    <x v="1"/>
  </r>
  <r>
    <n v="17"/>
    <x v="1"/>
    <n v="3.3"/>
    <x v="1"/>
    <n v="8.4"/>
    <n v="2.1"/>
    <n v="3.4"/>
    <n v="0.2"/>
    <s v="high"/>
    <n v="1"/>
    <n v="3"/>
    <n v="10"/>
    <n v="0"/>
    <x v="2"/>
  </r>
  <r>
    <n v="13"/>
    <x v="0"/>
    <n v="6.4"/>
    <x v="2"/>
    <n v="4.0999999999999996"/>
    <n v="1.3"/>
    <n v="2.77"/>
    <n v="1.3"/>
    <s v="low"/>
    <n v="10"/>
    <n v="6"/>
    <n v="1"/>
    <n v="0"/>
    <x v="0"/>
  </r>
  <r>
    <n v="17"/>
    <x v="1"/>
    <n v="8"/>
    <x v="0"/>
    <n v="8.1"/>
    <n v="1.2"/>
    <n v="2.13"/>
    <n v="1"/>
    <s v="low"/>
    <n v="1"/>
    <n v="8"/>
    <n v="7"/>
    <n v="0"/>
    <x v="2"/>
  </r>
  <r>
    <n v="16"/>
    <x v="1"/>
    <n v="1"/>
    <x v="2"/>
    <n v="4.0999999999999996"/>
    <n v="1.3"/>
    <n v="2.2200000000000002"/>
    <n v="0.4"/>
    <s v="low"/>
    <n v="2"/>
    <n v="1"/>
    <n v="8"/>
    <n v="0"/>
    <x v="3"/>
  </r>
  <r>
    <n v="18"/>
    <x v="1"/>
    <n v="4.2"/>
    <x v="0"/>
    <n v="5.4"/>
    <n v="1.1000000000000001"/>
    <n v="2.31"/>
    <n v="0.3"/>
    <s v="low"/>
    <n v="4"/>
    <n v="9"/>
    <n v="1"/>
    <n v="0"/>
    <x v="2"/>
  </r>
  <r>
    <n v="18"/>
    <x v="1"/>
    <n v="4.5999999999999996"/>
    <x v="1"/>
    <n v="7.3"/>
    <n v="2.8"/>
    <n v="3.22"/>
    <n v="0.6"/>
    <s v="high"/>
    <n v="1"/>
    <n v="3"/>
    <n v="6"/>
    <n v="0"/>
    <x v="2"/>
  </r>
  <r>
    <n v="17"/>
    <x v="1"/>
    <n v="2.8"/>
    <x v="2"/>
    <n v="6.2"/>
    <n v="2.4"/>
    <n v="2.58"/>
    <n v="0.4"/>
    <s v="high"/>
    <n v="4"/>
    <n v="10"/>
    <n v="9"/>
    <n v="0"/>
    <x v="2"/>
  </r>
  <r>
    <n v="16"/>
    <x v="1"/>
    <n v="6.3"/>
    <x v="0"/>
    <n v="6.9"/>
    <n v="1.3"/>
    <n v="2.15"/>
    <n v="1.4"/>
    <s v="low"/>
    <n v="9"/>
    <n v="2"/>
    <n v="10"/>
    <n v="0"/>
    <x v="3"/>
  </r>
  <r>
    <n v="17"/>
    <x v="1"/>
    <n v="7.2"/>
    <x v="1"/>
    <n v="7"/>
    <n v="1.3"/>
    <n v="3.86"/>
    <n v="0.9"/>
    <s v="low"/>
    <n v="7"/>
    <n v="8"/>
    <n v="4"/>
    <n v="0"/>
    <x v="2"/>
  </r>
  <r>
    <n v="13"/>
    <x v="0"/>
    <n v="4.5"/>
    <x v="2"/>
    <n v="6.7"/>
    <n v="2.2000000000000002"/>
    <n v="3.73"/>
    <n v="0.3"/>
    <s v="low"/>
    <n v="3"/>
    <n v="5"/>
    <n v="10"/>
    <n v="0"/>
    <x v="0"/>
  </r>
  <r>
    <n v="18"/>
    <x v="0"/>
    <n v="5.3"/>
    <x v="2"/>
    <n v="5.0999999999999996"/>
    <n v="1.2"/>
    <n v="3.32"/>
    <n v="1.8"/>
    <s v="low"/>
    <n v="7"/>
    <n v="3"/>
    <n v="8"/>
    <n v="0"/>
    <x v="2"/>
  </r>
  <r>
    <n v="13"/>
    <x v="0"/>
    <n v="5.2"/>
    <x v="1"/>
    <n v="6.7"/>
    <n v="2.5"/>
    <n v="3.82"/>
    <n v="0.9"/>
    <s v="medium"/>
    <n v="8"/>
    <n v="8"/>
    <n v="6"/>
    <n v="0"/>
    <x v="0"/>
  </r>
  <r>
    <n v="13"/>
    <x v="0"/>
    <n v="7.9"/>
    <x v="1"/>
    <n v="6"/>
    <n v="2.7"/>
    <n v="2.85"/>
    <n v="0.3"/>
    <s v="low"/>
    <n v="9"/>
    <n v="10"/>
    <n v="3"/>
    <n v="0"/>
    <x v="0"/>
  </r>
  <r>
    <n v="19"/>
    <x v="0"/>
    <n v="6.9"/>
    <x v="1"/>
    <n v="8.5"/>
    <n v="1.5"/>
    <n v="3.55"/>
    <n v="1.3"/>
    <s v="low"/>
    <n v="5"/>
    <n v="6"/>
    <n v="1"/>
    <n v="0"/>
    <x v="1"/>
  </r>
  <r>
    <n v="17"/>
    <x v="1"/>
    <n v="5.8"/>
    <x v="0"/>
    <n v="4.0999999999999996"/>
    <n v="2.9"/>
    <n v="2.33"/>
    <n v="0.4"/>
    <s v="high"/>
    <n v="9"/>
    <n v="6"/>
    <n v="8"/>
    <n v="0"/>
    <x v="2"/>
  </r>
  <r>
    <n v="19"/>
    <x v="0"/>
    <n v="7"/>
    <x v="0"/>
    <n v="8.3000000000000007"/>
    <n v="2.1"/>
    <n v="3.09"/>
    <n v="1.5"/>
    <s v="low"/>
    <n v="9"/>
    <n v="7"/>
    <n v="3"/>
    <n v="0"/>
    <x v="1"/>
  </r>
  <r>
    <n v="14"/>
    <x v="1"/>
    <n v="3"/>
    <x v="1"/>
    <n v="8.3000000000000007"/>
    <n v="2.7"/>
    <n v="3.9"/>
    <n v="0.7"/>
    <s v="high"/>
    <n v="3"/>
    <n v="1"/>
    <n v="5"/>
    <n v="0"/>
    <x v="0"/>
  </r>
  <r>
    <n v="18"/>
    <x v="0"/>
    <n v="6.3"/>
    <x v="2"/>
    <n v="7.9"/>
    <n v="1.7"/>
    <n v="2.85"/>
    <n v="0.3"/>
    <s v="medium"/>
    <n v="1"/>
    <n v="1"/>
    <n v="2"/>
    <n v="0"/>
    <x v="2"/>
  </r>
  <r>
    <n v="17"/>
    <x v="1"/>
    <n v="5.5"/>
    <x v="0"/>
    <n v="4.9000000000000004"/>
    <n v="2.6"/>
    <n v="3.64"/>
    <n v="0.8"/>
    <s v="medium"/>
    <n v="6"/>
    <n v="8"/>
    <n v="3"/>
    <n v="0"/>
    <x v="2"/>
  </r>
  <r>
    <n v="17"/>
    <x v="1"/>
    <n v="2.2000000000000002"/>
    <x v="2"/>
    <n v="7.5"/>
    <n v="2.2000000000000002"/>
    <n v="2.95"/>
    <n v="1.6"/>
    <s v="low"/>
    <n v="9"/>
    <n v="7"/>
    <n v="4"/>
    <n v="0"/>
    <x v="2"/>
  </r>
  <r>
    <n v="14"/>
    <x v="0"/>
    <n v="1.4"/>
    <x v="2"/>
    <n v="4.5"/>
    <n v="1.4"/>
    <n v="3.17"/>
    <n v="1.7"/>
    <s v="high"/>
    <n v="9"/>
    <n v="10"/>
    <n v="9"/>
    <n v="0"/>
    <x v="0"/>
  </r>
  <r>
    <n v="18"/>
    <x v="0"/>
    <n v="4.5"/>
    <x v="0"/>
    <n v="4.4000000000000004"/>
    <n v="1.9"/>
    <n v="2.2599999999999998"/>
    <n v="0"/>
    <s v="low"/>
    <n v="7"/>
    <n v="8"/>
    <n v="10"/>
    <n v="0"/>
    <x v="2"/>
  </r>
  <r>
    <n v="14"/>
    <x v="1"/>
    <n v="6.1"/>
    <x v="0"/>
    <n v="5.7"/>
    <n v="2"/>
    <n v="3.9"/>
    <n v="1"/>
    <s v="low"/>
    <n v="8"/>
    <n v="4"/>
    <n v="6"/>
    <n v="0"/>
    <x v="0"/>
  </r>
  <r>
    <n v="17"/>
    <x v="0"/>
    <n v="3.3"/>
    <x v="1"/>
    <n v="5.7"/>
    <n v="2"/>
    <n v="3.71"/>
    <n v="0.1"/>
    <s v="low"/>
    <n v="6"/>
    <n v="6"/>
    <n v="8"/>
    <n v="0"/>
    <x v="2"/>
  </r>
  <r>
    <n v="15"/>
    <x v="0"/>
    <n v="5.2"/>
    <x v="2"/>
    <n v="5.6"/>
    <n v="1.1000000000000001"/>
    <n v="2.88"/>
    <n v="0.1"/>
    <s v="medium"/>
    <n v="4"/>
    <n v="8"/>
    <n v="7"/>
    <n v="0"/>
    <x v="3"/>
  </r>
  <r>
    <n v="18"/>
    <x v="0"/>
    <n v="5"/>
    <x v="2"/>
    <n v="5.8"/>
    <n v="1.3"/>
    <n v="2.12"/>
    <n v="0.1"/>
    <s v="low"/>
    <n v="1"/>
    <n v="9"/>
    <n v="2"/>
    <n v="0"/>
    <x v="2"/>
  </r>
  <r>
    <n v="17"/>
    <x v="1"/>
    <n v="1.8"/>
    <x v="1"/>
    <n v="5.9"/>
    <n v="1.9"/>
    <n v="2.89"/>
    <n v="0.6"/>
    <s v="low"/>
    <n v="8"/>
    <n v="8"/>
    <n v="5"/>
    <n v="0"/>
    <x v="2"/>
  </r>
  <r>
    <n v="13"/>
    <x v="0"/>
    <n v="2.2999999999999998"/>
    <x v="1"/>
    <n v="4.5"/>
    <n v="0.7"/>
    <n v="2.71"/>
    <n v="0.2"/>
    <s v="low"/>
    <n v="6"/>
    <n v="3"/>
    <n v="7"/>
    <n v="0"/>
    <x v="0"/>
  </r>
  <r>
    <n v="14"/>
    <x v="0"/>
    <n v="2.7"/>
    <x v="2"/>
    <n v="6.3"/>
    <n v="0.6"/>
    <n v="3.88"/>
    <n v="0.3"/>
    <s v="medium"/>
    <n v="6"/>
    <n v="6"/>
    <n v="6"/>
    <n v="0"/>
    <x v="0"/>
  </r>
  <r>
    <n v="16"/>
    <x v="0"/>
    <n v="7.4"/>
    <x v="1"/>
    <n v="7.5"/>
    <n v="1.7"/>
    <n v="3.16"/>
    <n v="1.8"/>
    <s v="medium"/>
    <n v="2"/>
    <n v="3"/>
    <n v="2"/>
    <n v="0"/>
    <x v="3"/>
  </r>
  <r>
    <n v="15"/>
    <x v="0"/>
    <n v="6.2"/>
    <x v="1"/>
    <n v="4.5999999999999996"/>
    <n v="1.1000000000000001"/>
    <n v="2.94"/>
    <n v="1.8"/>
    <s v="high"/>
    <n v="4"/>
    <n v="2"/>
    <n v="3"/>
    <n v="0"/>
    <x v="3"/>
  </r>
  <r>
    <n v="16"/>
    <x v="0"/>
    <n v="2.2999999999999998"/>
    <x v="1"/>
    <n v="8.8000000000000007"/>
    <n v="1"/>
    <n v="2.5099999999999998"/>
    <n v="2"/>
    <s v="medium"/>
    <n v="6"/>
    <n v="10"/>
    <n v="10"/>
    <n v="0"/>
    <x v="3"/>
  </r>
  <r>
    <n v="18"/>
    <x v="0"/>
    <n v="1.8"/>
    <x v="1"/>
    <n v="5.2"/>
    <n v="1.4"/>
    <n v="2.68"/>
    <n v="0.1"/>
    <s v="high"/>
    <n v="6"/>
    <n v="2"/>
    <n v="10"/>
    <n v="0"/>
    <x v="2"/>
  </r>
  <r>
    <n v="16"/>
    <x v="1"/>
    <n v="1.3"/>
    <x v="0"/>
    <n v="4.9000000000000004"/>
    <n v="2.6"/>
    <n v="2.89"/>
    <n v="0.2"/>
    <s v="low"/>
    <n v="2"/>
    <n v="5"/>
    <n v="2"/>
    <n v="0"/>
    <x v="3"/>
  </r>
  <r>
    <n v="15"/>
    <x v="0"/>
    <n v="2.1"/>
    <x v="0"/>
    <n v="4.4000000000000004"/>
    <n v="2.1"/>
    <n v="3.43"/>
    <n v="1.9"/>
    <s v="low"/>
    <n v="6"/>
    <n v="6"/>
    <n v="7"/>
    <n v="0"/>
    <x v="3"/>
  </r>
  <r>
    <n v="14"/>
    <x v="0"/>
    <n v="3.9"/>
    <x v="0"/>
    <n v="7.7"/>
    <n v="1.4"/>
    <n v="2.86"/>
    <n v="1.7"/>
    <s v="high"/>
    <n v="3"/>
    <n v="5"/>
    <n v="1"/>
    <n v="0"/>
    <x v="0"/>
  </r>
  <r>
    <n v="18"/>
    <x v="1"/>
    <n v="3.8"/>
    <x v="2"/>
    <n v="4.5"/>
    <n v="1.3"/>
    <n v="3.06"/>
    <n v="0.3"/>
    <s v="medium"/>
    <n v="7"/>
    <n v="8"/>
    <n v="1"/>
    <n v="0"/>
    <x v="2"/>
  </r>
  <r>
    <n v="15"/>
    <x v="0"/>
    <n v="6.4"/>
    <x v="0"/>
    <n v="7.8"/>
    <n v="0.7"/>
    <n v="2.6"/>
    <n v="0.7"/>
    <s v="high"/>
    <n v="4"/>
    <n v="4"/>
    <n v="2"/>
    <n v="0"/>
    <x v="3"/>
  </r>
  <r>
    <n v="19"/>
    <x v="0"/>
    <n v="3.2"/>
    <x v="0"/>
    <n v="6.2"/>
    <n v="2.6"/>
    <n v="3.72"/>
    <n v="1.9"/>
    <s v="high"/>
    <n v="9"/>
    <n v="5"/>
    <n v="7"/>
    <n v="0"/>
    <x v="1"/>
  </r>
  <r>
    <n v="13"/>
    <x v="0"/>
    <n v="4.4000000000000004"/>
    <x v="2"/>
    <n v="8.1999999999999993"/>
    <n v="1.5"/>
    <n v="3.98"/>
    <n v="1.4"/>
    <s v="high"/>
    <n v="9"/>
    <n v="6"/>
    <n v="6"/>
    <n v="0"/>
    <x v="0"/>
  </r>
  <r>
    <n v="15"/>
    <x v="0"/>
    <n v="1.3"/>
    <x v="1"/>
    <n v="7.5"/>
    <n v="1.3"/>
    <n v="2.99"/>
    <n v="1.4"/>
    <s v="low"/>
    <n v="1"/>
    <n v="5"/>
    <n v="2"/>
    <n v="0"/>
    <x v="3"/>
  </r>
  <r>
    <n v="18"/>
    <x v="1"/>
    <n v="5.7"/>
    <x v="1"/>
    <n v="6.2"/>
    <n v="0.5"/>
    <n v="3.98"/>
    <n v="1.7"/>
    <s v="medium"/>
    <n v="7"/>
    <n v="6"/>
    <n v="3"/>
    <n v="0"/>
    <x v="2"/>
  </r>
  <r>
    <n v="13"/>
    <x v="0"/>
    <n v="4"/>
    <x v="1"/>
    <n v="5"/>
    <n v="2.9"/>
    <n v="3.84"/>
    <n v="0.1"/>
    <s v="low"/>
    <n v="7"/>
    <n v="8"/>
    <n v="10"/>
    <n v="0"/>
    <x v="0"/>
  </r>
  <r>
    <n v="16"/>
    <x v="1"/>
    <n v="4.8"/>
    <x v="0"/>
    <n v="6.7"/>
    <n v="1.4"/>
    <n v="2.44"/>
    <n v="0.3"/>
    <s v="low"/>
    <n v="1"/>
    <n v="3"/>
    <n v="1"/>
    <n v="0"/>
    <x v="3"/>
  </r>
  <r>
    <n v="19"/>
    <x v="0"/>
    <n v="5.8"/>
    <x v="2"/>
    <n v="7.5"/>
    <n v="1.9"/>
    <n v="2.08"/>
    <n v="0.1"/>
    <s v="high"/>
    <n v="2"/>
    <n v="1"/>
    <n v="3"/>
    <n v="0"/>
    <x v="1"/>
  </r>
  <r>
    <n v="16"/>
    <x v="0"/>
    <n v="5.8"/>
    <x v="2"/>
    <n v="8.9"/>
    <n v="1.1000000000000001"/>
    <n v="2.08"/>
    <n v="1.9"/>
    <s v="medium"/>
    <n v="8"/>
    <n v="5"/>
    <n v="9"/>
    <n v="0"/>
    <x v="3"/>
  </r>
  <r>
    <n v="13"/>
    <x v="0"/>
    <n v="3.2"/>
    <x v="1"/>
    <n v="5.0999999999999996"/>
    <n v="1.6"/>
    <n v="2.87"/>
    <n v="1.8"/>
    <s v="medium"/>
    <n v="4"/>
    <n v="9"/>
    <n v="8"/>
    <n v="0"/>
    <x v="0"/>
  </r>
  <r>
    <n v="16"/>
    <x v="1"/>
    <n v="5.2"/>
    <x v="2"/>
    <n v="4"/>
    <n v="2.4"/>
    <n v="2.35"/>
    <n v="1.6"/>
    <s v="low"/>
    <n v="10"/>
    <n v="5"/>
    <n v="2"/>
    <n v="0"/>
    <x v="3"/>
  </r>
  <r>
    <n v="17"/>
    <x v="0"/>
    <n v="2.4"/>
    <x v="1"/>
    <n v="6"/>
    <n v="0.7"/>
    <n v="3.67"/>
    <n v="1.5"/>
    <s v="low"/>
    <n v="7"/>
    <n v="9"/>
    <n v="2"/>
    <n v="0"/>
    <x v="2"/>
  </r>
  <r>
    <n v="15"/>
    <x v="0"/>
    <n v="7.4"/>
    <x v="2"/>
    <n v="5.9"/>
    <n v="2.6"/>
    <n v="2.89"/>
    <n v="1.9"/>
    <s v="medium"/>
    <n v="7"/>
    <n v="3"/>
    <n v="8"/>
    <n v="0"/>
    <x v="3"/>
  </r>
  <r>
    <n v="18"/>
    <x v="1"/>
    <n v="7.1"/>
    <x v="0"/>
    <n v="4.8"/>
    <n v="2.1"/>
    <n v="2.5099999999999998"/>
    <n v="0.9"/>
    <s v="high"/>
    <n v="1"/>
    <n v="1"/>
    <n v="10"/>
    <n v="0"/>
    <x v="2"/>
  </r>
  <r>
    <n v="16"/>
    <x v="0"/>
    <n v="6.5"/>
    <x v="1"/>
    <n v="7.4"/>
    <n v="1.9"/>
    <n v="2.2200000000000002"/>
    <n v="1.1000000000000001"/>
    <s v="medium"/>
    <n v="10"/>
    <n v="10"/>
    <n v="2"/>
    <n v="0"/>
    <x v="3"/>
  </r>
  <r>
    <n v="13"/>
    <x v="0"/>
    <n v="7.4"/>
    <x v="2"/>
    <n v="7"/>
    <n v="1.8"/>
    <n v="2.17"/>
    <n v="1.4"/>
    <s v="medium"/>
    <n v="9"/>
    <n v="10"/>
    <n v="5"/>
    <n v="0"/>
    <x v="0"/>
  </r>
  <r>
    <n v="15"/>
    <x v="1"/>
    <n v="3.9"/>
    <x v="0"/>
    <n v="6.4"/>
    <n v="1.7"/>
    <n v="2.87"/>
    <n v="1.8"/>
    <s v="high"/>
    <n v="6"/>
    <n v="6"/>
    <n v="6"/>
    <n v="0"/>
    <x v="3"/>
  </r>
  <r>
    <n v="15"/>
    <x v="1"/>
    <n v="4.5999999999999996"/>
    <x v="2"/>
    <n v="8.6"/>
    <n v="2"/>
    <n v="3.01"/>
    <n v="0"/>
    <s v="low"/>
    <n v="1"/>
    <n v="8"/>
    <n v="3"/>
    <n v="0"/>
    <x v="3"/>
  </r>
  <r>
    <n v="19"/>
    <x v="0"/>
    <n v="1.5"/>
    <x v="1"/>
    <n v="6.7"/>
    <n v="1"/>
    <n v="3.9"/>
    <n v="0.4"/>
    <s v="low"/>
    <n v="4"/>
    <n v="3"/>
    <n v="3"/>
    <n v="0"/>
    <x v="1"/>
  </r>
  <r>
    <n v="15"/>
    <x v="1"/>
    <n v="5.8"/>
    <x v="0"/>
    <n v="7.1"/>
    <n v="1.1000000000000001"/>
    <n v="3.72"/>
    <n v="1.5"/>
    <s v="low"/>
    <n v="9"/>
    <n v="6"/>
    <n v="6"/>
    <n v="0"/>
    <x v="3"/>
  </r>
  <r>
    <n v="17"/>
    <x v="1"/>
    <n v="6.4"/>
    <x v="1"/>
    <n v="4.9000000000000004"/>
    <n v="2.1"/>
    <n v="2.78"/>
    <n v="1"/>
    <s v="high"/>
    <n v="2"/>
    <n v="2"/>
    <n v="6"/>
    <n v="0"/>
    <x v="2"/>
  </r>
  <r>
    <n v="16"/>
    <x v="1"/>
    <n v="2.1"/>
    <x v="1"/>
    <n v="8.1999999999999993"/>
    <n v="2.4"/>
    <n v="3.25"/>
    <n v="0.1"/>
    <s v="high"/>
    <n v="1"/>
    <n v="1"/>
    <n v="8"/>
    <n v="0"/>
    <x v="3"/>
  </r>
  <r>
    <n v="17"/>
    <x v="1"/>
    <n v="2.2000000000000002"/>
    <x v="1"/>
    <n v="6.5"/>
    <n v="3"/>
    <n v="2.4900000000000002"/>
    <n v="0.2"/>
    <s v="medium"/>
    <n v="5"/>
    <n v="8"/>
    <n v="4"/>
    <n v="0"/>
    <x v="2"/>
  </r>
  <r>
    <n v="14"/>
    <x v="0"/>
    <n v="5.5"/>
    <x v="1"/>
    <n v="7.4"/>
    <n v="2.9"/>
    <n v="3.54"/>
    <n v="1.1000000000000001"/>
    <s v="high"/>
    <n v="8"/>
    <n v="4"/>
    <n v="10"/>
    <n v="0"/>
    <x v="0"/>
  </r>
  <r>
    <n v="17"/>
    <x v="1"/>
    <n v="6.6"/>
    <x v="2"/>
    <n v="7.4"/>
    <n v="2.2000000000000002"/>
    <n v="2.63"/>
    <n v="0.6"/>
    <s v="high"/>
    <n v="7"/>
    <n v="4"/>
    <n v="9"/>
    <n v="0"/>
    <x v="2"/>
  </r>
  <r>
    <n v="19"/>
    <x v="1"/>
    <n v="5.2"/>
    <x v="0"/>
    <n v="6.6"/>
    <n v="1.6"/>
    <n v="2.36"/>
    <n v="1.4"/>
    <s v="low"/>
    <n v="2"/>
    <n v="6"/>
    <n v="10"/>
    <n v="0"/>
    <x v="1"/>
  </r>
  <r>
    <n v="17"/>
    <x v="0"/>
    <n v="4.7"/>
    <x v="1"/>
    <n v="5.0999999999999996"/>
    <n v="2"/>
    <n v="2.35"/>
    <n v="1.8"/>
    <s v="low"/>
    <n v="8"/>
    <n v="9"/>
    <n v="1"/>
    <n v="0"/>
    <x v="2"/>
  </r>
  <r>
    <n v="19"/>
    <x v="1"/>
    <n v="7.1"/>
    <x v="2"/>
    <n v="6.3"/>
    <n v="2.2000000000000002"/>
    <n v="3.88"/>
    <n v="0.8"/>
    <s v="high"/>
    <n v="10"/>
    <n v="4"/>
    <n v="9"/>
    <n v="0"/>
    <x v="1"/>
  </r>
  <r>
    <n v="19"/>
    <x v="1"/>
    <n v="4.2"/>
    <x v="2"/>
    <n v="8.1"/>
    <n v="1.4"/>
    <n v="2.66"/>
    <n v="1.9"/>
    <s v="low"/>
    <n v="9"/>
    <n v="4"/>
    <n v="2"/>
    <n v="0"/>
    <x v="1"/>
  </r>
  <r>
    <n v="17"/>
    <x v="1"/>
    <n v="1.3"/>
    <x v="0"/>
    <n v="5.0999999999999996"/>
    <n v="2.2000000000000002"/>
    <n v="3.44"/>
    <n v="0.6"/>
    <s v="high"/>
    <n v="7"/>
    <n v="8"/>
    <n v="6"/>
    <n v="0"/>
    <x v="2"/>
  </r>
  <r>
    <n v="18"/>
    <x v="0"/>
    <n v="2.6"/>
    <x v="2"/>
    <n v="7.8"/>
    <n v="1.9"/>
    <n v="3.15"/>
    <n v="0.4"/>
    <s v="medium"/>
    <n v="8"/>
    <n v="3"/>
    <n v="2"/>
    <n v="0"/>
    <x v="2"/>
  </r>
  <r>
    <n v="15"/>
    <x v="0"/>
    <n v="6.2"/>
    <x v="0"/>
    <n v="8.1"/>
    <n v="2.2999999999999998"/>
    <n v="3.46"/>
    <n v="1.3"/>
    <s v="low"/>
    <n v="5"/>
    <n v="4"/>
    <n v="9"/>
    <n v="0"/>
    <x v="3"/>
  </r>
  <r>
    <n v="14"/>
    <x v="1"/>
    <n v="6.2"/>
    <x v="1"/>
    <n v="5.0999999999999996"/>
    <n v="1.5"/>
    <n v="3.85"/>
    <n v="0.2"/>
    <s v="high"/>
    <n v="3"/>
    <n v="4"/>
    <n v="10"/>
    <n v="0"/>
    <x v="0"/>
  </r>
  <r>
    <n v="18"/>
    <x v="0"/>
    <n v="4.8"/>
    <x v="1"/>
    <n v="8.5"/>
    <n v="2.8"/>
    <n v="3.77"/>
    <n v="1.3"/>
    <s v="low"/>
    <n v="5"/>
    <n v="4"/>
    <n v="3"/>
    <n v="0"/>
    <x v="2"/>
  </r>
  <r>
    <n v="18"/>
    <x v="1"/>
    <n v="3"/>
    <x v="2"/>
    <n v="4.5999999999999996"/>
    <n v="2"/>
    <n v="2.2400000000000002"/>
    <n v="1.5"/>
    <s v="medium"/>
    <n v="10"/>
    <n v="2"/>
    <n v="5"/>
    <n v="0"/>
    <x v="2"/>
  </r>
  <r>
    <n v="16"/>
    <x v="0"/>
    <n v="4.7"/>
    <x v="0"/>
    <n v="8.1999999999999993"/>
    <n v="2.7"/>
    <n v="3.04"/>
    <n v="0.3"/>
    <s v="high"/>
    <n v="1"/>
    <n v="3"/>
    <n v="4"/>
    <n v="0"/>
    <x v="3"/>
  </r>
  <r>
    <n v="18"/>
    <x v="1"/>
    <n v="4.4000000000000004"/>
    <x v="2"/>
    <n v="5.0999999999999996"/>
    <n v="1.4"/>
    <n v="2.33"/>
    <n v="0.6"/>
    <s v="low"/>
    <n v="2"/>
    <n v="7"/>
    <n v="4"/>
    <n v="0"/>
    <x v="2"/>
  </r>
  <r>
    <n v="14"/>
    <x v="1"/>
    <n v="2.2999999999999998"/>
    <x v="1"/>
    <n v="7.3"/>
    <n v="2.2999999999999998"/>
    <n v="2.8"/>
    <n v="1.5"/>
    <s v="medium"/>
    <n v="4"/>
    <n v="6"/>
    <n v="5"/>
    <n v="0"/>
    <x v="0"/>
  </r>
  <r>
    <n v="14"/>
    <x v="1"/>
    <n v="3.1"/>
    <x v="0"/>
    <n v="6.9"/>
    <n v="1.9"/>
    <n v="2.2000000000000002"/>
    <n v="1.2"/>
    <s v="medium"/>
    <n v="3"/>
    <n v="4"/>
    <n v="2"/>
    <n v="0"/>
    <x v="0"/>
  </r>
  <r>
    <n v="18"/>
    <x v="0"/>
    <n v="2.9"/>
    <x v="1"/>
    <n v="7.5"/>
    <n v="0.6"/>
    <n v="2.25"/>
    <n v="1"/>
    <s v="high"/>
    <n v="4"/>
    <n v="7"/>
    <n v="4"/>
    <n v="0"/>
    <x v="2"/>
  </r>
  <r>
    <n v="13"/>
    <x v="0"/>
    <n v="1.8"/>
    <x v="0"/>
    <n v="4.4000000000000004"/>
    <n v="0.6"/>
    <n v="3.48"/>
    <n v="1.7"/>
    <s v="medium"/>
    <n v="3"/>
    <n v="1"/>
    <n v="10"/>
    <n v="0"/>
    <x v="0"/>
  </r>
  <r>
    <n v="15"/>
    <x v="1"/>
    <n v="2"/>
    <x v="0"/>
    <n v="4.7"/>
    <n v="1.3"/>
    <n v="3.55"/>
    <n v="1.3"/>
    <s v="low"/>
    <n v="2"/>
    <n v="6"/>
    <n v="5"/>
    <n v="0"/>
    <x v="3"/>
  </r>
  <r>
    <n v="13"/>
    <x v="1"/>
    <n v="4.2"/>
    <x v="0"/>
    <n v="7.9"/>
    <n v="2.7"/>
    <n v="3.76"/>
    <n v="0.1"/>
    <s v="medium"/>
    <n v="10"/>
    <n v="7"/>
    <n v="2"/>
    <n v="0"/>
    <x v="0"/>
  </r>
  <r>
    <n v="17"/>
    <x v="1"/>
    <n v="6.7"/>
    <x v="2"/>
    <n v="7.9"/>
    <n v="1.4"/>
    <n v="3.91"/>
    <n v="0.4"/>
    <s v="high"/>
    <n v="3"/>
    <n v="3"/>
    <n v="1"/>
    <n v="0"/>
    <x v="2"/>
  </r>
  <r>
    <n v="17"/>
    <x v="1"/>
    <n v="2.2000000000000002"/>
    <x v="2"/>
    <n v="7.2"/>
    <n v="0.5"/>
    <n v="2.38"/>
    <n v="1.2"/>
    <s v="medium"/>
    <n v="10"/>
    <n v="4"/>
    <n v="8"/>
    <n v="0"/>
    <x v="2"/>
  </r>
  <r>
    <n v="17"/>
    <x v="1"/>
    <n v="1.1000000000000001"/>
    <x v="1"/>
    <n v="6.8"/>
    <n v="0.6"/>
    <n v="2.2799999999999998"/>
    <n v="1.6"/>
    <s v="medium"/>
    <n v="9"/>
    <n v="3"/>
    <n v="7"/>
    <n v="0"/>
    <x v="2"/>
  </r>
  <r>
    <n v="16"/>
    <x v="1"/>
    <n v="6.4"/>
    <x v="1"/>
    <n v="5.9"/>
    <n v="2.8"/>
    <n v="3.81"/>
    <n v="1.3"/>
    <s v="high"/>
    <n v="1"/>
    <n v="3"/>
    <n v="7"/>
    <n v="0"/>
    <x v="3"/>
  </r>
  <r>
    <n v="19"/>
    <x v="1"/>
    <n v="2.8"/>
    <x v="0"/>
    <n v="5.9"/>
    <n v="1.5"/>
    <n v="2.85"/>
    <n v="0.6"/>
    <s v="high"/>
    <n v="10"/>
    <n v="9"/>
    <n v="4"/>
    <n v="0"/>
    <x v="1"/>
  </r>
  <r>
    <n v="13"/>
    <x v="0"/>
    <n v="2.2000000000000002"/>
    <x v="2"/>
    <n v="5.8"/>
    <n v="2"/>
    <n v="3.63"/>
    <n v="1.9"/>
    <s v="low"/>
    <n v="4"/>
    <n v="4"/>
    <n v="10"/>
    <n v="0"/>
    <x v="0"/>
  </r>
  <r>
    <n v="19"/>
    <x v="0"/>
    <n v="5.7"/>
    <x v="0"/>
    <n v="4.8"/>
    <n v="2.2000000000000002"/>
    <n v="3.66"/>
    <n v="0.9"/>
    <s v="low"/>
    <n v="3"/>
    <n v="7"/>
    <n v="5"/>
    <n v="0"/>
    <x v="1"/>
  </r>
  <r>
    <n v="15"/>
    <x v="0"/>
    <n v="5.3"/>
    <x v="2"/>
    <n v="7.3"/>
    <n v="1.9"/>
    <n v="2.5099999999999998"/>
    <n v="1.4"/>
    <s v="high"/>
    <n v="10"/>
    <n v="4"/>
    <n v="2"/>
    <n v="0"/>
    <x v="3"/>
  </r>
  <r>
    <n v="14"/>
    <x v="0"/>
    <n v="3.1"/>
    <x v="1"/>
    <n v="8.8000000000000007"/>
    <n v="1.5"/>
    <n v="3.91"/>
    <n v="0.6"/>
    <s v="medium"/>
    <n v="4"/>
    <n v="9"/>
    <n v="6"/>
    <n v="0"/>
    <x v="0"/>
  </r>
  <r>
    <n v="16"/>
    <x v="0"/>
    <n v="1.7"/>
    <x v="1"/>
    <n v="4.9000000000000004"/>
    <n v="0.6"/>
    <n v="3.38"/>
    <n v="1.1000000000000001"/>
    <s v="medium"/>
    <n v="10"/>
    <n v="4"/>
    <n v="6"/>
    <n v="0"/>
    <x v="3"/>
  </r>
  <r>
    <n v="19"/>
    <x v="1"/>
    <n v="6.7"/>
    <x v="0"/>
    <n v="7.3"/>
    <n v="2.8"/>
    <n v="2.2599999999999998"/>
    <n v="1.4"/>
    <s v="high"/>
    <n v="7"/>
    <n v="6"/>
    <n v="8"/>
    <n v="0"/>
    <x v="1"/>
  </r>
  <r>
    <n v="13"/>
    <x v="1"/>
    <n v="7.8"/>
    <x v="0"/>
    <n v="7.4"/>
    <n v="1.7"/>
    <n v="2.76"/>
    <n v="1.1000000000000001"/>
    <s v="low"/>
    <n v="10"/>
    <n v="1"/>
    <n v="4"/>
    <n v="0"/>
    <x v="0"/>
  </r>
  <r>
    <n v="18"/>
    <x v="1"/>
    <n v="2.1"/>
    <x v="2"/>
    <n v="6.7"/>
    <n v="0.9"/>
    <n v="3.73"/>
    <n v="0.7"/>
    <s v="low"/>
    <n v="3"/>
    <n v="5"/>
    <n v="7"/>
    <n v="0"/>
    <x v="2"/>
  </r>
  <r>
    <n v="17"/>
    <x v="1"/>
    <n v="5.0999999999999996"/>
    <x v="1"/>
    <n v="8.6"/>
    <n v="1.9"/>
    <n v="3.33"/>
    <n v="1.1000000000000001"/>
    <s v="low"/>
    <n v="1"/>
    <n v="7"/>
    <n v="8"/>
    <n v="0"/>
    <x v="2"/>
  </r>
  <r>
    <n v="18"/>
    <x v="1"/>
    <n v="3.6"/>
    <x v="0"/>
    <n v="5.4"/>
    <n v="0.9"/>
    <n v="3.45"/>
    <n v="0.5"/>
    <s v="medium"/>
    <n v="1"/>
    <n v="10"/>
    <n v="2"/>
    <n v="0"/>
    <x v="2"/>
  </r>
  <r>
    <n v="18"/>
    <x v="0"/>
    <n v="5"/>
    <x v="2"/>
    <n v="7.6"/>
    <n v="2"/>
    <n v="3.94"/>
    <n v="0.5"/>
    <s v="low"/>
    <n v="4"/>
    <n v="3"/>
    <n v="3"/>
    <n v="0"/>
    <x v="2"/>
  </r>
  <r>
    <n v="17"/>
    <x v="0"/>
    <n v="1.7"/>
    <x v="2"/>
    <n v="8.6"/>
    <n v="0.9"/>
    <n v="2.36"/>
    <n v="1.7"/>
    <s v="low"/>
    <n v="9"/>
    <n v="1"/>
    <n v="3"/>
    <n v="0"/>
    <x v="2"/>
  </r>
  <r>
    <n v="17"/>
    <x v="0"/>
    <n v="6.8"/>
    <x v="0"/>
    <n v="4.7"/>
    <n v="0.6"/>
    <n v="3.4"/>
    <n v="0.9"/>
    <s v="low"/>
    <n v="3"/>
    <n v="9"/>
    <n v="7"/>
    <n v="0"/>
    <x v="2"/>
  </r>
  <r>
    <n v="14"/>
    <x v="0"/>
    <n v="3.8"/>
    <x v="2"/>
    <n v="7.5"/>
    <n v="0.5"/>
    <n v="2.1800000000000002"/>
    <n v="1"/>
    <s v="medium"/>
    <n v="5"/>
    <n v="2"/>
    <n v="2"/>
    <n v="0"/>
    <x v="0"/>
  </r>
  <r>
    <n v="16"/>
    <x v="0"/>
    <n v="2.1"/>
    <x v="0"/>
    <n v="7.7"/>
    <n v="1.1000000000000001"/>
    <n v="2.27"/>
    <n v="1.1000000000000001"/>
    <s v="medium"/>
    <n v="3"/>
    <n v="2"/>
    <n v="4"/>
    <n v="0"/>
    <x v="3"/>
  </r>
  <r>
    <n v="15"/>
    <x v="1"/>
    <n v="3.2"/>
    <x v="0"/>
    <n v="4"/>
    <n v="2"/>
    <n v="3.25"/>
    <n v="0.7"/>
    <s v="low"/>
    <n v="8"/>
    <n v="4"/>
    <n v="8"/>
    <n v="0"/>
    <x v="3"/>
  </r>
  <r>
    <n v="18"/>
    <x v="0"/>
    <n v="1.9"/>
    <x v="0"/>
    <n v="5.6"/>
    <n v="2.2999999999999998"/>
    <n v="2.8"/>
    <n v="1.9"/>
    <s v="medium"/>
    <n v="8"/>
    <n v="1"/>
    <n v="8"/>
    <n v="0"/>
    <x v="2"/>
  </r>
  <r>
    <n v="13"/>
    <x v="1"/>
    <n v="3.5"/>
    <x v="0"/>
    <n v="6.8"/>
    <n v="1.5"/>
    <n v="2.35"/>
    <n v="1.8"/>
    <s v="medium"/>
    <n v="7"/>
    <n v="3"/>
    <n v="2"/>
    <n v="0"/>
    <x v="0"/>
  </r>
  <r>
    <n v="15"/>
    <x v="1"/>
    <n v="4.5"/>
    <x v="0"/>
    <n v="7.7"/>
    <n v="0.9"/>
    <n v="2.61"/>
    <n v="1.1000000000000001"/>
    <s v="medium"/>
    <n v="9"/>
    <n v="10"/>
    <n v="4"/>
    <n v="0"/>
    <x v="3"/>
  </r>
  <r>
    <n v="13"/>
    <x v="1"/>
    <n v="6"/>
    <x v="1"/>
    <n v="5"/>
    <n v="2.5"/>
    <n v="2.5499999999999998"/>
    <n v="1.8"/>
    <s v="high"/>
    <n v="4"/>
    <n v="9"/>
    <n v="2"/>
    <n v="0"/>
    <x v="0"/>
  </r>
  <r>
    <n v="13"/>
    <x v="1"/>
    <n v="3.6"/>
    <x v="1"/>
    <n v="4.8"/>
    <n v="2.2000000000000002"/>
    <n v="3.58"/>
    <n v="1.2"/>
    <s v="medium"/>
    <n v="4"/>
    <n v="4"/>
    <n v="7"/>
    <n v="0"/>
    <x v="0"/>
  </r>
  <r>
    <n v="19"/>
    <x v="0"/>
    <n v="5.2"/>
    <x v="1"/>
    <n v="6.9"/>
    <n v="2.2999999999999998"/>
    <n v="2.09"/>
    <n v="0.2"/>
    <s v="high"/>
    <n v="6"/>
    <n v="4"/>
    <n v="8"/>
    <n v="0"/>
    <x v="1"/>
  </r>
  <r>
    <n v="13"/>
    <x v="0"/>
    <n v="2.7"/>
    <x v="2"/>
    <n v="6.9"/>
    <n v="1.4"/>
    <n v="2.87"/>
    <n v="1.5"/>
    <s v="low"/>
    <n v="2"/>
    <n v="6"/>
    <n v="3"/>
    <n v="0"/>
    <x v="0"/>
  </r>
  <r>
    <n v="16"/>
    <x v="1"/>
    <n v="2.8"/>
    <x v="1"/>
    <n v="7.1"/>
    <n v="1.4"/>
    <n v="3.85"/>
    <n v="0.4"/>
    <s v="high"/>
    <n v="7"/>
    <n v="9"/>
    <n v="8"/>
    <n v="0"/>
    <x v="3"/>
  </r>
  <r>
    <n v="14"/>
    <x v="0"/>
    <n v="5.6"/>
    <x v="0"/>
    <n v="7"/>
    <n v="1.9"/>
    <n v="2.58"/>
    <n v="0.4"/>
    <s v="low"/>
    <n v="5"/>
    <n v="7"/>
    <n v="3"/>
    <n v="0"/>
    <x v="0"/>
  </r>
  <r>
    <n v="16"/>
    <x v="0"/>
    <n v="2.7"/>
    <x v="2"/>
    <n v="7.2"/>
    <n v="0.6"/>
    <n v="3.98"/>
    <n v="1.7"/>
    <s v="low"/>
    <n v="6"/>
    <n v="1"/>
    <n v="5"/>
    <n v="0"/>
    <x v="3"/>
  </r>
  <r>
    <n v="14"/>
    <x v="0"/>
    <n v="4.2"/>
    <x v="2"/>
    <n v="7"/>
    <n v="1.1000000000000001"/>
    <n v="2.12"/>
    <n v="0.9"/>
    <s v="high"/>
    <n v="4"/>
    <n v="8"/>
    <n v="1"/>
    <n v="0"/>
    <x v="0"/>
  </r>
  <r>
    <n v="18"/>
    <x v="1"/>
    <n v="5.0999999999999996"/>
    <x v="1"/>
    <n v="8.1999999999999993"/>
    <n v="2.8"/>
    <n v="2.1800000000000002"/>
    <n v="0.5"/>
    <s v="high"/>
    <n v="8"/>
    <n v="8"/>
    <n v="8"/>
    <n v="0"/>
    <x v="2"/>
  </r>
  <r>
    <n v="15"/>
    <x v="1"/>
    <n v="5.7"/>
    <x v="0"/>
    <n v="6.1"/>
    <n v="0.7"/>
    <n v="3.08"/>
    <n v="0.6"/>
    <s v="medium"/>
    <n v="5"/>
    <n v="9"/>
    <n v="7"/>
    <n v="0"/>
    <x v="3"/>
  </r>
  <r>
    <n v="13"/>
    <x v="1"/>
    <n v="1.5"/>
    <x v="2"/>
    <n v="7.9"/>
    <n v="1.8"/>
    <n v="2.85"/>
    <n v="1.1000000000000001"/>
    <s v="medium"/>
    <n v="5"/>
    <n v="7"/>
    <n v="1"/>
    <n v="0"/>
    <x v="0"/>
  </r>
  <r>
    <n v="15"/>
    <x v="1"/>
    <n v="6.9"/>
    <x v="1"/>
    <n v="8.3000000000000007"/>
    <n v="2.4"/>
    <n v="3.34"/>
    <n v="1.2"/>
    <s v="high"/>
    <n v="2"/>
    <n v="4"/>
    <n v="9"/>
    <n v="0"/>
    <x v="3"/>
  </r>
  <r>
    <n v="14"/>
    <x v="0"/>
    <n v="4.7"/>
    <x v="1"/>
    <n v="7.9"/>
    <n v="2.9"/>
    <n v="2.54"/>
    <n v="0.7"/>
    <s v="high"/>
    <n v="5"/>
    <n v="8"/>
    <n v="7"/>
    <n v="0"/>
    <x v="0"/>
  </r>
  <r>
    <n v="15"/>
    <x v="1"/>
    <n v="2.7"/>
    <x v="2"/>
    <n v="8.5"/>
    <n v="0.8"/>
    <n v="2.91"/>
    <n v="1.3"/>
    <s v="low"/>
    <n v="6"/>
    <n v="3"/>
    <n v="1"/>
    <n v="0"/>
    <x v="3"/>
  </r>
  <r>
    <n v="13"/>
    <x v="1"/>
    <n v="6.1"/>
    <x v="2"/>
    <n v="6.4"/>
    <n v="2.8"/>
    <n v="2.5099999999999998"/>
    <n v="1.9"/>
    <s v="low"/>
    <n v="6"/>
    <n v="1"/>
    <n v="9"/>
    <n v="0"/>
    <x v="0"/>
  </r>
  <r>
    <n v="17"/>
    <x v="1"/>
    <n v="5"/>
    <x v="1"/>
    <n v="7.3"/>
    <n v="1.9"/>
    <n v="3.83"/>
    <n v="0.4"/>
    <s v="high"/>
    <n v="8"/>
    <n v="9"/>
    <n v="9"/>
    <n v="0"/>
    <x v="2"/>
  </r>
  <r>
    <n v="17"/>
    <x v="1"/>
    <n v="5.3"/>
    <x v="2"/>
    <n v="6.8"/>
    <n v="1.9"/>
    <n v="3.39"/>
    <n v="1.6"/>
    <s v="low"/>
    <n v="10"/>
    <n v="6"/>
    <n v="8"/>
    <n v="0"/>
    <x v="2"/>
  </r>
  <r>
    <n v="19"/>
    <x v="0"/>
    <n v="7.2"/>
    <x v="1"/>
    <n v="6.6"/>
    <n v="2.9"/>
    <n v="2.74"/>
    <n v="0.3"/>
    <s v="medium"/>
    <n v="1"/>
    <n v="10"/>
    <n v="9"/>
    <n v="0"/>
    <x v="1"/>
  </r>
  <r>
    <n v="15"/>
    <x v="0"/>
    <n v="2.2999999999999998"/>
    <x v="2"/>
    <n v="5.7"/>
    <n v="2.8"/>
    <n v="2.79"/>
    <n v="1.9"/>
    <s v="medium"/>
    <n v="4"/>
    <n v="1"/>
    <n v="4"/>
    <n v="0"/>
    <x v="3"/>
  </r>
  <r>
    <n v="17"/>
    <x v="1"/>
    <n v="7.3"/>
    <x v="2"/>
    <n v="7.8"/>
    <n v="1.1000000000000001"/>
    <n v="2.0299999999999998"/>
    <n v="1.1000000000000001"/>
    <s v="low"/>
    <n v="3"/>
    <n v="10"/>
    <n v="6"/>
    <n v="0"/>
    <x v="2"/>
  </r>
  <r>
    <n v="16"/>
    <x v="1"/>
    <n v="1.5"/>
    <x v="0"/>
    <n v="8"/>
    <n v="0.7"/>
    <n v="2.1800000000000002"/>
    <n v="0.6"/>
    <s v="medium"/>
    <n v="4"/>
    <n v="7"/>
    <n v="5"/>
    <n v="0"/>
    <x v="3"/>
  </r>
  <r>
    <n v="18"/>
    <x v="1"/>
    <n v="2.2000000000000002"/>
    <x v="0"/>
    <n v="6.5"/>
    <n v="1.9"/>
    <n v="3.79"/>
    <n v="0.2"/>
    <s v="low"/>
    <n v="1"/>
    <n v="6"/>
    <n v="2"/>
    <n v="0"/>
    <x v="2"/>
  </r>
  <r>
    <n v="13"/>
    <x v="1"/>
    <n v="5.5"/>
    <x v="2"/>
    <n v="6.7"/>
    <n v="1.6"/>
    <n v="3.09"/>
    <n v="1.7"/>
    <s v="high"/>
    <n v="10"/>
    <n v="1"/>
    <n v="6"/>
    <n v="0"/>
    <x v="0"/>
  </r>
  <r>
    <n v="19"/>
    <x v="0"/>
    <n v="2.1"/>
    <x v="1"/>
    <n v="5.2"/>
    <n v="2.5"/>
    <n v="3.1"/>
    <n v="0.3"/>
    <s v="low"/>
    <n v="9"/>
    <n v="9"/>
    <n v="3"/>
    <n v="0"/>
    <x v="1"/>
  </r>
  <r>
    <n v="15"/>
    <x v="1"/>
    <n v="4.5"/>
    <x v="2"/>
    <n v="5.4"/>
    <n v="1.2"/>
    <n v="3.76"/>
    <n v="1.7"/>
    <s v="high"/>
    <n v="1"/>
    <n v="8"/>
    <n v="7"/>
    <n v="0"/>
    <x v="3"/>
  </r>
  <r>
    <n v="13"/>
    <x v="0"/>
    <n v="3.9"/>
    <x v="2"/>
    <n v="5.8"/>
    <n v="0.7"/>
    <n v="2.77"/>
    <n v="1.3"/>
    <s v="medium"/>
    <n v="10"/>
    <n v="3"/>
    <n v="1"/>
    <n v="0"/>
    <x v="0"/>
  </r>
  <r>
    <n v="14"/>
    <x v="0"/>
    <n v="5.8"/>
    <x v="0"/>
    <n v="5.0999999999999996"/>
    <n v="2.6"/>
    <n v="2.06"/>
    <n v="1.5"/>
    <s v="medium"/>
    <n v="7"/>
    <n v="5"/>
    <n v="2"/>
    <n v="0"/>
    <x v="0"/>
  </r>
  <r>
    <n v="13"/>
    <x v="1"/>
    <n v="7.2"/>
    <x v="2"/>
    <n v="4.2"/>
    <n v="2.5"/>
    <n v="2.65"/>
    <n v="1.6"/>
    <s v="low"/>
    <n v="10"/>
    <n v="9"/>
    <n v="3"/>
    <n v="1"/>
    <x v="0"/>
  </r>
  <r>
    <n v="17"/>
    <x v="1"/>
    <n v="2.9"/>
    <x v="2"/>
    <n v="7.5"/>
    <n v="1.4"/>
    <n v="3.42"/>
    <n v="1.7"/>
    <s v="low"/>
    <n v="5"/>
    <n v="6"/>
    <n v="3"/>
    <n v="0"/>
    <x v="2"/>
  </r>
  <r>
    <n v="17"/>
    <x v="0"/>
    <n v="6.2"/>
    <x v="0"/>
    <n v="7.4"/>
    <n v="0.6"/>
    <n v="3.38"/>
    <n v="1.5"/>
    <s v="low"/>
    <n v="4"/>
    <n v="7"/>
    <n v="9"/>
    <n v="0"/>
    <x v="2"/>
  </r>
  <r>
    <n v="18"/>
    <x v="1"/>
    <n v="1.1000000000000001"/>
    <x v="2"/>
    <n v="4.9000000000000004"/>
    <n v="2.6"/>
    <n v="2.4300000000000002"/>
    <n v="1.3"/>
    <s v="high"/>
    <n v="9"/>
    <n v="7"/>
    <n v="6"/>
    <n v="0"/>
    <x v="2"/>
  </r>
  <r>
    <n v="19"/>
    <x v="0"/>
    <n v="5.2"/>
    <x v="0"/>
    <n v="4.3"/>
    <n v="1.3"/>
    <n v="2.29"/>
    <n v="1.3"/>
    <s v="medium"/>
    <n v="10"/>
    <n v="8"/>
    <n v="10"/>
    <n v="1"/>
    <x v="1"/>
  </r>
  <r>
    <n v="15"/>
    <x v="1"/>
    <n v="5"/>
    <x v="0"/>
    <n v="7.6"/>
    <n v="1.8"/>
    <n v="2.52"/>
    <n v="1.4"/>
    <s v="high"/>
    <n v="1"/>
    <n v="4"/>
    <n v="3"/>
    <n v="0"/>
    <x v="3"/>
  </r>
  <r>
    <n v="13"/>
    <x v="1"/>
    <n v="2.2999999999999998"/>
    <x v="1"/>
    <n v="8.6999999999999993"/>
    <n v="1.2"/>
    <n v="3.25"/>
    <n v="1.5"/>
    <s v="high"/>
    <n v="9"/>
    <n v="9"/>
    <n v="1"/>
    <n v="0"/>
    <x v="0"/>
  </r>
  <r>
    <n v="15"/>
    <x v="1"/>
    <n v="5.2"/>
    <x v="1"/>
    <n v="5.6"/>
    <n v="1.5"/>
    <n v="3.13"/>
    <n v="0.1"/>
    <s v="low"/>
    <n v="7"/>
    <n v="9"/>
    <n v="4"/>
    <n v="1"/>
    <x v="3"/>
  </r>
  <r>
    <n v="13"/>
    <x v="1"/>
    <n v="3.5"/>
    <x v="2"/>
    <n v="8.6999999999999993"/>
    <n v="1.4"/>
    <n v="3.5"/>
    <n v="1.3"/>
    <s v="high"/>
    <n v="9"/>
    <n v="4"/>
    <n v="5"/>
    <n v="0"/>
    <x v="0"/>
  </r>
  <r>
    <n v="16"/>
    <x v="1"/>
    <n v="3.5"/>
    <x v="2"/>
    <n v="4.2"/>
    <n v="1.5"/>
    <n v="3.98"/>
    <n v="0.4"/>
    <s v="medium"/>
    <n v="1"/>
    <n v="7"/>
    <n v="2"/>
    <n v="0"/>
    <x v="3"/>
  </r>
  <r>
    <n v="19"/>
    <x v="0"/>
    <n v="7.7"/>
    <x v="0"/>
    <n v="4.2"/>
    <n v="2.6"/>
    <n v="2.2000000000000002"/>
    <n v="1.8"/>
    <s v="low"/>
    <n v="8"/>
    <n v="9"/>
    <n v="4"/>
    <n v="1"/>
    <x v="1"/>
  </r>
  <r>
    <n v="18"/>
    <x v="1"/>
    <n v="2"/>
    <x v="2"/>
    <n v="8.6"/>
    <n v="2.2000000000000002"/>
    <n v="3.53"/>
    <n v="1.9"/>
    <s v="low"/>
    <n v="2"/>
    <n v="5"/>
    <n v="8"/>
    <n v="0"/>
    <x v="2"/>
  </r>
  <r>
    <n v="13"/>
    <x v="1"/>
    <n v="5.0999999999999996"/>
    <x v="1"/>
    <n v="4.5"/>
    <n v="2.7"/>
    <n v="2.54"/>
    <n v="1.4"/>
    <s v="high"/>
    <n v="2"/>
    <n v="3"/>
    <n v="10"/>
    <n v="0"/>
    <x v="0"/>
  </r>
  <r>
    <n v="16"/>
    <x v="0"/>
    <n v="2"/>
    <x v="0"/>
    <n v="7.9"/>
    <n v="2.4"/>
    <n v="2.81"/>
    <n v="1.9"/>
    <s v="low"/>
    <n v="10"/>
    <n v="6"/>
    <n v="6"/>
    <n v="0"/>
    <x v="3"/>
  </r>
  <r>
    <n v="15"/>
    <x v="0"/>
    <n v="4.7"/>
    <x v="0"/>
    <n v="8.4"/>
    <n v="1.9"/>
    <n v="3.9"/>
    <n v="1"/>
    <s v="high"/>
    <n v="4"/>
    <n v="10"/>
    <n v="6"/>
    <n v="0"/>
    <x v="3"/>
  </r>
  <r>
    <n v="17"/>
    <x v="1"/>
    <n v="6.9"/>
    <x v="1"/>
    <n v="6.1"/>
    <n v="2.4"/>
    <n v="3.77"/>
    <n v="1.1000000000000001"/>
    <s v="medium"/>
    <n v="9"/>
    <n v="4"/>
    <n v="9"/>
    <n v="0"/>
    <x v="2"/>
  </r>
  <r>
    <n v="18"/>
    <x v="0"/>
    <n v="5.9"/>
    <x v="0"/>
    <n v="4.4000000000000004"/>
    <n v="2.7"/>
    <n v="2.09"/>
    <n v="1.8"/>
    <s v="high"/>
    <n v="1"/>
    <n v="6"/>
    <n v="6"/>
    <n v="0"/>
    <x v="2"/>
  </r>
  <r>
    <n v="19"/>
    <x v="0"/>
    <n v="2.7"/>
    <x v="0"/>
    <n v="6.3"/>
    <n v="1.3"/>
    <n v="3.91"/>
    <n v="1.2"/>
    <s v="high"/>
    <n v="7"/>
    <n v="5"/>
    <n v="7"/>
    <n v="0"/>
    <x v="1"/>
  </r>
  <r>
    <n v="16"/>
    <x v="0"/>
    <n v="7.9"/>
    <x v="1"/>
    <n v="8"/>
    <n v="1.6"/>
    <n v="3.47"/>
    <n v="1.5"/>
    <s v="high"/>
    <n v="3"/>
    <n v="5"/>
    <n v="6"/>
    <n v="0"/>
    <x v="3"/>
  </r>
  <r>
    <n v="16"/>
    <x v="1"/>
    <n v="7.4"/>
    <x v="1"/>
    <n v="5.5"/>
    <n v="1.8"/>
    <n v="2.13"/>
    <n v="0.3"/>
    <s v="high"/>
    <n v="7"/>
    <n v="9"/>
    <n v="9"/>
    <n v="1"/>
    <x v="3"/>
  </r>
  <r>
    <n v="17"/>
    <x v="1"/>
    <n v="2.2999999999999998"/>
    <x v="0"/>
    <n v="4.9000000000000004"/>
    <n v="1.7"/>
    <n v="2.0699999999999998"/>
    <n v="0.3"/>
    <s v="medium"/>
    <n v="3"/>
    <n v="7"/>
    <n v="7"/>
    <n v="0"/>
    <x v="2"/>
  </r>
  <r>
    <n v="13"/>
    <x v="0"/>
    <n v="7.1"/>
    <x v="2"/>
    <n v="5.7"/>
    <n v="2.1"/>
    <n v="3.52"/>
    <n v="1.7"/>
    <s v="low"/>
    <n v="1"/>
    <n v="1"/>
    <n v="3"/>
    <n v="0"/>
    <x v="0"/>
  </r>
  <r>
    <n v="16"/>
    <x v="0"/>
    <n v="6.9"/>
    <x v="0"/>
    <n v="6.8"/>
    <n v="1.1000000000000001"/>
    <n v="3.33"/>
    <n v="1"/>
    <s v="medium"/>
    <n v="7"/>
    <n v="9"/>
    <n v="4"/>
    <n v="0"/>
    <x v="3"/>
  </r>
  <r>
    <n v="16"/>
    <x v="1"/>
    <n v="5.6"/>
    <x v="1"/>
    <n v="7.9"/>
    <n v="2"/>
    <n v="3.91"/>
    <n v="0.6"/>
    <s v="medium"/>
    <n v="7"/>
    <n v="3"/>
    <n v="10"/>
    <n v="0"/>
    <x v="3"/>
  </r>
  <r>
    <n v="16"/>
    <x v="1"/>
    <n v="5.2"/>
    <x v="1"/>
    <n v="8.1"/>
    <n v="2.1"/>
    <n v="2.67"/>
    <n v="1.7"/>
    <s v="medium"/>
    <n v="9"/>
    <n v="10"/>
    <n v="10"/>
    <n v="0"/>
    <x v="3"/>
  </r>
  <r>
    <n v="17"/>
    <x v="0"/>
    <n v="4.5"/>
    <x v="2"/>
    <n v="4.9000000000000004"/>
    <n v="0.5"/>
    <n v="3.44"/>
    <n v="1.2"/>
    <s v="medium"/>
    <n v="5"/>
    <n v="3"/>
    <n v="1"/>
    <n v="0"/>
    <x v="2"/>
  </r>
  <r>
    <n v="14"/>
    <x v="0"/>
    <n v="3.6"/>
    <x v="1"/>
    <n v="4"/>
    <n v="1.4"/>
    <n v="3.83"/>
    <n v="0.5"/>
    <s v="medium"/>
    <n v="1"/>
    <n v="5"/>
    <n v="2"/>
    <n v="0"/>
    <x v="0"/>
  </r>
  <r>
    <n v="19"/>
    <x v="0"/>
    <n v="7.2"/>
    <x v="0"/>
    <n v="5"/>
    <n v="2.2000000000000002"/>
    <n v="2.5"/>
    <n v="0.7"/>
    <s v="high"/>
    <n v="6"/>
    <n v="9"/>
    <n v="2"/>
    <n v="0"/>
    <x v="1"/>
  </r>
  <r>
    <n v="17"/>
    <x v="0"/>
    <n v="6.4"/>
    <x v="1"/>
    <n v="8.6"/>
    <n v="2.2999999999999998"/>
    <n v="2.57"/>
    <n v="1.3"/>
    <s v="low"/>
    <n v="9"/>
    <n v="10"/>
    <n v="5"/>
    <n v="0"/>
    <x v="2"/>
  </r>
  <r>
    <n v="15"/>
    <x v="0"/>
    <n v="7.1"/>
    <x v="2"/>
    <n v="6.5"/>
    <n v="0.7"/>
    <n v="3.94"/>
    <n v="0.2"/>
    <s v="medium"/>
    <n v="4"/>
    <n v="7"/>
    <n v="1"/>
    <n v="0"/>
    <x v="3"/>
  </r>
  <r>
    <n v="18"/>
    <x v="0"/>
    <n v="1.2"/>
    <x v="2"/>
    <n v="4.0999999999999996"/>
    <n v="1.1000000000000001"/>
    <n v="3.04"/>
    <n v="1.6"/>
    <s v="low"/>
    <n v="1"/>
    <n v="3"/>
    <n v="6"/>
    <n v="0"/>
    <x v="2"/>
  </r>
  <r>
    <n v="19"/>
    <x v="0"/>
    <n v="6.6"/>
    <x v="1"/>
    <n v="8.8000000000000007"/>
    <n v="0.9"/>
    <n v="3.84"/>
    <n v="0.3"/>
    <s v="high"/>
    <n v="10"/>
    <n v="10"/>
    <n v="6"/>
    <n v="0"/>
    <x v="1"/>
  </r>
  <r>
    <n v="19"/>
    <x v="1"/>
    <n v="6.5"/>
    <x v="1"/>
    <n v="6.4"/>
    <n v="1.1000000000000001"/>
    <n v="3.71"/>
    <n v="1.2"/>
    <s v="low"/>
    <n v="8"/>
    <n v="9"/>
    <n v="8"/>
    <n v="0"/>
    <x v="1"/>
  </r>
  <r>
    <n v="16"/>
    <x v="0"/>
    <n v="2"/>
    <x v="1"/>
    <n v="4.4000000000000004"/>
    <n v="0.7"/>
    <n v="2.68"/>
    <n v="0.8"/>
    <s v="medium"/>
    <n v="1"/>
    <n v="4"/>
    <n v="10"/>
    <n v="0"/>
    <x v="3"/>
  </r>
  <r>
    <n v="13"/>
    <x v="0"/>
    <n v="2.5"/>
    <x v="0"/>
    <n v="5.3"/>
    <n v="0.8"/>
    <n v="3.12"/>
    <n v="0.4"/>
    <s v="high"/>
    <n v="3"/>
    <n v="5"/>
    <n v="3"/>
    <n v="0"/>
    <x v="0"/>
  </r>
  <r>
    <n v="19"/>
    <x v="0"/>
    <n v="2.1"/>
    <x v="0"/>
    <n v="8.8000000000000007"/>
    <n v="2.2999999999999998"/>
    <n v="2.2200000000000002"/>
    <n v="1.2"/>
    <s v="high"/>
    <n v="5"/>
    <n v="5"/>
    <n v="3"/>
    <n v="0"/>
    <x v="1"/>
  </r>
  <r>
    <n v="16"/>
    <x v="1"/>
    <n v="7.1"/>
    <x v="1"/>
    <n v="8.8000000000000007"/>
    <n v="1.8"/>
    <n v="3.99"/>
    <n v="0.8"/>
    <s v="low"/>
    <n v="6"/>
    <n v="10"/>
    <n v="8"/>
    <n v="0"/>
    <x v="3"/>
  </r>
  <r>
    <n v="19"/>
    <x v="1"/>
    <n v="6.8"/>
    <x v="2"/>
    <n v="4.4000000000000004"/>
    <n v="2.1"/>
    <n v="3.69"/>
    <n v="0.4"/>
    <s v="high"/>
    <n v="3"/>
    <n v="2"/>
    <n v="8"/>
    <n v="0"/>
    <x v="1"/>
  </r>
  <r>
    <n v="13"/>
    <x v="0"/>
    <n v="5.2"/>
    <x v="2"/>
    <n v="5.4"/>
    <n v="0.8"/>
    <n v="2.39"/>
    <n v="2"/>
    <s v="low"/>
    <n v="8"/>
    <n v="3"/>
    <n v="10"/>
    <n v="0"/>
    <x v="0"/>
  </r>
  <r>
    <n v="19"/>
    <x v="0"/>
    <n v="7"/>
    <x v="1"/>
    <n v="4.5"/>
    <n v="2.2999999999999998"/>
    <n v="3.26"/>
    <n v="1.7"/>
    <s v="high"/>
    <n v="9"/>
    <n v="10"/>
    <n v="3"/>
    <n v="1"/>
    <x v="1"/>
  </r>
  <r>
    <n v="19"/>
    <x v="0"/>
    <n v="6.8"/>
    <x v="1"/>
    <n v="8.4"/>
    <n v="2"/>
    <n v="2.6"/>
    <n v="1.5"/>
    <s v="low"/>
    <n v="7"/>
    <n v="2"/>
    <n v="2"/>
    <n v="0"/>
    <x v="1"/>
  </r>
  <r>
    <n v="16"/>
    <x v="1"/>
    <n v="3.8"/>
    <x v="1"/>
    <n v="5.3"/>
    <n v="1.5"/>
    <n v="2.04"/>
    <n v="1.5"/>
    <s v="high"/>
    <n v="5"/>
    <n v="10"/>
    <n v="5"/>
    <n v="0"/>
    <x v="3"/>
  </r>
  <r>
    <n v="14"/>
    <x v="0"/>
    <n v="2.9"/>
    <x v="0"/>
    <n v="7.2"/>
    <n v="2"/>
    <n v="3.96"/>
    <n v="1.5"/>
    <s v="medium"/>
    <n v="9"/>
    <n v="10"/>
    <n v="4"/>
    <n v="0"/>
    <x v="0"/>
  </r>
  <r>
    <n v="16"/>
    <x v="0"/>
    <n v="3.6"/>
    <x v="0"/>
    <n v="6.6"/>
    <n v="0.7"/>
    <n v="2.25"/>
    <n v="1.9"/>
    <s v="low"/>
    <n v="4"/>
    <n v="1"/>
    <n v="8"/>
    <n v="0"/>
    <x v="3"/>
  </r>
  <r>
    <n v="13"/>
    <x v="0"/>
    <n v="4"/>
    <x v="2"/>
    <n v="8.3000000000000007"/>
    <n v="0.6"/>
    <n v="3.71"/>
    <n v="0.1"/>
    <s v="low"/>
    <n v="2"/>
    <n v="6"/>
    <n v="1"/>
    <n v="0"/>
    <x v="0"/>
  </r>
  <r>
    <n v="17"/>
    <x v="1"/>
    <n v="7.5"/>
    <x v="2"/>
    <n v="4.7"/>
    <n v="2.1"/>
    <n v="2.5499999999999998"/>
    <n v="0.1"/>
    <s v="high"/>
    <n v="3"/>
    <n v="9"/>
    <n v="1"/>
    <n v="0"/>
    <x v="2"/>
  </r>
  <r>
    <n v="16"/>
    <x v="1"/>
    <n v="6"/>
    <x v="2"/>
    <n v="8.6999999999999993"/>
    <n v="1.5"/>
    <n v="3.76"/>
    <n v="0.1"/>
    <s v="medium"/>
    <n v="2"/>
    <n v="5"/>
    <n v="4"/>
    <n v="0"/>
    <x v="3"/>
  </r>
  <r>
    <n v="16"/>
    <x v="1"/>
    <n v="3.6"/>
    <x v="0"/>
    <n v="6.1"/>
    <n v="2.8"/>
    <n v="3.8"/>
    <n v="0.1"/>
    <s v="high"/>
    <n v="2"/>
    <n v="1"/>
    <n v="7"/>
    <n v="0"/>
    <x v="3"/>
  </r>
  <r>
    <n v="19"/>
    <x v="0"/>
    <n v="4.7"/>
    <x v="2"/>
    <n v="8.1999999999999993"/>
    <n v="1.2"/>
    <n v="2.83"/>
    <n v="1.2"/>
    <s v="high"/>
    <n v="5"/>
    <n v="9"/>
    <n v="9"/>
    <n v="0"/>
    <x v="1"/>
  </r>
  <r>
    <n v="13"/>
    <x v="0"/>
    <n v="2"/>
    <x v="0"/>
    <n v="6.6"/>
    <n v="0.9"/>
    <n v="3.34"/>
    <n v="1.5"/>
    <s v="high"/>
    <n v="5"/>
    <n v="9"/>
    <n v="4"/>
    <n v="0"/>
    <x v="0"/>
  </r>
  <r>
    <n v="13"/>
    <x v="0"/>
    <n v="7.8"/>
    <x v="1"/>
    <n v="7.2"/>
    <n v="1.3"/>
    <n v="3.31"/>
    <n v="0.8"/>
    <s v="high"/>
    <n v="9"/>
    <n v="2"/>
    <n v="4"/>
    <n v="0"/>
    <x v="0"/>
  </r>
  <r>
    <n v="19"/>
    <x v="0"/>
    <n v="5.9"/>
    <x v="1"/>
    <n v="7.4"/>
    <n v="0.7"/>
    <n v="3.27"/>
    <n v="1.7"/>
    <s v="high"/>
    <n v="1"/>
    <n v="9"/>
    <n v="9"/>
    <n v="0"/>
    <x v="1"/>
  </r>
  <r>
    <n v="19"/>
    <x v="0"/>
    <n v="7.7"/>
    <x v="1"/>
    <n v="8.4"/>
    <n v="2.8"/>
    <n v="3.43"/>
    <n v="0.2"/>
    <s v="medium"/>
    <n v="7"/>
    <n v="6"/>
    <n v="6"/>
    <n v="0"/>
    <x v="1"/>
  </r>
  <r>
    <n v="13"/>
    <x v="0"/>
    <n v="2.2000000000000002"/>
    <x v="1"/>
    <n v="5.4"/>
    <n v="1.2"/>
    <n v="2.33"/>
    <n v="0.8"/>
    <s v="medium"/>
    <n v="10"/>
    <n v="3"/>
    <n v="4"/>
    <n v="0"/>
    <x v="0"/>
  </r>
  <r>
    <n v="18"/>
    <x v="1"/>
    <n v="7.7"/>
    <x v="1"/>
    <n v="7.6"/>
    <n v="2.9"/>
    <n v="3.81"/>
    <n v="0.5"/>
    <s v="high"/>
    <n v="10"/>
    <n v="3"/>
    <n v="6"/>
    <n v="0"/>
    <x v="2"/>
  </r>
  <r>
    <n v="18"/>
    <x v="0"/>
    <n v="3.2"/>
    <x v="0"/>
    <n v="6"/>
    <n v="1.5"/>
    <n v="3.36"/>
    <n v="1.5"/>
    <s v="high"/>
    <n v="9"/>
    <n v="7"/>
    <n v="10"/>
    <n v="0"/>
    <x v="2"/>
  </r>
  <r>
    <n v="16"/>
    <x v="0"/>
    <n v="2"/>
    <x v="1"/>
    <n v="7.8"/>
    <n v="0.5"/>
    <n v="2.81"/>
    <n v="1.4"/>
    <s v="high"/>
    <n v="10"/>
    <n v="2"/>
    <n v="4"/>
    <n v="0"/>
    <x v="3"/>
  </r>
  <r>
    <n v="15"/>
    <x v="1"/>
    <n v="6.2"/>
    <x v="2"/>
    <n v="5.2"/>
    <n v="1"/>
    <n v="3.94"/>
    <n v="1.4"/>
    <s v="low"/>
    <n v="5"/>
    <n v="2"/>
    <n v="7"/>
    <n v="0"/>
    <x v="3"/>
  </r>
  <r>
    <n v="19"/>
    <x v="1"/>
    <n v="2.4"/>
    <x v="0"/>
    <n v="8.6999999999999993"/>
    <n v="1.6"/>
    <n v="2.4"/>
    <n v="0.1"/>
    <s v="medium"/>
    <n v="2"/>
    <n v="9"/>
    <n v="7"/>
    <n v="0"/>
    <x v="1"/>
  </r>
  <r>
    <n v="15"/>
    <x v="0"/>
    <n v="3.4"/>
    <x v="2"/>
    <n v="8"/>
    <n v="1"/>
    <n v="2.31"/>
    <n v="1"/>
    <s v="high"/>
    <n v="4"/>
    <n v="7"/>
    <n v="6"/>
    <n v="0"/>
    <x v="3"/>
  </r>
  <r>
    <n v="19"/>
    <x v="0"/>
    <n v="6"/>
    <x v="0"/>
    <n v="4.2"/>
    <n v="0.9"/>
    <n v="2.41"/>
    <n v="0.8"/>
    <s v="medium"/>
    <n v="7"/>
    <n v="9"/>
    <n v="9"/>
    <n v="1"/>
    <x v="1"/>
  </r>
  <r>
    <n v="16"/>
    <x v="1"/>
    <n v="5.3"/>
    <x v="2"/>
    <n v="5.6"/>
    <n v="2.5"/>
    <n v="2.73"/>
    <n v="1.3"/>
    <s v="medium"/>
    <n v="7"/>
    <n v="10"/>
    <n v="4"/>
    <n v="1"/>
    <x v="3"/>
  </r>
  <r>
    <n v="17"/>
    <x v="1"/>
    <n v="5.5"/>
    <x v="0"/>
    <n v="6.3"/>
    <n v="0.8"/>
    <n v="2.59"/>
    <n v="1.6"/>
    <s v="high"/>
    <n v="6"/>
    <n v="8"/>
    <n v="7"/>
    <n v="0"/>
    <x v="2"/>
  </r>
  <r>
    <n v="17"/>
    <x v="0"/>
    <n v="3.6"/>
    <x v="2"/>
    <n v="6.1"/>
    <n v="2.8"/>
    <n v="2.39"/>
    <n v="0.6"/>
    <s v="low"/>
    <n v="6"/>
    <n v="8"/>
    <n v="5"/>
    <n v="0"/>
    <x v="2"/>
  </r>
  <r>
    <n v="17"/>
    <x v="1"/>
    <n v="3.7"/>
    <x v="0"/>
    <n v="6.3"/>
    <n v="1.3"/>
    <n v="2.7"/>
    <n v="1.1000000000000001"/>
    <s v="medium"/>
    <n v="2"/>
    <n v="6"/>
    <n v="9"/>
    <n v="0"/>
    <x v="2"/>
  </r>
  <r>
    <n v="16"/>
    <x v="1"/>
    <n v="7.4"/>
    <x v="0"/>
    <n v="7.4"/>
    <n v="0.9"/>
    <n v="3.7"/>
    <n v="1.3"/>
    <s v="medium"/>
    <n v="10"/>
    <n v="6"/>
    <n v="2"/>
    <n v="0"/>
    <x v="3"/>
  </r>
  <r>
    <n v="13"/>
    <x v="0"/>
    <n v="5.3"/>
    <x v="0"/>
    <n v="6"/>
    <n v="1"/>
    <n v="2.92"/>
    <n v="0.7"/>
    <s v="high"/>
    <n v="3"/>
    <n v="8"/>
    <n v="5"/>
    <n v="0"/>
    <x v="0"/>
  </r>
  <r>
    <n v="18"/>
    <x v="1"/>
    <n v="4.8"/>
    <x v="0"/>
    <n v="5.5"/>
    <n v="1.8"/>
    <n v="2.9"/>
    <n v="0.6"/>
    <s v="low"/>
    <n v="6"/>
    <n v="2"/>
    <n v="5"/>
    <n v="0"/>
    <x v="2"/>
  </r>
  <r>
    <n v="13"/>
    <x v="0"/>
    <n v="3.4"/>
    <x v="1"/>
    <n v="4.5"/>
    <n v="0.5"/>
    <n v="3.71"/>
    <n v="1"/>
    <s v="medium"/>
    <n v="1"/>
    <n v="10"/>
    <n v="1"/>
    <n v="0"/>
    <x v="0"/>
  </r>
  <r>
    <n v="17"/>
    <x v="1"/>
    <n v="7"/>
    <x v="1"/>
    <n v="8.9"/>
    <n v="0.6"/>
    <n v="3.67"/>
    <n v="0.2"/>
    <s v="medium"/>
    <n v="9"/>
    <n v="2"/>
    <n v="4"/>
    <n v="0"/>
    <x v="2"/>
  </r>
  <r>
    <n v="15"/>
    <x v="0"/>
    <n v="5.4"/>
    <x v="0"/>
    <n v="7.2"/>
    <n v="1.2"/>
    <n v="3.32"/>
    <n v="1.3"/>
    <s v="high"/>
    <n v="7"/>
    <n v="8"/>
    <n v="1"/>
    <n v="0"/>
    <x v="3"/>
  </r>
  <r>
    <n v="17"/>
    <x v="0"/>
    <n v="5.3"/>
    <x v="0"/>
    <n v="6.4"/>
    <n v="2.9"/>
    <n v="2.42"/>
    <n v="1.1000000000000001"/>
    <s v="low"/>
    <n v="3"/>
    <n v="8"/>
    <n v="3"/>
    <n v="0"/>
    <x v="2"/>
  </r>
  <r>
    <n v="14"/>
    <x v="0"/>
    <n v="1.8"/>
    <x v="2"/>
    <n v="5.0999999999999996"/>
    <n v="2.7"/>
    <n v="3.47"/>
    <n v="0.2"/>
    <s v="low"/>
    <n v="8"/>
    <n v="4"/>
    <n v="6"/>
    <n v="0"/>
    <x v="0"/>
  </r>
  <r>
    <n v="15"/>
    <x v="0"/>
    <n v="4.5"/>
    <x v="1"/>
    <n v="6.2"/>
    <n v="2.8"/>
    <n v="2.74"/>
    <n v="0.1"/>
    <s v="high"/>
    <n v="2"/>
    <n v="3"/>
    <n v="5"/>
    <n v="0"/>
    <x v="3"/>
  </r>
  <r>
    <n v="17"/>
    <x v="1"/>
    <n v="5.4"/>
    <x v="1"/>
    <n v="7.1"/>
    <n v="2.5"/>
    <n v="2.68"/>
    <n v="1.6"/>
    <s v="low"/>
    <n v="3"/>
    <n v="5"/>
    <n v="7"/>
    <n v="0"/>
    <x v="2"/>
  </r>
  <r>
    <n v="13"/>
    <x v="0"/>
    <n v="3.6"/>
    <x v="0"/>
    <n v="8.6"/>
    <n v="0.7"/>
    <n v="2.42"/>
    <n v="0.2"/>
    <s v="medium"/>
    <n v="2"/>
    <n v="6"/>
    <n v="8"/>
    <n v="0"/>
    <x v="0"/>
  </r>
  <r>
    <n v="14"/>
    <x v="1"/>
    <n v="5.7"/>
    <x v="0"/>
    <n v="8.9"/>
    <n v="0.7"/>
    <n v="2.17"/>
    <n v="1.3"/>
    <s v="high"/>
    <n v="10"/>
    <n v="4"/>
    <n v="3"/>
    <n v="0"/>
    <x v="0"/>
  </r>
  <r>
    <n v="15"/>
    <x v="1"/>
    <n v="5.5"/>
    <x v="2"/>
    <n v="7.3"/>
    <n v="2.5"/>
    <n v="3.67"/>
    <n v="0.5"/>
    <s v="low"/>
    <n v="4"/>
    <n v="3"/>
    <n v="6"/>
    <n v="0"/>
    <x v="3"/>
  </r>
  <r>
    <n v="14"/>
    <x v="1"/>
    <n v="5.3"/>
    <x v="2"/>
    <n v="4.7"/>
    <n v="1.1000000000000001"/>
    <n v="3.68"/>
    <n v="1.8"/>
    <s v="high"/>
    <n v="10"/>
    <n v="8"/>
    <n v="10"/>
    <n v="1"/>
    <x v="0"/>
  </r>
  <r>
    <n v="15"/>
    <x v="0"/>
    <n v="2.7"/>
    <x v="0"/>
    <n v="5.4"/>
    <n v="1.6"/>
    <n v="2.34"/>
    <n v="0.3"/>
    <s v="high"/>
    <n v="2"/>
    <n v="6"/>
    <n v="8"/>
    <n v="0"/>
    <x v="3"/>
  </r>
  <r>
    <n v="14"/>
    <x v="0"/>
    <n v="6.4"/>
    <x v="0"/>
    <n v="5.6"/>
    <n v="0.8"/>
    <n v="4"/>
    <n v="1.9"/>
    <s v="medium"/>
    <n v="5"/>
    <n v="1"/>
    <n v="3"/>
    <n v="0"/>
    <x v="0"/>
  </r>
  <r>
    <n v="16"/>
    <x v="0"/>
    <n v="5"/>
    <x v="1"/>
    <n v="6.3"/>
    <n v="3"/>
    <n v="3.72"/>
    <n v="1.6"/>
    <s v="medium"/>
    <n v="5"/>
    <n v="10"/>
    <n v="3"/>
    <n v="0"/>
    <x v="3"/>
  </r>
  <r>
    <n v="13"/>
    <x v="1"/>
    <n v="2.5"/>
    <x v="0"/>
    <n v="4.5999999999999996"/>
    <n v="1.6"/>
    <n v="3.22"/>
    <n v="0.9"/>
    <s v="medium"/>
    <n v="6"/>
    <n v="4"/>
    <n v="3"/>
    <n v="0"/>
    <x v="0"/>
  </r>
  <r>
    <n v="18"/>
    <x v="0"/>
    <n v="2.2000000000000002"/>
    <x v="2"/>
    <n v="4.5"/>
    <n v="2"/>
    <n v="2.4900000000000002"/>
    <n v="0.8"/>
    <s v="high"/>
    <n v="1"/>
    <n v="7"/>
    <n v="6"/>
    <n v="0"/>
    <x v="2"/>
  </r>
  <r>
    <n v="16"/>
    <x v="0"/>
    <n v="4.0999999999999996"/>
    <x v="2"/>
    <n v="5.5"/>
    <n v="1.9"/>
    <n v="2.65"/>
    <n v="1.5"/>
    <s v="low"/>
    <n v="5"/>
    <n v="7"/>
    <n v="9"/>
    <n v="0"/>
    <x v="3"/>
  </r>
  <r>
    <n v="16"/>
    <x v="1"/>
    <n v="2.8"/>
    <x v="1"/>
    <n v="7.4"/>
    <n v="2"/>
    <n v="3.4"/>
    <n v="1.6"/>
    <s v="low"/>
    <n v="4"/>
    <n v="1"/>
    <n v="1"/>
    <n v="0"/>
    <x v="3"/>
  </r>
  <r>
    <n v="17"/>
    <x v="1"/>
    <n v="1.1000000000000001"/>
    <x v="1"/>
    <n v="8.1999999999999993"/>
    <n v="2.7"/>
    <n v="2.84"/>
    <n v="0.2"/>
    <s v="high"/>
    <n v="2"/>
    <n v="4"/>
    <n v="1"/>
    <n v="0"/>
    <x v="2"/>
  </r>
  <r>
    <n v="13"/>
    <x v="0"/>
    <n v="7"/>
    <x v="2"/>
    <n v="5.7"/>
    <n v="1.6"/>
    <n v="3.45"/>
    <n v="1.2"/>
    <s v="medium"/>
    <n v="7"/>
    <n v="1"/>
    <n v="10"/>
    <n v="0"/>
    <x v="0"/>
  </r>
  <r>
    <n v="18"/>
    <x v="0"/>
    <n v="2.6"/>
    <x v="1"/>
    <n v="7.9"/>
    <n v="2.2999999999999998"/>
    <n v="2.4300000000000002"/>
    <n v="0.1"/>
    <s v="high"/>
    <n v="5"/>
    <n v="1"/>
    <n v="6"/>
    <n v="0"/>
    <x v="2"/>
  </r>
  <r>
    <n v="13"/>
    <x v="1"/>
    <n v="2.6"/>
    <x v="1"/>
    <n v="6.1"/>
    <n v="1.4"/>
    <n v="2.11"/>
    <n v="0.4"/>
    <s v="high"/>
    <n v="7"/>
    <n v="5"/>
    <n v="10"/>
    <n v="0"/>
    <x v="0"/>
  </r>
  <r>
    <n v="14"/>
    <x v="0"/>
    <n v="3.4"/>
    <x v="0"/>
    <n v="4.5999999999999996"/>
    <n v="2"/>
    <n v="2.27"/>
    <n v="1.9"/>
    <s v="high"/>
    <n v="7"/>
    <n v="10"/>
    <n v="6"/>
    <n v="0"/>
    <x v="0"/>
  </r>
  <r>
    <n v="14"/>
    <x v="0"/>
    <n v="7.9"/>
    <x v="0"/>
    <n v="5.7"/>
    <n v="1.6"/>
    <n v="3.67"/>
    <n v="0.6"/>
    <s v="medium"/>
    <n v="4"/>
    <n v="3"/>
    <n v="4"/>
    <n v="0"/>
    <x v="0"/>
  </r>
  <r>
    <n v="13"/>
    <x v="0"/>
    <n v="5.0999999999999996"/>
    <x v="1"/>
    <n v="5.3"/>
    <n v="2.6"/>
    <n v="2.95"/>
    <n v="1.2"/>
    <s v="medium"/>
    <n v="2"/>
    <n v="6"/>
    <n v="10"/>
    <n v="0"/>
    <x v="0"/>
  </r>
  <r>
    <n v="13"/>
    <x v="1"/>
    <n v="2.8"/>
    <x v="2"/>
    <n v="6.4"/>
    <n v="1.4"/>
    <n v="2.38"/>
    <n v="1.4"/>
    <s v="medium"/>
    <n v="4"/>
    <n v="8"/>
    <n v="10"/>
    <n v="0"/>
    <x v="0"/>
  </r>
  <r>
    <n v="19"/>
    <x v="1"/>
    <n v="3.4"/>
    <x v="1"/>
    <n v="4.3"/>
    <n v="0.7"/>
    <n v="2.17"/>
    <n v="0.7"/>
    <s v="high"/>
    <n v="3"/>
    <n v="1"/>
    <n v="4"/>
    <n v="0"/>
    <x v="1"/>
  </r>
  <r>
    <n v="18"/>
    <x v="0"/>
    <n v="6.3"/>
    <x v="2"/>
    <n v="6.9"/>
    <n v="1"/>
    <n v="3.22"/>
    <n v="0.8"/>
    <s v="medium"/>
    <n v="4"/>
    <n v="6"/>
    <n v="1"/>
    <n v="0"/>
    <x v="2"/>
  </r>
  <r>
    <n v="17"/>
    <x v="1"/>
    <n v="1.1000000000000001"/>
    <x v="1"/>
    <n v="4.5999999999999996"/>
    <n v="2.5"/>
    <n v="3.93"/>
    <n v="0.3"/>
    <s v="high"/>
    <n v="10"/>
    <n v="6"/>
    <n v="2"/>
    <n v="0"/>
    <x v="2"/>
  </r>
  <r>
    <n v="19"/>
    <x v="0"/>
    <n v="3.8"/>
    <x v="0"/>
    <n v="7.1"/>
    <n v="2.5"/>
    <n v="3.81"/>
    <n v="0.9"/>
    <s v="low"/>
    <n v="6"/>
    <n v="9"/>
    <n v="4"/>
    <n v="0"/>
    <x v="1"/>
  </r>
  <r>
    <n v="13"/>
    <x v="0"/>
    <n v="2.1"/>
    <x v="0"/>
    <n v="4.0999999999999996"/>
    <n v="1.6"/>
    <n v="2.12"/>
    <n v="1.8"/>
    <s v="high"/>
    <n v="10"/>
    <n v="9"/>
    <n v="6"/>
    <n v="0"/>
    <x v="0"/>
  </r>
  <r>
    <n v="17"/>
    <x v="1"/>
    <n v="6.2"/>
    <x v="2"/>
    <n v="6.1"/>
    <n v="2.4"/>
    <n v="3.05"/>
    <n v="1.8"/>
    <s v="high"/>
    <n v="3"/>
    <n v="6"/>
    <n v="8"/>
    <n v="0"/>
    <x v="2"/>
  </r>
  <r>
    <n v="19"/>
    <x v="0"/>
    <n v="6.8"/>
    <x v="0"/>
    <n v="8.4"/>
    <n v="2.1"/>
    <n v="3.15"/>
    <n v="2"/>
    <s v="medium"/>
    <n v="4"/>
    <n v="10"/>
    <n v="1"/>
    <n v="0"/>
    <x v="1"/>
  </r>
  <r>
    <n v="14"/>
    <x v="0"/>
    <n v="5.2"/>
    <x v="0"/>
    <n v="5.5"/>
    <n v="1.6"/>
    <n v="3.08"/>
    <n v="0.5"/>
    <s v="medium"/>
    <n v="3"/>
    <n v="8"/>
    <n v="1"/>
    <n v="0"/>
    <x v="0"/>
  </r>
  <r>
    <n v="15"/>
    <x v="0"/>
    <n v="3.7"/>
    <x v="2"/>
    <n v="4"/>
    <n v="0.9"/>
    <n v="3"/>
    <n v="1.4"/>
    <s v="medium"/>
    <n v="1"/>
    <n v="8"/>
    <n v="10"/>
    <n v="0"/>
    <x v="3"/>
  </r>
  <r>
    <n v="19"/>
    <x v="0"/>
    <n v="2.4"/>
    <x v="2"/>
    <n v="7.5"/>
    <n v="1.8"/>
    <n v="2.35"/>
    <n v="1.4"/>
    <s v="low"/>
    <n v="3"/>
    <n v="8"/>
    <n v="6"/>
    <n v="0"/>
    <x v="1"/>
  </r>
  <r>
    <n v="13"/>
    <x v="0"/>
    <n v="2.1"/>
    <x v="1"/>
    <n v="5.8"/>
    <n v="2.7"/>
    <n v="3.83"/>
    <n v="1.9"/>
    <s v="low"/>
    <n v="4"/>
    <n v="6"/>
    <n v="6"/>
    <n v="0"/>
    <x v="0"/>
  </r>
  <r>
    <n v="17"/>
    <x v="1"/>
    <n v="2.6"/>
    <x v="1"/>
    <n v="4.2"/>
    <n v="0.7"/>
    <n v="3.02"/>
    <n v="1.6"/>
    <s v="low"/>
    <n v="7"/>
    <n v="4"/>
    <n v="7"/>
    <n v="0"/>
    <x v="2"/>
  </r>
  <r>
    <n v="19"/>
    <x v="0"/>
    <n v="6.5"/>
    <x v="0"/>
    <n v="6"/>
    <n v="1.5"/>
    <n v="2.12"/>
    <n v="1.7"/>
    <s v="medium"/>
    <n v="8"/>
    <n v="5"/>
    <n v="7"/>
    <n v="0"/>
    <x v="1"/>
  </r>
  <r>
    <n v="16"/>
    <x v="1"/>
    <n v="3.4"/>
    <x v="0"/>
    <n v="5.3"/>
    <n v="1.8"/>
    <n v="3.33"/>
    <n v="0.3"/>
    <s v="low"/>
    <n v="9"/>
    <n v="2"/>
    <n v="4"/>
    <n v="0"/>
    <x v="3"/>
  </r>
  <r>
    <n v="16"/>
    <x v="0"/>
    <n v="1.7"/>
    <x v="2"/>
    <n v="4.3"/>
    <n v="1.4"/>
    <n v="3.27"/>
    <n v="1.2"/>
    <s v="medium"/>
    <n v="10"/>
    <n v="4"/>
    <n v="10"/>
    <n v="0"/>
    <x v="3"/>
  </r>
  <r>
    <n v="13"/>
    <x v="0"/>
    <n v="5.6"/>
    <x v="2"/>
    <n v="4.4000000000000004"/>
    <n v="2.9"/>
    <n v="3.19"/>
    <n v="0.9"/>
    <s v="medium"/>
    <n v="6"/>
    <n v="3"/>
    <n v="4"/>
    <n v="0"/>
    <x v="0"/>
  </r>
  <r>
    <n v="15"/>
    <x v="1"/>
    <n v="8"/>
    <x v="2"/>
    <n v="5.7"/>
    <n v="1.3"/>
    <n v="3.54"/>
    <n v="0.1"/>
    <s v="high"/>
    <n v="9"/>
    <n v="7"/>
    <n v="5"/>
    <n v="1"/>
    <x v="3"/>
  </r>
  <r>
    <n v="15"/>
    <x v="1"/>
    <n v="5.7"/>
    <x v="0"/>
    <n v="8.4"/>
    <n v="1.3"/>
    <n v="2.48"/>
    <n v="0.9"/>
    <s v="high"/>
    <n v="5"/>
    <n v="2"/>
    <n v="4"/>
    <n v="0"/>
    <x v="3"/>
  </r>
  <r>
    <n v="16"/>
    <x v="1"/>
    <n v="4"/>
    <x v="1"/>
    <n v="5.4"/>
    <n v="2.7"/>
    <n v="2.88"/>
    <n v="1.2"/>
    <s v="medium"/>
    <n v="4"/>
    <n v="10"/>
    <n v="1"/>
    <n v="0"/>
    <x v="3"/>
  </r>
  <r>
    <n v="13"/>
    <x v="1"/>
    <n v="3.5"/>
    <x v="0"/>
    <n v="5.3"/>
    <n v="1.7"/>
    <n v="2.2000000000000002"/>
    <n v="0.8"/>
    <s v="high"/>
    <n v="6"/>
    <n v="10"/>
    <n v="8"/>
    <n v="0"/>
    <x v="0"/>
  </r>
  <r>
    <n v="15"/>
    <x v="1"/>
    <n v="4.2"/>
    <x v="1"/>
    <n v="5.5"/>
    <n v="1.3"/>
    <n v="3.49"/>
    <n v="0.5"/>
    <s v="low"/>
    <n v="2"/>
    <n v="5"/>
    <n v="2"/>
    <n v="0"/>
    <x v="3"/>
  </r>
  <r>
    <n v="19"/>
    <x v="1"/>
    <n v="3.9"/>
    <x v="1"/>
    <n v="7.4"/>
    <n v="2.5"/>
    <n v="3.74"/>
    <n v="0.3"/>
    <s v="medium"/>
    <n v="5"/>
    <n v="8"/>
    <n v="3"/>
    <n v="0"/>
    <x v="1"/>
  </r>
  <r>
    <n v="17"/>
    <x v="1"/>
    <n v="6.7"/>
    <x v="0"/>
    <n v="4.3"/>
    <n v="0.6"/>
    <n v="3.76"/>
    <n v="0"/>
    <s v="low"/>
    <n v="2"/>
    <n v="1"/>
    <n v="7"/>
    <n v="0"/>
    <x v="2"/>
  </r>
  <r>
    <n v="15"/>
    <x v="0"/>
    <n v="6.7"/>
    <x v="2"/>
    <n v="4.3"/>
    <n v="1.8"/>
    <n v="3.69"/>
    <n v="0.7"/>
    <s v="high"/>
    <n v="2"/>
    <n v="8"/>
    <n v="7"/>
    <n v="0"/>
    <x v="3"/>
  </r>
  <r>
    <n v="14"/>
    <x v="1"/>
    <n v="3.4"/>
    <x v="0"/>
    <n v="5.6"/>
    <n v="1.7"/>
    <n v="3.38"/>
    <n v="0.3"/>
    <s v="high"/>
    <n v="9"/>
    <n v="3"/>
    <n v="1"/>
    <n v="0"/>
    <x v="0"/>
  </r>
  <r>
    <n v="16"/>
    <x v="0"/>
    <n v="5"/>
    <x v="1"/>
    <n v="4.3"/>
    <n v="0.7"/>
    <n v="3.68"/>
    <n v="1.2"/>
    <s v="low"/>
    <n v="6"/>
    <n v="2"/>
    <n v="4"/>
    <n v="0"/>
    <x v="3"/>
  </r>
  <r>
    <n v="18"/>
    <x v="1"/>
    <n v="3.8"/>
    <x v="0"/>
    <n v="5.9"/>
    <n v="1"/>
    <n v="2.2200000000000002"/>
    <n v="0.6"/>
    <s v="low"/>
    <n v="9"/>
    <n v="10"/>
    <n v="9"/>
    <n v="0"/>
    <x v="2"/>
  </r>
  <r>
    <n v="15"/>
    <x v="1"/>
    <n v="7.3"/>
    <x v="1"/>
    <n v="7.3"/>
    <n v="2.8"/>
    <n v="2.46"/>
    <n v="0.3"/>
    <s v="low"/>
    <n v="2"/>
    <n v="7"/>
    <n v="5"/>
    <n v="0"/>
    <x v="3"/>
  </r>
  <r>
    <n v="18"/>
    <x v="1"/>
    <n v="7.2"/>
    <x v="1"/>
    <n v="5"/>
    <n v="1.4"/>
    <n v="3.65"/>
    <n v="1.1000000000000001"/>
    <s v="low"/>
    <n v="8"/>
    <n v="8"/>
    <n v="4"/>
    <n v="1"/>
    <x v="2"/>
  </r>
  <r>
    <n v="15"/>
    <x v="1"/>
    <n v="3.1"/>
    <x v="2"/>
    <n v="4.2"/>
    <n v="2.1"/>
    <n v="3.21"/>
    <n v="1.1000000000000001"/>
    <s v="medium"/>
    <n v="8"/>
    <n v="2"/>
    <n v="10"/>
    <n v="0"/>
    <x v="3"/>
  </r>
  <r>
    <n v="15"/>
    <x v="1"/>
    <n v="8"/>
    <x v="0"/>
    <n v="4.4000000000000004"/>
    <n v="0.7"/>
    <n v="2.62"/>
    <n v="1.6"/>
    <s v="high"/>
    <n v="6"/>
    <n v="7"/>
    <n v="2"/>
    <n v="0"/>
    <x v="3"/>
  </r>
  <r>
    <n v="15"/>
    <x v="0"/>
    <n v="4.3"/>
    <x v="0"/>
    <n v="7.5"/>
    <n v="1.1000000000000001"/>
    <n v="2.06"/>
    <n v="1.8"/>
    <s v="medium"/>
    <n v="5"/>
    <n v="7"/>
    <n v="2"/>
    <n v="0"/>
    <x v="3"/>
  </r>
  <r>
    <n v="14"/>
    <x v="1"/>
    <n v="4"/>
    <x v="1"/>
    <n v="5.0999999999999996"/>
    <n v="1.1000000000000001"/>
    <n v="3.98"/>
    <n v="1.3"/>
    <s v="medium"/>
    <n v="5"/>
    <n v="4"/>
    <n v="9"/>
    <n v="0"/>
    <x v="0"/>
  </r>
  <r>
    <n v="15"/>
    <x v="0"/>
    <n v="6.9"/>
    <x v="1"/>
    <n v="5.6"/>
    <n v="1.4"/>
    <n v="2.09"/>
    <n v="0.7"/>
    <s v="low"/>
    <n v="9"/>
    <n v="5"/>
    <n v="9"/>
    <n v="0"/>
    <x v="3"/>
  </r>
  <r>
    <n v="13"/>
    <x v="0"/>
    <n v="7"/>
    <x v="1"/>
    <n v="4.4000000000000004"/>
    <n v="0.9"/>
    <n v="3.67"/>
    <n v="0.4"/>
    <s v="low"/>
    <n v="5"/>
    <n v="3"/>
    <n v="6"/>
    <n v="0"/>
    <x v="0"/>
  </r>
  <r>
    <n v="13"/>
    <x v="0"/>
    <n v="6.2"/>
    <x v="0"/>
    <n v="8.6"/>
    <n v="1.8"/>
    <n v="2.19"/>
    <n v="0.7"/>
    <s v="high"/>
    <n v="8"/>
    <n v="4"/>
    <n v="7"/>
    <n v="0"/>
    <x v="0"/>
  </r>
  <r>
    <n v="15"/>
    <x v="0"/>
    <n v="7.7"/>
    <x v="0"/>
    <n v="8"/>
    <n v="1.3"/>
    <n v="3.78"/>
    <n v="1.1000000000000001"/>
    <s v="medium"/>
    <n v="1"/>
    <n v="6"/>
    <n v="5"/>
    <n v="0"/>
    <x v="3"/>
  </r>
  <r>
    <n v="19"/>
    <x v="1"/>
    <n v="5.0999999999999996"/>
    <x v="2"/>
    <n v="6.3"/>
    <n v="2.2999999999999998"/>
    <n v="2.5499999999999998"/>
    <n v="2"/>
    <s v="medium"/>
    <n v="6"/>
    <n v="9"/>
    <n v="7"/>
    <n v="0"/>
    <x v="1"/>
  </r>
  <r>
    <n v="15"/>
    <x v="0"/>
    <n v="1"/>
    <x v="1"/>
    <n v="8.5"/>
    <n v="2"/>
    <n v="3.77"/>
    <n v="1.9"/>
    <s v="high"/>
    <n v="4"/>
    <n v="1"/>
    <n v="7"/>
    <n v="0"/>
    <x v="3"/>
  </r>
  <r>
    <n v="15"/>
    <x v="1"/>
    <n v="1.1000000000000001"/>
    <x v="0"/>
    <n v="4.5999999999999996"/>
    <n v="1.8"/>
    <n v="2.35"/>
    <n v="1.1000000000000001"/>
    <s v="medium"/>
    <n v="10"/>
    <n v="6"/>
    <n v="6"/>
    <n v="0"/>
    <x v="3"/>
  </r>
  <r>
    <n v="13"/>
    <x v="1"/>
    <n v="7"/>
    <x v="0"/>
    <n v="4.9000000000000004"/>
    <n v="1.2"/>
    <n v="3.61"/>
    <n v="0.2"/>
    <s v="medium"/>
    <n v="2"/>
    <n v="3"/>
    <n v="5"/>
    <n v="0"/>
    <x v="0"/>
  </r>
  <r>
    <n v="15"/>
    <x v="1"/>
    <n v="2.7"/>
    <x v="2"/>
    <n v="7.8"/>
    <n v="1.8"/>
    <n v="3.9"/>
    <n v="1.4"/>
    <s v="low"/>
    <n v="5"/>
    <n v="8"/>
    <n v="9"/>
    <n v="0"/>
    <x v="3"/>
  </r>
  <r>
    <n v="18"/>
    <x v="0"/>
    <n v="2.5"/>
    <x v="0"/>
    <n v="4.2"/>
    <n v="1.4"/>
    <n v="3.9"/>
    <n v="0.7"/>
    <s v="high"/>
    <n v="5"/>
    <n v="2"/>
    <n v="3"/>
    <n v="0"/>
    <x v="2"/>
  </r>
  <r>
    <n v="18"/>
    <x v="1"/>
    <n v="2.2999999999999998"/>
    <x v="1"/>
    <n v="4.3"/>
    <n v="0.9"/>
    <n v="3.27"/>
    <n v="0.1"/>
    <s v="high"/>
    <n v="5"/>
    <n v="9"/>
    <n v="10"/>
    <n v="0"/>
    <x v="2"/>
  </r>
  <r>
    <n v="17"/>
    <x v="1"/>
    <n v="2.7"/>
    <x v="1"/>
    <n v="6.6"/>
    <n v="1.6"/>
    <n v="3.36"/>
    <n v="1.6"/>
    <s v="high"/>
    <n v="3"/>
    <n v="1"/>
    <n v="2"/>
    <n v="0"/>
    <x v="2"/>
  </r>
  <r>
    <n v="14"/>
    <x v="0"/>
    <n v="3.2"/>
    <x v="0"/>
    <n v="5.4"/>
    <n v="2.6"/>
    <n v="3.18"/>
    <n v="0.9"/>
    <s v="low"/>
    <n v="9"/>
    <n v="1"/>
    <n v="7"/>
    <n v="0"/>
    <x v="0"/>
  </r>
  <r>
    <n v="18"/>
    <x v="1"/>
    <n v="3.8"/>
    <x v="2"/>
    <n v="5.3"/>
    <n v="2.2999999999999998"/>
    <n v="3.42"/>
    <n v="0.4"/>
    <s v="low"/>
    <n v="4"/>
    <n v="8"/>
    <n v="2"/>
    <n v="0"/>
    <x v="2"/>
  </r>
  <r>
    <n v="14"/>
    <x v="1"/>
    <n v="4.0999999999999996"/>
    <x v="1"/>
    <n v="5.4"/>
    <n v="2.4"/>
    <n v="2.71"/>
    <n v="1.3"/>
    <s v="low"/>
    <n v="9"/>
    <n v="5"/>
    <n v="10"/>
    <n v="0"/>
    <x v="0"/>
  </r>
  <r>
    <n v="13"/>
    <x v="1"/>
    <n v="2.2999999999999998"/>
    <x v="1"/>
    <n v="6.6"/>
    <n v="1.4"/>
    <n v="3.74"/>
    <n v="1.5"/>
    <s v="medium"/>
    <n v="6"/>
    <n v="10"/>
    <n v="1"/>
    <n v="0"/>
    <x v="0"/>
  </r>
  <r>
    <n v="15"/>
    <x v="0"/>
    <n v="8"/>
    <x v="0"/>
    <n v="4.7"/>
    <n v="0.6"/>
    <n v="3.01"/>
    <n v="1.8"/>
    <s v="medium"/>
    <n v="2"/>
    <n v="9"/>
    <n v="10"/>
    <n v="0"/>
    <x v="3"/>
  </r>
  <r>
    <n v="15"/>
    <x v="1"/>
    <n v="2.9"/>
    <x v="1"/>
    <n v="6.4"/>
    <n v="0.7"/>
    <n v="3.41"/>
    <n v="1.6"/>
    <s v="low"/>
    <n v="3"/>
    <n v="10"/>
    <n v="7"/>
    <n v="0"/>
    <x v="3"/>
  </r>
  <r>
    <n v="19"/>
    <x v="1"/>
    <n v="4.4000000000000004"/>
    <x v="2"/>
    <n v="5"/>
    <n v="2.8"/>
    <n v="2.69"/>
    <n v="0.4"/>
    <s v="high"/>
    <n v="3"/>
    <n v="8"/>
    <n v="8"/>
    <n v="0"/>
    <x v="1"/>
  </r>
  <r>
    <n v="18"/>
    <x v="1"/>
    <n v="3.1"/>
    <x v="2"/>
    <n v="6.8"/>
    <n v="2"/>
    <n v="3.77"/>
    <n v="1.4"/>
    <s v="low"/>
    <n v="1"/>
    <n v="3"/>
    <n v="4"/>
    <n v="0"/>
    <x v="2"/>
  </r>
  <r>
    <n v="18"/>
    <x v="0"/>
    <n v="7.9"/>
    <x v="1"/>
    <n v="7.5"/>
    <n v="2"/>
    <n v="2.77"/>
    <n v="0.9"/>
    <s v="low"/>
    <n v="10"/>
    <n v="4"/>
    <n v="4"/>
    <n v="0"/>
    <x v="2"/>
  </r>
  <r>
    <n v="14"/>
    <x v="1"/>
    <n v="1.2"/>
    <x v="2"/>
    <n v="7"/>
    <n v="2.2000000000000002"/>
    <n v="3.83"/>
    <n v="0.8"/>
    <s v="low"/>
    <n v="6"/>
    <n v="10"/>
    <n v="5"/>
    <n v="0"/>
    <x v="0"/>
  </r>
  <r>
    <n v="19"/>
    <x v="1"/>
    <n v="4"/>
    <x v="2"/>
    <n v="7.4"/>
    <n v="2.7"/>
    <n v="3.41"/>
    <n v="1.4"/>
    <s v="medium"/>
    <n v="9"/>
    <n v="4"/>
    <n v="7"/>
    <n v="0"/>
    <x v="1"/>
  </r>
  <r>
    <n v="18"/>
    <x v="0"/>
    <n v="1"/>
    <x v="0"/>
    <n v="7.1"/>
    <n v="0.8"/>
    <n v="2.4700000000000002"/>
    <n v="1.9"/>
    <s v="high"/>
    <n v="4"/>
    <n v="2"/>
    <n v="4"/>
    <n v="0"/>
    <x v="2"/>
  </r>
  <r>
    <n v="19"/>
    <x v="1"/>
    <n v="7.9"/>
    <x v="0"/>
    <n v="5.7"/>
    <n v="2.4"/>
    <n v="3.59"/>
    <n v="1.9"/>
    <s v="high"/>
    <n v="1"/>
    <n v="9"/>
    <n v="9"/>
    <n v="0"/>
    <x v="1"/>
  </r>
  <r>
    <n v="14"/>
    <x v="0"/>
    <n v="6.2"/>
    <x v="1"/>
    <n v="4.4000000000000004"/>
    <n v="0.7"/>
    <n v="3.45"/>
    <n v="0.5"/>
    <s v="medium"/>
    <n v="9"/>
    <n v="10"/>
    <n v="3"/>
    <n v="1"/>
    <x v="0"/>
  </r>
  <r>
    <n v="16"/>
    <x v="1"/>
    <n v="2.5"/>
    <x v="0"/>
    <n v="5.4"/>
    <n v="2.2999999999999998"/>
    <n v="3.43"/>
    <n v="0.5"/>
    <s v="high"/>
    <n v="9"/>
    <n v="1"/>
    <n v="2"/>
    <n v="0"/>
    <x v="3"/>
  </r>
  <r>
    <n v="16"/>
    <x v="0"/>
    <n v="4.7"/>
    <x v="2"/>
    <n v="8.1999999999999993"/>
    <n v="2.6"/>
    <n v="3.05"/>
    <n v="1"/>
    <s v="medium"/>
    <n v="4"/>
    <n v="7"/>
    <n v="2"/>
    <n v="0"/>
    <x v="3"/>
  </r>
  <r>
    <n v="16"/>
    <x v="0"/>
    <n v="6.3"/>
    <x v="0"/>
    <n v="6.5"/>
    <n v="1"/>
    <n v="2.52"/>
    <n v="0.4"/>
    <s v="low"/>
    <n v="1"/>
    <n v="10"/>
    <n v="6"/>
    <n v="0"/>
    <x v="3"/>
  </r>
  <r>
    <n v="17"/>
    <x v="1"/>
    <n v="7.5"/>
    <x v="1"/>
    <n v="5.4"/>
    <n v="2.2999999999999998"/>
    <n v="3.44"/>
    <n v="0.4"/>
    <s v="medium"/>
    <n v="7"/>
    <n v="9"/>
    <n v="7"/>
    <n v="1"/>
    <x v="2"/>
  </r>
  <r>
    <n v="18"/>
    <x v="0"/>
    <n v="2"/>
    <x v="1"/>
    <n v="8.4"/>
    <n v="1.5"/>
    <n v="2.83"/>
    <n v="1.2"/>
    <s v="low"/>
    <n v="9"/>
    <n v="4"/>
    <n v="5"/>
    <n v="0"/>
    <x v="2"/>
  </r>
  <r>
    <n v="13"/>
    <x v="1"/>
    <n v="6.3"/>
    <x v="0"/>
    <n v="8.4"/>
    <n v="1.6"/>
    <n v="2.0299999999999998"/>
    <n v="1.5"/>
    <s v="medium"/>
    <n v="5"/>
    <n v="3"/>
    <n v="9"/>
    <n v="0"/>
    <x v="0"/>
  </r>
  <r>
    <n v="16"/>
    <x v="0"/>
    <n v="6.6"/>
    <x v="2"/>
    <n v="8.9"/>
    <n v="2"/>
    <n v="3.44"/>
    <n v="1.7"/>
    <s v="low"/>
    <n v="10"/>
    <n v="9"/>
    <n v="3"/>
    <n v="0"/>
    <x v="3"/>
  </r>
  <r>
    <n v="19"/>
    <x v="1"/>
    <n v="3.6"/>
    <x v="2"/>
    <n v="5.6"/>
    <n v="1.7"/>
    <n v="3.57"/>
    <n v="1.5"/>
    <s v="low"/>
    <n v="10"/>
    <n v="4"/>
    <n v="3"/>
    <n v="0"/>
    <x v="1"/>
  </r>
  <r>
    <n v="16"/>
    <x v="1"/>
    <n v="3.2"/>
    <x v="2"/>
    <n v="4.5999999999999996"/>
    <n v="2.5"/>
    <n v="2.62"/>
    <n v="1.8"/>
    <s v="low"/>
    <n v="9"/>
    <n v="5"/>
    <n v="1"/>
    <n v="0"/>
    <x v="3"/>
  </r>
  <r>
    <n v="13"/>
    <x v="1"/>
    <n v="3.1"/>
    <x v="0"/>
    <n v="6.4"/>
    <n v="1.6"/>
    <n v="3.69"/>
    <n v="0.9"/>
    <s v="medium"/>
    <n v="1"/>
    <n v="2"/>
    <n v="1"/>
    <n v="0"/>
    <x v="0"/>
  </r>
  <r>
    <n v="18"/>
    <x v="0"/>
    <n v="6.7"/>
    <x v="0"/>
    <n v="8.8000000000000007"/>
    <n v="1.9"/>
    <n v="2.5499999999999998"/>
    <n v="1"/>
    <s v="low"/>
    <n v="5"/>
    <n v="8"/>
    <n v="3"/>
    <n v="0"/>
    <x v="2"/>
  </r>
  <r>
    <n v="17"/>
    <x v="0"/>
    <n v="6.6"/>
    <x v="1"/>
    <n v="8.1999999999999993"/>
    <n v="0.7"/>
    <n v="2.88"/>
    <n v="0.8"/>
    <s v="low"/>
    <n v="1"/>
    <n v="7"/>
    <n v="7"/>
    <n v="0"/>
    <x v="2"/>
  </r>
  <r>
    <n v="14"/>
    <x v="1"/>
    <n v="7"/>
    <x v="0"/>
    <n v="4.5"/>
    <n v="1.6"/>
    <n v="2.83"/>
    <n v="0.4"/>
    <s v="medium"/>
    <n v="8"/>
    <n v="1"/>
    <n v="7"/>
    <n v="0"/>
    <x v="0"/>
  </r>
  <r>
    <n v="16"/>
    <x v="1"/>
    <n v="4.8"/>
    <x v="2"/>
    <n v="5.0999999999999996"/>
    <n v="2.1"/>
    <n v="2.4900000000000002"/>
    <n v="1.6"/>
    <s v="low"/>
    <n v="4"/>
    <n v="9"/>
    <n v="1"/>
    <n v="0"/>
    <x v="3"/>
  </r>
  <r>
    <n v="13"/>
    <x v="1"/>
    <n v="5.8"/>
    <x v="0"/>
    <n v="6.3"/>
    <n v="1.1000000000000001"/>
    <n v="3.09"/>
    <n v="0.9"/>
    <s v="medium"/>
    <n v="8"/>
    <n v="4"/>
    <n v="9"/>
    <n v="0"/>
    <x v="0"/>
  </r>
  <r>
    <n v="19"/>
    <x v="1"/>
    <n v="6"/>
    <x v="2"/>
    <n v="6.3"/>
    <n v="2.8"/>
    <n v="3.98"/>
    <n v="2"/>
    <s v="medium"/>
    <n v="2"/>
    <n v="6"/>
    <n v="2"/>
    <n v="0"/>
    <x v="1"/>
  </r>
  <r>
    <n v="15"/>
    <x v="0"/>
    <n v="4"/>
    <x v="2"/>
    <n v="5.2"/>
    <n v="1.8"/>
    <n v="3.3"/>
    <n v="0.7"/>
    <s v="medium"/>
    <n v="10"/>
    <n v="5"/>
    <n v="1"/>
    <n v="0"/>
    <x v="3"/>
  </r>
  <r>
    <n v="14"/>
    <x v="1"/>
    <n v="5.8"/>
    <x v="2"/>
    <n v="4.8"/>
    <n v="2.6"/>
    <n v="2.08"/>
    <n v="0.8"/>
    <s v="medium"/>
    <n v="6"/>
    <n v="4"/>
    <n v="9"/>
    <n v="0"/>
    <x v="0"/>
  </r>
  <r>
    <n v="19"/>
    <x v="0"/>
    <n v="5.2"/>
    <x v="0"/>
    <n v="7.6"/>
    <n v="1.3"/>
    <n v="3.89"/>
    <n v="1.5"/>
    <s v="high"/>
    <n v="4"/>
    <n v="5"/>
    <n v="8"/>
    <n v="0"/>
    <x v="1"/>
  </r>
  <r>
    <n v="17"/>
    <x v="0"/>
    <n v="2.9"/>
    <x v="2"/>
    <n v="6.7"/>
    <n v="1.5"/>
    <n v="3.62"/>
    <n v="0.8"/>
    <s v="medium"/>
    <n v="10"/>
    <n v="6"/>
    <n v="4"/>
    <n v="0"/>
    <x v="2"/>
  </r>
  <r>
    <n v="18"/>
    <x v="1"/>
    <n v="7.5"/>
    <x v="1"/>
    <n v="7.5"/>
    <n v="1.4"/>
    <n v="3.14"/>
    <n v="2"/>
    <s v="low"/>
    <n v="2"/>
    <n v="9"/>
    <n v="2"/>
    <n v="0"/>
    <x v="2"/>
  </r>
  <r>
    <n v="13"/>
    <x v="1"/>
    <n v="5.8"/>
    <x v="0"/>
    <n v="6.1"/>
    <n v="1.2"/>
    <n v="3.81"/>
    <n v="1.8"/>
    <s v="medium"/>
    <n v="6"/>
    <n v="10"/>
    <n v="6"/>
    <n v="0"/>
    <x v="0"/>
  </r>
  <r>
    <n v="14"/>
    <x v="0"/>
    <n v="7.6"/>
    <x v="0"/>
    <n v="5.8"/>
    <n v="1.9"/>
    <n v="3.49"/>
    <n v="1.7"/>
    <s v="high"/>
    <n v="10"/>
    <n v="1"/>
    <n v="3"/>
    <n v="0"/>
    <x v="0"/>
  </r>
  <r>
    <n v="15"/>
    <x v="1"/>
    <n v="1.3"/>
    <x v="1"/>
    <n v="7.6"/>
    <n v="0.6"/>
    <n v="3.46"/>
    <n v="1.9"/>
    <s v="low"/>
    <n v="1"/>
    <n v="1"/>
    <n v="4"/>
    <n v="0"/>
    <x v="3"/>
  </r>
  <r>
    <n v="15"/>
    <x v="0"/>
    <n v="3.7"/>
    <x v="2"/>
    <n v="5.7"/>
    <n v="1.3"/>
    <n v="3.24"/>
    <n v="0.2"/>
    <s v="low"/>
    <n v="4"/>
    <n v="9"/>
    <n v="10"/>
    <n v="0"/>
    <x v="3"/>
  </r>
  <r>
    <n v="18"/>
    <x v="0"/>
    <n v="3.6"/>
    <x v="0"/>
    <n v="4.7"/>
    <n v="2.5"/>
    <n v="2.73"/>
    <n v="1.2"/>
    <s v="medium"/>
    <n v="9"/>
    <n v="7"/>
    <n v="6"/>
    <n v="0"/>
    <x v="2"/>
  </r>
  <r>
    <n v="15"/>
    <x v="0"/>
    <n v="6.4"/>
    <x v="1"/>
    <n v="6.9"/>
    <n v="2.9"/>
    <n v="2.48"/>
    <n v="0.9"/>
    <s v="low"/>
    <n v="8"/>
    <n v="4"/>
    <n v="8"/>
    <n v="0"/>
    <x v="3"/>
  </r>
  <r>
    <n v="13"/>
    <x v="0"/>
    <n v="6"/>
    <x v="1"/>
    <n v="4.8"/>
    <n v="2.6"/>
    <n v="2.74"/>
    <n v="1.6"/>
    <s v="high"/>
    <n v="6"/>
    <n v="10"/>
    <n v="8"/>
    <n v="0"/>
    <x v="0"/>
  </r>
  <r>
    <n v="14"/>
    <x v="1"/>
    <n v="1.3"/>
    <x v="1"/>
    <n v="7.7"/>
    <n v="1.9"/>
    <n v="2.27"/>
    <n v="1.5"/>
    <s v="low"/>
    <n v="7"/>
    <n v="2"/>
    <n v="2"/>
    <n v="0"/>
    <x v="0"/>
  </r>
  <r>
    <n v="18"/>
    <x v="0"/>
    <n v="3.7"/>
    <x v="0"/>
    <n v="7"/>
    <n v="1.4"/>
    <n v="2.0499999999999998"/>
    <n v="0.4"/>
    <s v="medium"/>
    <n v="10"/>
    <n v="9"/>
    <n v="5"/>
    <n v="0"/>
    <x v="2"/>
  </r>
  <r>
    <n v="18"/>
    <x v="1"/>
    <n v="8"/>
    <x v="1"/>
    <n v="4.3"/>
    <n v="0.8"/>
    <n v="3.44"/>
    <n v="0.8"/>
    <s v="medium"/>
    <n v="3"/>
    <n v="4"/>
    <n v="4"/>
    <n v="0"/>
    <x v="2"/>
  </r>
  <r>
    <n v="19"/>
    <x v="1"/>
    <n v="4.0999999999999996"/>
    <x v="2"/>
    <n v="7.5"/>
    <n v="2.7"/>
    <n v="2.66"/>
    <n v="1.6"/>
    <s v="high"/>
    <n v="5"/>
    <n v="10"/>
    <n v="5"/>
    <n v="0"/>
    <x v="1"/>
  </r>
  <r>
    <n v="13"/>
    <x v="0"/>
    <n v="3.9"/>
    <x v="2"/>
    <n v="8.6999999999999993"/>
    <n v="1.5"/>
    <n v="2.71"/>
    <n v="0.7"/>
    <s v="low"/>
    <n v="7"/>
    <n v="1"/>
    <n v="4"/>
    <n v="0"/>
    <x v="0"/>
  </r>
  <r>
    <n v="15"/>
    <x v="1"/>
    <n v="6.4"/>
    <x v="0"/>
    <n v="5.9"/>
    <n v="1.6"/>
    <n v="3.97"/>
    <n v="1"/>
    <s v="high"/>
    <n v="10"/>
    <n v="2"/>
    <n v="6"/>
    <n v="0"/>
    <x v="3"/>
  </r>
  <r>
    <n v="19"/>
    <x v="1"/>
    <n v="1.3"/>
    <x v="1"/>
    <n v="6.5"/>
    <n v="2.1"/>
    <n v="3.68"/>
    <n v="1.1000000000000001"/>
    <s v="high"/>
    <n v="7"/>
    <n v="1"/>
    <n v="9"/>
    <n v="0"/>
    <x v="1"/>
  </r>
  <r>
    <n v="18"/>
    <x v="1"/>
    <n v="5"/>
    <x v="0"/>
    <n v="6.6"/>
    <n v="1.8"/>
    <n v="3.87"/>
    <n v="1.2"/>
    <s v="high"/>
    <n v="3"/>
    <n v="4"/>
    <n v="2"/>
    <n v="0"/>
    <x v="2"/>
  </r>
  <r>
    <n v="18"/>
    <x v="0"/>
    <n v="5.5"/>
    <x v="2"/>
    <n v="5.2"/>
    <n v="1.4"/>
    <n v="3.24"/>
    <n v="0.9"/>
    <s v="medium"/>
    <n v="10"/>
    <n v="5"/>
    <n v="7"/>
    <n v="0"/>
    <x v="2"/>
  </r>
  <r>
    <n v="13"/>
    <x v="1"/>
    <n v="7.6"/>
    <x v="0"/>
    <n v="7.9"/>
    <n v="3"/>
    <n v="2.54"/>
    <n v="1.2"/>
    <s v="high"/>
    <n v="8"/>
    <n v="8"/>
    <n v="1"/>
    <n v="0"/>
    <x v="0"/>
  </r>
  <r>
    <n v="19"/>
    <x v="1"/>
    <n v="6.3"/>
    <x v="2"/>
    <n v="5.7"/>
    <n v="2.2999999999999998"/>
    <n v="2.16"/>
    <n v="1.9"/>
    <s v="high"/>
    <n v="6"/>
    <n v="3"/>
    <n v="6"/>
    <n v="0"/>
    <x v="1"/>
  </r>
  <r>
    <n v="18"/>
    <x v="1"/>
    <n v="2"/>
    <x v="0"/>
    <n v="5.9"/>
    <n v="2.9"/>
    <n v="3.52"/>
    <n v="1.1000000000000001"/>
    <s v="high"/>
    <n v="8"/>
    <n v="6"/>
    <n v="10"/>
    <n v="0"/>
    <x v="2"/>
  </r>
  <r>
    <n v="15"/>
    <x v="0"/>
    <n v="4"/>
    <x v="1"/>
    <n v="4.5"/>
    <n v="1.9"/>
    <n v="3.22"/>
    <n v="0.2"/>
    <s v="medium"/>
    <n v="4"/>
    <n v="5"/>
    <n v="3"/>
    <n v="0"/>
    <x v="3"/>
  </r>
  <r>
    <n v="14"/>
    <x v="0"/>
    <n v="4.9000000000000004"/>
    <x v="0"/>
    <n v="5.5"/>
    <n v="1.6"/>
    <n v="2.85"/>
    <n v="0.4"/>
    <s v="low"/>
    <n v="8"/>
    <n v="1"/>
    <n v="8"/>
    <n v="0"/>
    <x v="0"/>
  </r>
  <r>
    <n v="14"/>
    <x v="1"/>
    <n v="6.9"/>
    <x v="1"/>
    <n v="8"/>
    <n v="1.6"/>
    <n v="2.64"/>
    <n v="0.1"/>
    <s v="medium"/>
    <n v="3"/>
    <n v="3"/>
    <n v="3"/>
    <n v="0"/>
    <x v="0"/>
  </r>
  <r>
    <n v="15"/>
    <x v="0"/>
    <n v="5.4"/>
    <x v="1"/>
    <n v="4.2"/>
    <n v="1.8"/>
    <n v="2.15"/>
    <n v="0.3"/>
    <s v="medium"/>
    <n v="1"/>
    <n v="10"/>
    <n v="5"/>
    <n v="0"/>
    <x v="3"/>
  </r>
  <r>
    <n v="13"/>
    <x v="1"/>
    <n v="3.8"/>
    <x v="2"/>
    <n v="8.9"/>
    <n v="2.5"/>
    <n v="2.29"/>
    <n v="0.6"/>
    <s v="high"/>
    <n v="9"/>
    <n v="9"/>
    <n v="7"/>
    <n v="0"/>
    <x v="0"/>
  </r>
  <r>
    <n v="15"/>
    <x v="0"/>
    <n v="7.8"/>
    <x v="2"/>
    <n v="6.8"/>
    <n v="0.6"/>
    <n v="3.2"/>
    <n v="1.7"/>
    <s v="medium"/>
    <n v="1"/>
    <n v="7"/>
    <n v="5"/>
    <n v="0"/>
    <x v="3"/>
  </r>
  <r>
    <n v="15"/>
    <x v="0"/>
    <n v="3.5"/>
    <x v="2"/>
    <n v="8.8000000000000007"/>
    <n v="1.8"/>
    <n v="3.5"/>
    <n v="0.8"/>
    <s v="low"/>
    <n v="3"/>
    <n v="6"/>
    <n v="3"/>
    <n v="0"/>
    <x v="3"/>
  </r>
  <r>
    <n v="19"/>
    <x v="1"/>
    <n v="5.4"/>
    <x v="0"/>
    <n v="7.3"/>
    <n v="2"/>
    <n v="3.98"/>
    <n v="0.9"/>
    <s v="medium"/>
    <n v="6"/>
    <n v="6"/>
    <n v="1"/>
    <n v="0"/>
    <x v="1"/>
  </r>
  <r>
    <n v="17"/>
    <x v="0"/>
    <n v="3.8"/>
    <x v="2"/>
    <n v="5.7"/>
    <n v="2"/>
    <n v="3.01"/>
    <n v="1"/>
    <s v="low"/>
    <n v="1"/>
    <n v="3"/>
    <n v="1"/>
    <n v="0"/>
    <x v="2"/>
  </r>
  <r>
    <n v="17"/>
    <x v="0"/>
    <n v="8"/>
    <x v="0"/>
    <n v="6.9"/>
    <n v="2.2000000000000002"/>
    <n v="2.36"/>
    <n v="1.6"/>
    <s v="low"/>
    <n v="4"/>
    <n v="2"/>
    <n v="8"/>
    <n v="0"/>
    <x v="2"/>
  </r>
  <r>
    <n v="14"/>
    <x v="1"/>
    <n v="3.7"/>
    <x v="1"/>
    <n v="5.7"/>
    <n v="1.7"/>
    <n v="2.88"/>
    <n v="0.2"/>
    <s v="low"/>
    <n v="9"/>
    <n v="10"/>
    <n v="3"/>
    <n v="0"/>
    <x v="0"/>
  </r>
  <r>
    <n v="19"/>
    <x v="1"/>
    <n v="5"/>
    <x v="0"/>
    <n v="6.3"/>
    <n v="2.9"/>
    <n v="2.04"/>
    <n v="0.5"/>
    <s v="medium"/>
    <n v="5"/>
    <n v="2"/>
    <n v="2"/>
    <n v="0"/>
    <x v="1"/>
  </r>
  <r>
    <n v="19"/>
    <x v="1"/>
    <n v="4.2"/>
    <x v="0"/>
    <n v="7.1"/>
    <n v="2.5"/>
    <n v="3.91"/>
    <n v="1.5"/>
    <s v="high"/>
    <n v="6"/>
    <n v="8"/>
    <n v="9"/>
    <n v="0"/>
    <x v="1"/>
  </r>
  <r>
    <n v="16"/>
    <x v="0"/>
    <n v="4.5999999999999996"/>
    <x v="0"/>
    <n v="8.1999999999999993"/>
    <n v="1.5"/>
    <n v="2.13"/>
    <n v="1"/>
    <s v="low"/>
    <n v="3"/>
    <n v="2"/>
    <n v="2"/>
    <n v="0"/>
    <x v="3"/>
  </r>
  <r>
    <n v="18"/>
    <x v="0"/>
    <n v="5.5"/>
    <x v="0"/>
    <n v="5"/>
    <n v="0.9"/>
    <n v="2.93"/>
    <n v="1.1000000000000001"/>
    <s v="low"/>
    <n v="4"/>
    <n v="10"/>
    <n v="10"/>
    <n v="0"/>
    <x v="2"/>
  </r>
  <r>
    <n v="19"/>
    <x v="1"/>
    <n v="1.8"/>
    <x v="0"/>
    <n v="4.5"/>
    <n v="2.8"/>
    <n v="3.22"/>
    <n v="1.6"/>
    <s v="medium"/>
    <n v="5"/>
    <n v="3"/>
    <n v="10"/>
    <n v="0"/>
    <x v="1"/>
  </r>
  <r>
    <n v="14"/>
    <x v="1"/>
    <n v="6.6"/>
    <x v="1"/>
    <n v="6.2"/>
    <n v="1.8"/>
    <n v="2.36"/>
    <n v="1.7"/>
    <s v="high"/>
    <n v="4"/>
    <n v="1"/>
    <n v="8"/>
    <n v="0"/>
    <x v="0"/>
  </r>
  <r>
    <n v="15"/>
    <x v="1"/>
    <n v="4.4000000000000004"/>
    <x v="1"/>
    <n v="5.3"/>
    <n v="0.9"/>
    <n v="3.75"/>
    <n v="0.5"/>
    <s v="high"/>
    <n v="10"/>
    <n v="5"/>
    <n v="5"/>
    <n v="0"/>
    <x v="3"/>
  </r>
  <r>
    <n v="14"/>
    <x v="1"/>
    <n v="4.7"/>
    <x v="1"/>
    <n v="4.4000000000000004"/>
    <n v="2.1"/>
    <n v="3.92"/>
    <n v="0.9"/>
    <s v="low"/>
    <n v="10"/>
    <n v="1"/>
    <n v="4"/>
    <n v="0"/>
    <x v="0"/>
  </r>
  <r>
    <n v="18"/>
    <x v="1"/>
    <n v="7.1"/>
    <x v="0"/>
    <n v="5.7"/>
    <n v="0.6"/>
    <n v="2.9"/>
    <n v="1.7"/>
    <s v="medium"/>
    <n v="3"/>
    <n v="1"/>
    <n v="6"/>
    <n v="0"/>
    <x v="2"/>
  </r>
  <r>
    <n v="17"/>
    <x v="0"/>
    <n v="4"/>
    <x v="2"/>
    <n v="8.5"/>
    <n v="1"/>
    <n v="2.16"/>
    <n v="0.1"/>
    <s v="low"/>
    <n v="1"/>
    <n v="7"/>
    <n v="5"/>
    <n v="0"/>
    <x v="2"/>
  </r>
  <r>
    <n v="18"/>
    <x v="1"/>
    <n v="5.5"/>
    <x v="0"/>
    <n v="5.3"/>
    <n v="2.6"/>
    <n v="3.09"/>
    <n v="2"/>
    <s v="low"/>
    <n v="8"/>
    <n v="6"/>
    <n v="3"/>
    <n v="0"/>
    <x v="2"/>
  </r>
  <r>
    <n v="19"/>
    <x v="0"/>
    <n v="5.6"/>
    <x v="1"/>
    <n v="6.5"/>
    <n v="1.4"/>
    <n v="3.19"/>
    <n v="0"/>
    <s v="high"/>
    <n v="9"/>
    <n v="9"/>
    <n v="7"/>
    <n v="0"/>
    <x v="1"/>
  </r>
  <r>
    <n v="14"/>
    <x v="1"/>
    <n v="3.7"/>
    <x v="2"/>
    <n v="7.1"/>
    <n v="1.7"/>
    <n v="2.5"/>
    <n v="1.8"/>
    <s v="medium"/>
    <n v="10"/>
    <n v="4"/>
    <n v="5"/>
    <n v="0"/>
    <x v="0"/>
  </r>
  <r>
    <n v="16"/>
    <x v="0"/>
    <n v="1.8"/>
    <x v="1"/>
    <n v="7.4"/>
    <n v="2.2999999999999998"/>
    <n v="3.76"/>
    <n v="0.8"/>
    <s v="low"/>
    <n v="9"/>
    <n v="5"/>
    <n v="8"/>
    <n v="0"/>
    <x v="3"/>
  </r>
  <r>
    <n v="16"/>
    <x v="1"/>
    <n v="7.6"/>
    <x v="1"/>
    <n v="4.2"/>
    <n v="2.8"/>
    <n v="3.87"/>
    <n v="0.7"/>
    <s v="high"/>
    <n v="10"/>
    <n v="2"/>
    <n v="9"/>
    <n v="0"/>
    <x v="3"/>
  </r>
  <r>
    <n v="18"/>
    <x v="0"/>
    <n v="5.7"/>
    <x v="1"/>
    <n v="8"/>
    <n v="2.5"/>
    <n v="3.4"/>
    <n v="0.1"/>
    <s v="low"/>
    <n v="5"/>
    <n v="2"/>
    <n v="1"/>
    <n v="0"/>
    <x v="2"/>
  </r>
  <r>
    <n v="14"/>
    <x v="1"/>
    <n v="6.1"/>
    <x v="0"/>
    <n v="7"/>
    <n v="2.7"/>
    <n v="3.97"/>
    <n v="1"/>
    <s v="medium"/>
    <n v="1"/>
    <n v="8"/>
    <n v="8"/>
    <n v="0"/>
    <x v="0"/>
  </r>
  <r>
    <n v="13"/>
    <x v="1"/>
    <n v="6"/>
    <x v="0"/>
    <n v="7.2"/>
    <n v="0.6"/>
    <n v="2.11"/>
    <n v="1.1000000000000001"/>
    <s v="low"/>
    <n v="1"/>
    <n v="3"/>
    <n v="6"/>
    <n v="0"/>
    <x v="0"/>
  </r>
  <r>
    <n v="15"/>
    <x v="1"/>
    <n v="3.1"/>
    <x v="1"/>
    <n v="4.2"/>
    <n v="2.4"/>
    <n v="3.41"/>
    <n v="0.2"/>
    <s v="low"/>
    <n v="3"/>
    <n v="7"/>
    <n v="5"/>
    <n v="0"/>
    <x v="3"/>
  </r>
  <r>
    <n v="17"/>
    <x v="0"/>
    <n v="7.6"/>
    <x v="0"/>
    <n v="6"/>
    <n v="2"/>
    <n v="3.82"/>
    <n v="1.5"/>
    <s v="low"/>
    <n v="8"/>
    <n v="9"/>
    <n v="7"/>
    <n v="0"/>
    <x v="2"/>
  </r>
  <r>
    <n v="17"/>
    <x v="0"/>
    <n v="6"/>
    <x v="2"/>
    <n v="5.3"/>
    <n v="2.7"/>
    <n v="3.2"/>
    <n v="1.4"/>
    <s v="medium"/>
    <n v="8"/>
    <n v="2"/>
    <n v="4"/>
    <n v="0"/>
    <x v="2"/>
  </r>
  <r>
    <n v="13"/>
    <x v="1"/>
    <n v="3.5"/>
    <x v="0"/>
    <n v="5.3"/>
    <n v="2.7"/>
    <n v="3.7"/>
    <n v="0.5"/>
    <s v="low"/>
    <n v="3"/>
    <n v="7"/>
    <n v="2"/>
    <n v="0"/>
    <x v="0"/>
  </r>
  <r>
    <n v="14"/>
    <x v="1"/>
    <n v="1.3"/>
    <x v="1"/>
    <n v="7.5"/>
    <n v="1.4"/>
    <n v="3.85"/>
    <n v="1.6"/>
    <s v="medium"/>
    <n v="10"/>
    <n v="8"/>
    <n v="7"/>
    <n v="0"/>
    <x v="0"/>
  </r>
  <r>
    <n v="18"/>
    <x v="1"/>
    <n v="2.8"/>
    <x v="1"/>
    <n v="7"/>
    <n v="2.9"/>
    <n v="3.91"/>
    <n v="1.1000000000000001"/>
    <s v="medium"/>
    <n v="9"/>
    <n v="9"/>
    <n v="1"/>
    <n v="0"/>
    <x v="2"/>
  </r>
  <r>
    <n v="14"/>
    <x v="0"/>
    <n v="3.9"/>
    <x v="2"/>
    <n v="4.8"/>
    <n v="0.8"/>
    <n v="3.32"/>
    <n v="0.3"/>
    <s v="high"/>
    <n v="5"/>
    <n v="2"/>
    <n v="5"/>
    <n v="0"/>
    <x v="0"/>
  </r>
  <r>
    <n v="19"/>
    <x v="0"/>
    <n v="3.9"/>
    <x v="2"/>
    <n v="4.8"/>
    <n v="2.8"/>
    <n v="3.98"/>
    <n v="1.9"/>
    <s v="medium"/>
    <n v="7"/>
    <n v="5"/>
    <n v="3"/>
    <n v="0"/>
    <x v="1"/>
  </r>
  <r>
    <n v="14"/>
    <x v="0"/>
    <n v="7.4"/>
    <x v="0"/>
    <n v="8.9"/>
    <n v="2.4"/>
    <n v="2.29"/>
    <n v="1.1000000000000001"/>
    <s v="low"/>
    <n v="10"/>
    <n v="4"/>
    <n v="8"/>
    <n v="0"/>
    <x v="0"/>
  </r>
  <r>
    <n v="19"/>
    <x v="1"/>
    <n v="5.4"/>
    <x v="1"/>
    <n v="7.4"/>
    <n v="1.7"/>
    <n v="2.88"/>
    <n v="0.6"/>
    <s v="low"/>
    <n v="6"/>
    <n v="10"/>
    <n v="9"/>
    <n v="0"/>
    <x v="1"/>
  </r>
  <r>
    <n v="19"/>
    <x v="1"/>
    <n v="6.6"/>
    <x v="2"/>
    <n v="6.8"/>
    <n v="0.8"/>
    <n v="2.64"/>
    <n v="1.5"/>
    <s v="low"/>
    <n v="5"/>
    <n v="4"/>
    <n v="6"/>
    <n v="0"/>
    <x v="1"/>
  </r>
  <r>
    <n v="17"/>
    <x v="0"/>
    <n v="5.9"/>
    <x v="0"/>
    <n v="7.4"/>
    <n v="1.7"/>
    <n v="2.5"/>
    <n v="0.7"/>
    <s v="high"/>
    <n v="6"/>
    <n v="7"/>
    <n v="1"/>
    <n v="0"/>
    <x v="2"/>
  </r>
  <r>
    <n v="17"/>
    <x v="0"/>
    <n v="3.3"/>
    <x v="2"/>
    <n v="5.2"/>
    <n v="1.8"/>
    <n v="2.1"/>
    <n v="1.2"/>
    <s v="low"/>
    <n v="2"/>
    <n v="3"/>
    <n v="9"/>
    <n v="0"/>
    <x v="2"/>
  </r>
  <r>
    <n v="15"/>
    <x v="1"/>
    <n v="2.8"/>
    <x v="0"/>
    <n v="7.7"/>
    <n v="1"/>
    <n v="3.73"/>
    <n v="0.5"/>
    <s v="medium"/>
    <n v="6"/>
    <n v="10"/>
    <n v="1"/>
    <n v="0"/>
    <x v="3"/>
  </r>
  <r>
    <n v="14"/>
    <x v="1"/>
    <n v="7.3"/>
    <x v="1"/>
    <n v="8.8000000000000007"/>
    <n v="2.5"/>
    <n v="2.12"/>
    <n v="0.5"/>
    <s v="high"/>
    <n v="10"/>
    <n v="10"/>
    <n v="1"/>
    <n v="0"/>
    <x v="0"/>
  </r>
  <r>
    <n v="18"/>
    <x v="0"/>
    <n v="2.8"/>
    <x v="0"/>
    <n v="6.9"/>
    <n v="2.2999999999999998"/>
    <n v="3.11"/>
    <n v="0.1"/>
    <s v="medium"/>
    <n v="7"/>
    <n v="1"/>
    <n v="9"/>
    <n v="0"/>
    <x v="2"/>
  </r>
  <r>
    <n v="18"/>
    <x v="1"/>
    <n v="7.2"/>
    <x v="1"/>
    <n v="7.7"/>
    <n v="1.2"/>
    <n v="3.7"/>
    <n v="0.1"/>
    <s v="low"/>
    <n v="6"/>
    <n v="3"/>
    <n v="9"/>
    <n v="0"/>
    <x v="2"/>
  </r>
  <r>
    <n v="19"/>
    <x v="1"/>
    <n v="7.1"/>
    <x v="1"/>
    <n v="6.3"/>
    <n v="0.8"/>
    <n v="3.66"/>
    <n v="0.5"/>
    <s v="high"/>
    <n v="3"/>
    <n v="7"/>
    <n v="7"/>
    <n v="0"/>
    <x v="1"/>
  </r>
  <r>
    <n v="13"/>
    <x v="1"/>
    <n v="4.3"/>
    <x v="1"/>
    <n v="4.4000000000000004"/>
    <n v="0.9"/>
    <n v="2.35"/>
    <n v="1.5"/>
    <s v="high"/>
    <n v="3"/>
    <n v="1"/>
    <n v="7"/>
    <n v="0"/>
    <x v="0"/>
  </r>
  <r>
    <n v="19"/>
    <x v="0"/>
    <n v="1.6"/>
    <x v="2"/>
    <n v="4.4000000000000004"/>
    <n v="1.4"/>
    <n v="2.0299999999999998"/>
    <n v="1.1000000000000001"/>
    <s v="high"/>
    <n v="2"/>
    <n v="9"/>
    <n v="5"/>
    <n v="0"/>
    <x v="1"/>
  </r>
  <r>
    <n v="19"/>
    <x v="1"/>
    <n v="1.4"/>
    <x v="2"/>
    <n v="8"/>
    <n v="2.5"/>
    <n v="3.54"/>
    <n v="1.8"/>
    <s v="low"/>
    <n v="4"/>
    <n v="8"/>
    <n v="3"/>
    <n v="0"/>
    <x v="1"/>
  </r>
  <r>
    <n v="18"/>
    <x v="1"/>
    <n v="3.2"/>
    <x v="0"/>
    <n v="6.8"/>
    <n v="2.2999999999999998"/>
    <n v="3.16"/>
    <n v="1.8"/>
    <s v="low"/>
    <n v="4"/>
    <n v="8"/>
    <n v="5"/>
    <n v="0"/>
    <x v="2"/>
  </r>
  <r>
    <n v="17"/>
    <x v="0"/>
    <n v="1.5"/>
    <x v="2"/>
    <n v="8"/>
    <n v="0.5"/>
    <n v="3.01"/>
    <n v="0.4"/>
    <s v="medium"/>
    <n v="10"/>
    <n v="2"/>
    <n v="3"/>
    <n v="0"/>
    <x v="2"/>
  </r>
  <r>
    <n v="18"/>
    <x v="0"/>
    <n v="7.5"/>
    <x v="1"/>
    <n v="5.0999999999999996"/>
    <n v="2.6"/>
    <n v="3.82"/>
    <n v="0.7"/>
    <s v="low"/>
    <n v="7"/>
    <n v="3"/>
    <n v="8"/>
    <n v="0"/>
    <x v="2"/>
  </r>
  <r>
    <n v="14"/>
    <x v="1"/>
    <n v="3.5"/>
    <x v="0"/>
    <n v="4.5999999999999996"/>
    <n v="0.7"/>
    <n v="2.74"/>
    <n v="1"/>
    <s v="low"/>
    <n v="2"/>
    <n v="7"/>
    <n v="8"/>
    <n v="0"/>
    <x v="0"/>
  </r>
  <r>
    <n v="17"/>
    <x v="0"/>
    <n v="4.4000000000000004"/>
    <x v="2"/>
    <n v="8.1999999999999993"/>
    <n v="2.7"/>
    <n v="3.13"/>
    <n v="0.3"/>
    <s v="medium"/>
    <n v="3"/>
    <n v="1"/>
    <n v="2"/>
    <n v="0"/>
    <x v="2"/>
  </r>
  <r>
    <n v="17"/>
    <x v="0"/>
    <n v="4.5999999999999996"/>
    <x v="1"/>
    <n v="5.0999999999999996"/>
    <n v="2.5"/>
    <n v="2.13"/>
    <n v="1"/>
    <s v="medium"/>
    <n v="2"/>
    <n v="5"/>
    <n v="6"/>
    <n v="0"/>
    <x v="2"/>
  </r>
  <r>
    <n v="13"/>
    <x v="0"/>
    <n v="5.9"/>
    <x v="1"/>
    <n v="6.6"/>
    <n v="2.6"/>
    <n v="3.58"/>
    <n v="1.6"/>
    <s v="medium"/>
    <n v="7"/>
    <n v="7"/>
    <n v="10"/>
    <n v="0"/>
    <x v="0"/>
  </r>
  <r>
    <n v="16"/>
    <x v="1"/>
    <n v="7.8"/>
    <x v="1"/>
    <n v="4.7"/>
    <n v="1.1000000000000001"/>
    <n v="3.53"/>
    <n v="2"/>
    <s v="medium"/>
    <n v="9"/>
    <n v="3"/>
    <n v="8"/>
    <n v="0"/>
    <x v="3"/>
  </r>
  <r>
    <n v="15"/>
    <x v="1"/>
    <n v="4.8"/>
    <x v="1"/>
    <n v="7.3"/>
    <n v="1.9"/>
    <n v="2.76"/>
    <n v="0.9"/>
    <s v="high"/>
    <n v="2"/>
    <n v="10"/>
    <n v="1"/>
    <n v="0"/>
    <x v="3"/>
  </r>
  <r>
    <n v="16"/>
    <x v="1"/>
    <n v="7.4"/>
    <x v="1"/>
    <n v="4.5999999999999996"/>
    <n v="1"/>
    <n v="2.23"/>
    <n v="1.1000000000000001"/>
    <s v="low"/>
    <n v="2"/>
    <n v="4"/>
    <n v="5"/>
    <n v="0"/>
    <x v="3"/>
  </r>
  <r>
    <n v="18"/>
    <x v="0"/>
    <n v="2.7"/>
    <x v="0"/>
    <n v="7.9"/>
    <n v="1.2"/>
    <n v="2.75"/>
    <n v="1.9"/>
    <s v="medium"/>
    <n v="5"/>
    <n v="8"/>
    <n v="3"/>
    <n v="0"/>
    <x v="2"/>
  </r>
  <r>
    <n v="13"/>
    <x v="1"/>
    <n v="5.3"/>
    <x v="1"/>
    <n v="6.4"/>
    <n v="1.1000000000000001"/>
    <n v="3.32"/>
    <n v="1.9"/>
    <s v="medium"/>
    <n v="8"/>
    <n v="5"/>
    <n v="10"/>
    <n v="0"/>
    <x v="0"/>
  </r>
  <r>
    <n v="16"/>
    <x v="1"/>
    <n v="3.6"/>
    <x v="2"/>
    <n v="4.4000000000000004"/>
    <n v="2.4"/>
    <n v="2.5299999999999998"/>
    <n v="0.7"/>
    <s v="medium"/>
    <n v="1"/>
    <n v="7"/>
    <n v="5"/>
    <n v="0"/>
    <x v="3"/>
  </r>
  <r>
    <n v="18"/>
    <x v="0"/>
    <n v="2.5"/>
    <x v="2"/>
    <n v="5.7"/>
    <n v="2.1"/>
    <n v="3.33"/>
    <n v="0.6"/>
    <s v="low"/>
    <n v="8"/>
    <n v="4"/>
    <n v="6"/>
    <n v="0"/>
    <x v="2"/>
  </r>
  <r>
    <n v="15"/>
    <x v="0"/>
    <n v="4.5"/>
    <x v="2"/>
    <n v="7"/>
    <n v="1.5"/>
    <n v="3.16"/>
    <n v="1.7"/>
    <s v="medium"/>
    <n v="4"/>
    <n v="7"/>
    <n v="10"/>
    <n v="0"/>
    <x v="3"/>
  </r>
  <r>
    <n v="18"/>
    <x v="1"/>
    <n v="1.9"/>
    <x v="2"/>
    <n v="5.0999999999999996"/>
    <n v="2.9"/>
    <n v="2.62"/>
    <n v="1"/>
    <s v="low"/>
    <n v="4"/>
    <n v="3"/>
    <n v="2"/>
    <n v="0"/>
    <x v="2"/>
  </r>
  <r>
    <n v="17"/>
    <x v="0"/>
    <n v="3.8"/>
    <x v="0"/>
    <n v="7.7"/>
    <n v="0.7"/>
    <n v="3.45"/>
    <n v="1"/>
    <s v="low"/>
    <n v="2"/>
    <n v="8"/>
    <n v="9"/>
    <n v="0"/>
    <x v="2"/>
  </r>
  <r>
    <n v="18"/>
    <x v="1"/>
    <n v="3.9"/>
    <x v="2"/>
    <n v="4"/>
    <n v="1.8"/>
    <n v="2.19"/>
    <n v="1.4"/>
    <s v="high"/>
    <n v="1"/>
    <n v="2"/>
    <n v="5"/>
    <n v="0"/>
    <x v="2"/>
  </r>
  <r>
    <n v="17"/>
    <x v="1"/>
    <n v="1.1000000000000001"/>
    <x v="2"/>
    <n v="8.6999999999999993"/>
    <n v="2.1"/>
    <n v="3.01"/>
    <n v="0.7"/>
    <s v="medium"/>
    <n v="1"/>
    <n v="1"/>
    <n v="3"/>
    <n v="0"/>
    <x v="2"/>
  </r>
  <r>
    <n v="15"/>
    <x v="1"/>
    <n v="3.9"/>
    <x v="2"/>
    <n v="8.6999999999999993"/>
    <n v="1.1000000000000001"/>
    <n v="2.82"/>
    <n v="0.3"/>
    <s v="high"/>
    <n v="5"/>
    <n v="10"/>
    <n v="6"/>
    <n v="0"/>
    <x v="3"/>
  </r>
  <r>
    <n v="16"/>
    <x v="0"/>
    <n v="8"/>
    <x v="0"/>
    <n v="8.1"/>
    <n v="2.5"/>
    <n v="2.7"/>
    <n v="1.7"/>
    <s v="medium"/>
    <n v="4"/>
    <n v="5"/>
    <n v="7"/>
    <n v="0"/>
    <x v="3"/>
  </r>
  <r>
    <n v="14"/>
    <x v="1"/>
    <n v="1.2"/>
    <x v="1"/>
    <n v="8.5"/>
    <n v="2.2999999999999998"/>
    <n v="3.91"/>
    <n v="1.8"/>
    <s v="high"/>
    <n v="1"/>
    <n v="8"/>
    <n v="1"/>
    <n v="0"/>
    <x v="0"/>
  </r>
  <r>
    <n v="15"/>
    <x v="0"/>
    <n v="2.2000000000000002"/>
    <x v="0"/>
    <n v="6.1"/>
    <n v="0.9"/>
    <n v="3.81"/>
    <n v="0.1"/>
    <s v="high"/>
    <n v="2"/>
    <n v="7"/>
    <n v="3"/>
    <n v="0"/>
    <x v="3"/>
  </r>
  <r>
    <n v="15"/>
    <x v="1"/>
    <n v="4.2"/>
    <x v="1"/>
    <n v="6.8"/>
    <n v="1.4"/>
    <n v="2.0099999999999998"/>
    <n v="1"/>
    <s v="low"/>
    <n v="6"/>
    <n v="6"/>
    <n v="4"/>
    <n v="0"/>
    <x v="3"/>
  </r>
  <r>
    <n v="19"/>
    <x v="0"/>
    <n v="6"/>
    <x v="2"/>
    <n v="5.6"/>
    <n v="1.1000000000000001"/>
    <n v="2.4300000000000002"/>
    <n v="1.7"/>
    <s v="medium"/>
    <n v="1"/>
    <n v="3"/>
    <n v="3"/>
    <n v="0"/>
    <x v="1"/>
  </r>
  <r>
    <n v="19"/>
    <x v="0"/>
    <n v="5.4"/>
    <x v="0"/>
    <n v="4.9000000000000004"/>
    <n v="0.6"/>
    <n v="3.17"/>
    <n v="0"/>
    <s v="low"/>
    <n v="5"/>
    <n v="6"/>
    <n v="10"/>
    <n v="0"/>
    <x v="1"/>
  </r>
  <r>
    <n v="15"/>
    <x v="1"/>
    <n v="2.7"/>
    <x v="1"/>
    <n v="7.6"/>
    <n v="2.5"/>
    <n v="2.37"/>
    <n v="1.9"/>
    <s v="high"/>
    <n v="1"/>
    <n v="8"/>
    <n v="7"/>
    <n v="0"/>
    <x v="3"/>
  </r>
  <r>
    <n v="19"/>
    <x v="1"/>
    <n v="1.9"/>
    <x v="2"/>
    <n v="6.2"/>
    <n v="0.9"/>
    <n v="2.4700000000000002"/>
    <n v="1.4"/>
    <s v="low"/>
    <n v="5"/>
    <n v="6"/>
    <n v="7"/>
    <n v="0"/>
    <x v="1"/>
  </r>
  <r>
    <n v="14"/>
    <x v="0"/>
    <n v="1.5"/>
    <x v="2"/>
    <n v="6.8"/>
    <n v="0.8"/>
    <n v="3.14"/>
    <n v="0"/>
    <s v="medium"/>
    <n v="4"/>
    <n v="5"/>
    <n v="8"/>
    <n v="0"/>
    <x v="0"/>
  </r>
  <r>
    <n v="17"/>
    <x v="1"/>
    <n v="2.6"/>
    <x v="1"/>
    <n v="4.8"/>
    <n v="0.7"/>
    <n v="2.52"/>
    <n v="1.8"/>
    <s v="medium"/>
    <n v="9"/>
    <n v="6"/>
    <n v="6"/>
    <n v="0"/>
    <x v="2"/>
  </r>
  <r>
    <n v="16"/>
    <x v="0"/>
    <n v="1.2"/>
    <x v="0"/>
    <n v="7.3"/>
    <n v="1"/>
    <n v="2.36"/>
    <n v="1.1000000000000001"/>
    <s v="medium"/>
    <n v="5"/>
    <n v="3"/>
    <n v="6"/>
    <n v="0"/>
    <x v="3"/>
  </r>
  <r>
    <n v="18"/>
    <x v="1"/>
    <n v="1.8"/>
    <x v="2"/>
    <n v="7.8"/>
    <n v="2"/>
    <n v="2.67"/>
    <n v="0.8"/>
    <s v="low"/>
    <n v="4"/>
    <n v="6"/>
    <n v="3"/>
    <n v="0"/>
    <x v="2"/>
  </r>
  <r>
    <n v="19"/>
    <x v="0"/>
    <n v="4.8"/>
    <x v="2"/>
    <n v="7.5"/>
    <n v="1"/>
    <n v="2.68"/>
    <n v="1.5"/>
    <s v="low"/>
    <n v="9"/>
    <n v="4"/>
    <n v="6"/>
    <n v="0"/>
    <x v="1"/>
  </r>
  <r>
    <n v="19"/>
    <x v="0"/>
    <n v="2.1"/>
    <x v="2"/>
    <n v="5.6"/>
    <n v="2.4"/>
    <n v="3.56"/>
    <n v="1"/>
    <s v="high"/>
    <n v="9"/>
    <n v="3"/>
    <n v="4"/>
    <n v="0"/>
    <x v="1"/>
  </r>
  <r>
    <n v="15"/>
    <x v="0"/>
    <n v="4.4000000000000004"/>
    <x v="0"/>
    <n v="6"/>
    <n v="0.5"/>
    <n v="3.33"/>
    <n v="0.7"/>
    <s v="medium"/>
    <n v="1"/>
    <n v="6"/>
    <n v="10"/>
    <n v="0"/>
    <x v="3"/>
  </r>
  <r>
    <n v="14"/>
    <x v="0"/>
    <n v="2.8"/>
    <x v="2"/>
    <n v="4.3"/>
    <n v="3"/>
    <n v="2.14"/>
    <n v="1.9"/>
    <s v="medium"/>
    <n v="9"/>
    <n v="3"/>
    <n v="7"/>
    <n v="0"/>
    <x v="0"/>
  </r>
  <r>
    <n v="15"/>
    <x v="0"/>
    <n v="3.5"/>
    <x v="1"/>
    <n v="4.5"/>
    <n v="2.7"/>
    <n v="2.4700000000000002"/>
    <n v="1.4"/>
    <s v="low"/>
    <n v="1"/>
    <n v="5"/>
    <n v="10"/>
    <n v="0"/>
    <x v="3"/>
  </r>
  <r>
    <n v="15"/>
    <x v="0"/>
    <n v="6.8"/>
    <x v="2"/>
    <n v="6.6"/>
    <n v="2.1"/>
    <n v="3.43"/>
    <n v="1.7"/>
    <s v="low"/>
    <n v="10"/>
    <n v="10"/>
    <n v="8"/>
    <n v="0"/>
    <x v="3"/>
  </r>
  <r>
    <n v="14"/>
    <x v="0"/>
    <n v="7"/>
    <x v="0"/>
    <n v="5.2"/>
    <n v="1.4"/>
    <n v="3.27"/>
    <n v="1.7"/>
    <s v="medium"/>
    <n v="5"/>
    <n v="7"/>
    <n v="8"/>
    <n v="0"/>
    <x v="0"/>
  </r>
  <r>
    <n v="17"/>
    <x v="1"/>
    <n v="7.5"/>
    <x v="2"/>
    <n v="8.1"/>
    <n v="2.8"/>
    <n v="2.58"/>
    <n v="0.5"/>
    <s v="medium"/>
    <n v="2"/>
    <n v="2"/>
    <n v="3"/>
    <n v="0"/>
    <x v="2"/>
  </r>
  <r>
    <n v="17"/>
    <x v="1"/>
    <n v="2.5"/>
    <x v="0"/>
    <n v="4.4000000000000004"/>
    <n v="2"/>
    <n v="3.29"/>
    <n v="0.7"/>
    <s v="low"/>
    <n v="4"/>
    <n v="6"/>
    <n v="5"/>
    <n v="0"/>
    <x v="2"/>
  </r>
  <r>
    <n v="15"/>
    <x v="0"/>
    <n v="6.5"/>
    <x v="1"/>
    <n v="5.4"/>
    <n v="2.1"/>
    <n v="3.44"/>
    <n v="1.8"/>
    <s v="low"/>
    <n v="7"/>
    <n v="3"/>
    <n v="6"/>
    <n v="0"/>
    <x v="3"/>
  </r>
  <r>
    <n v="13"/>
    <x v="0"/>
    <n v="7.7"/>
    <x v="0"/>
    <n v="4.4000000000000004"/>
    <n v="2"/>
    <n v="3.09"/>
    <n v="1"/>
    <s v="high"/>
    <n v="8"/>
    <n v="7"/>
    <n v="8"/>
    <n v="1"/>
    <x v="0"/>
  </r>
  <r>
    <n v="18"/>
    <x v="1"/>
    <n v="3.2"/>
    <x v="2"/>
    <n v="7.8"/>
    <n v="0.7"/>
    <n v="3.46"/>
    <n v="1.3"/>
    <s v="low"/>
    <n v="5"/>
    <n v="10"/>
    <n v="6"/>
    <n v="0"/>
    <x v="2"/>
  </r>
  <r>
    <n v="16"/>
    <x v="1"/>
    <n v="5.3"/>
    <x v="1"/>
    <n v="4.3"/>
    <n v="1.5"/>
    <n v="2.54"/>
    <n v="0.3"/>
    <s v="high"/>
    <n v="7"/>
    <n v="7"/>
    <n v="10"/>
    <n v="1"/>
    <x v="3"/>
  </r>
  <r>
    <n v="14"/>
    <x v="0"/>
    <n v="5"/>
    <x v="1"/>
    <n v="5.2"/>
    <n v="0.5"/>
    <n v="3.55"/>
    <n v="0.4"/>
    <s v="low"/>
    <n v="10"/>
    <n v="6"/>
    <n v="8"/>
    <n v="0"/>
    <x v="0"/>
  </r>
  <r>
    <n v="19"/>
    <x v="0"/>
    <n v="6.1"/>
    <x v="0"/>
    <n v="7.1"/>
    <n v="2.2999999999999998"/>
    <n v="3.22"/>
    <n v="0.5"/>
    <s v="low"/>
    <n v="4"/>
    <n v="3"/>
    <n v="7"/>
    <n v="0"/>
    <x v="1"/>
  </r>
  <r>
    <n v="17"/>
    <x v="0"/>
    <n v="4.2"/>
    <x v="1"/>
    <n v="7.3"/>
    <n v="2.6"/>
    <n v="3.2"/>
    <n v="0.2"/>
    <s v="high"/>
    <n v="7"/>
    <n v="1"/>
    <n v="3"/>
    <n v="0"/>
    <x v="2"/>
  </r>
  <r>
    <n v="15"/>
    <x v="0"/>
    <n v="4.7"/>
    <x v="0"/>
    <n v="8.1999999999999993"/>
    <n v="2.2999999999999998"/>
    <n v="3.35"/>
    <n v="0.6"/>
    <s v="low"/>
    <n v="6"/>
    <n v="2"/>
    <n v="5"/>
    <n v="0"/>
    <x v="3"/>
  </r>
  <r>
    <n v="18"/>
    <x v="0"/>
    <n v="1.6"/>
    <x v="1"/>
    <n v="5.8"/>
    <n v="0.6"/>
    <n v="3.63"/>
    <n v="1.1000000000000001"/>
    <s v="high"/>
    <n v="6"/>
    <n v="9"/>
    <n v="7"/>
    <n v="0"/>
    <x v="2"/>
  </r>
  <r>
    <n v="14"/>
    <x v="1"/>
    <n v="1.7"/>
    <x v="1"/>
    <n v="6.5"/>
    <n v="2.7"/>
    <n v="2.06"/>
    <n v="0.1"/>
    <s v="medium"/>
    <n v="9"/>
    <n v="5"/>
    <n v="9"/>
    <n v="0"/>
    <x v="0"/>
  </r>
  <r>
    <n v="18"/>
    <x v="0"/>
    <n v="4.5999999999999996"/>
    <x v="0"/>
    <n v="4.0999999999999996"/>
    <n v="1.4"/>
    <n v="2.2799999999999998"/>
    <n v="0.4"/>
    <s v="medium"/>
    <n v="4"/>
    <n v="10"/>
    <n v="10"/>
    <n v="0"/>
    <x v="2"/>
  </r>
  <r>
    <n v="13"/>
    <x v="1"/>
    <n v="2.5"/>
    <x v="1"/>
    <n v="6.8"/>
    <n v="2.8"/>
    <n v="2.77"/>
    <n v="0.5"/>
    <s v="low"/>
    <n v="2"/>
    <n v="6"/>
    <n v="10"/>
    <n v="0"/>
    <x v="0"/>
  </r>
  <r>
    <n v="16"/>
    <x v="1"/>
    <n v="4.2"/>
    <x v="1"/>
    <n v="6.3"/>
    <n v="1.2"/>
    <n v="3.72"/>
    <n v="1.9"/>
    <s v="low"/>
    <n v="5"/>
    <n v="3"/>
    <n v="7"/>
    <n v="0"/>
    <x v="3"/>
  </r>
  <r>
    <n v="19"/>
    <x v="1"/>
    <n v="1.2"/>
    <x v="1"/>
    <n v="4.8"/>
    <n v="1.7"/>
    <n v="2.16"/>
    <n v="0.6"/>
    <s v="medium"/>
    <n v="10"/>
    <n v="10"/>
    <n v="10"/>
    <n v="0"/>
    <x v="1"/>
  </r>
  <r>
    <n v="15"/>
    <x v="0"/>
    <n v="2.7"/>
    <x v="0"/>
    <n v="7.2"/>
    <n v="2.9"/>
    <n v="3.27"/>
    <n v="0.8"/>
    <s v="medium"/>
    <n v="5"/>
    <n v="2"/>
    <n v="9"/>
    <n v="0"/>
    <x v="3"/>
  </r>
  <r>
    <n v="13"/>
    <x v="0"/>
    <n v="1.5"/>
    <x v="2"/>
    <n v="5.2"/>
    <n v="0.8"/>
    <n v="2.16"/>
    <n v="0.9"/>
    <s v="medium"/>
    <n v="10"/>
    <n v="6"/>
    <n v="8"/>
    <n v="0"/>
    <x v="0"/>
  </r>
  <r>
    <n v="15"/>
    <x v="0"/>
    <n v="3.2"/>
    <x v="0"/>
    <n v="5.6"/>
    <n v="0.7"/>
    <n v="3.1"/>
    <n v="1.5"/>
    <s v="high"/>
    <n v="6"/>
    <n v="3"/>
    <n v="1"/>
    <n v="0"/>
    <x v="3"/>
  </r>
  <r>
    <n v="19"/>
    <x v="1"/>
    <n v="7.3"/>
    <x v="2"/>
    <n v="7.4"/>
    <n v="1.5"/>
    <n v="2.84"/>
    <n v="1"/>
    <s v="medium"/>
    <n v="9"/>
    <n v="8"/>
    <n v="5"/>
    <n v="0"/>
    <x v="1"/>
  </r>
  <r>
    <n v="16"/>
    <x v="0"/>
    <n v="2"/>
    <x v="0"/>
    <n v="8.1999999999999993"/>
    <n v="1"/>
    <n v="3.15"/>
    <n v="0.9"/>
    <s v="medium"/>
    <n v="9"/>
    <n v="7"/>
    <n v="10"/>
    <n v="0"/>
    <x v="3"/>
  </r>
  <r>
    <n v="19"/>
    <x v="0"/>
    <n v="2.5"/>
    <x v="1"/>
    <n v="7.1"/>
    <n v="1.9"/>
    <n v="2.35"/>
    <n v="1.1000000000000001"/>
    <s v="low"/>
    <n v="4"/>
    <n v="4"/>
    <n v="8"/>
    <n v="0"/>
    <x v="1"/>
  </r>
  <r>
    <n v="16"/>
    <x v="1"/>
    <n v="7.7"/>
    <x v="0"/>
    <n v="4.7"/>
    <n v="2.9"/>
    <n v="2.17"/>
    <n v="1.2"/>
    <s v="medium"/>
    <n v="5"/>
    <n v="7"/>
    <n v="6"/>
    <n v="0"/>
    <x v="3"/>
  </r>
  <r>
    <n v="19"/>
    <x v="1"/>
    <n v="3.9"/>
    <x v="2"/>
    <n v="7.9"/>
    <n v="2.1"/>
    <n v="3.52"/>
    <n v="0.6"/>
    <s v="high"/>
    <n v="3"/>
    <n v="2"/>
    <n v="4"/>
    <n v="0"/>
    <x v="1"/>
  </r>
  <r>
    <n v="16"/>
    <x v="1"/>
    <n v="3.5"/>
    <x v="1"/>
    <n v="6.1"/>
    <n v="2.7"/>
    <n v="3.83"/>
    <n v="0.1"/>
    <s v="medium"/>
    <n v="4"/>
    <n v="5"/>
    <n v="10"/>
    <n v="0"/>
    <x v="3"/>
  </r>
  <r>
    <n v="17"/>
    <x v="0"/>
    <n v="4.9000000000000004"/>
    <x v="0"/>
    <n v="6.4"/>
    <n v="2.5"/>
    <n v="2.64"/>
    <n v="1.9"/>
    <s v="medium"/>
    <n v="6"/>
    <n v="2"/>
    <n v="10"/>
    <n v="0"/>
    <x v="2"/>
  </r>
  <r>
    <n v="14"/>
    <x v="0"/>
    <n v="3.4"/>
    <x v="2"/>
    <n v="5.8"/>
    <n v="3"/>
    <n v="3.32"/>
    <n v="0.6"/>
    <s v="medium"/>
    <n v="1"/>
    <n v="4"/>
    <n v="4"/>
    <n v="0"/>
    <x v="0"/>
  </r>
  <r>
    <n v="18"/>
    <x v="0"/>
    <n v="2.5"/>
    <x v="1"/>
    <n v="4.5999999999999996"/>
    <n v="2.2000000000000002"/>
    <n v="2.0499999999999998"/>
    <n v="0.7"/>
    <s v="medium"/>
    <n v="9"/>
    <n v="5"/>
    <n v="10"/>
    <n v="0"/>
    <x v="2"/>
  </r>
  <r>
    <n v="16"/>
    <x v="0"/>
    <n v="4.8"/>
    <x v="2"/>
    <n v="5.4"/>
    <n v="0.9"/>
    <n v="2.06"/>
    <n v="1.9"/>
    <s v="low"/>
    <n v="8"/>
    <n v="3"/>
    <n v="2"/>
    <n v="0"/>
    <x v="3"/>
  </r>
  <r>
    <n v="19"/>
    <x v="0"/>
    <n v="7.4"/>
    <x v="1"/>
    <n v="6.1"/>
    <n v="1.1000000000000001"/>
    <n v="2.15"/>
    <n v="1.6"/>
    <s v="high"/>
    <n v="4"/>
    <n v="4"/>
    <n v="1"/>
    <n v="0"/>
    <x v="1"/>
  </r>
  <r>
    <n v="16"/>
    <x v="1"/>
    <n v="2.1"/>
    <x v="0"/>
    <n v="4.8"/>
    <n v="1.3"/>
    <n v="2.29"/>
    <n v="1.8"/>
    <s v="high"/>
    <n v="6"/>
    <n v="9"/>
    <n v="2"/>
    <n v="0"/>
    <x v="3"/>
  </r>
  <r>
    <n v="19"/>
    <x v="0"/>
    <n v="2.1"/>
    <x v="1"/>
    <n v="6.8"/>
    <n v="2.2000000000000002"/>
    <n v="2.33"/>
    <n v="1"/>
    <s v="medium"/>
    <n v="7"/>
    <n v="6"/>
    <n v="7"/>
    <n v="0"/>
    <x v="1"/>
  </r>
  <r>
    <n v="16"/>
    <x v="0"/>
    <n v="1.8"/>
    <x v="0"/>
    <n v="4.9000000000000004"/>
    <n v="2.2999999999999998"/>
    <n v="2.67"/>
    <n v="1.4"/>
    <s v="medium"/>
    <n v="3"/>
    <n v="8"/>
    <n v="6"/>
    <n v="0"/>
    <x v="3"/>
  </r>
  <r>
    <n v="18"/>
    <x v="0"/>
    <n v="6.8"/>
    <x v="2"/>
    <n v="5.4"/>
    <n v="0.9"/>
    <n v="2.64"/>
    <n v="0.3"/>
    <s v="high"/>
    <n v="9"/>
    <n v="1"/>
    <n v="8"/>
    <n v="0"/>
    <x v="2"/>
  </r>
  <r>
    <n v="18"/>
    <x v="0"/>
    <n v="7.9"/>
    <x v="0"/>
    <n v="4.0999999999999996"/>
    <n v="2.8"/>
    <n v="3.25"/>
    <n v="1.4"/>
    <s v="high"/>
    <n v="4"/>
    <n v="2"/>
    <n v="4"/>
    <n v="0"/>
    <x v="2"/>
  </r>
  <r>
    <n v="15"/>
    <x v="0"/>
    <n v="7.6"/>
    <x v="2"/>
    <n v="6"/>
    <n v="2.9"/>
    <n v="2.72"/>
    <n v="1.8"/>
    <s v="high"/>
    <n v="1"/>
    <n v="9"/>
    <n v="6"/>
    <n v="0"/>
    <x v="3"/>
  </r>
  <r>
    <n v="18"/>
    <x v="0"/>
    <n v="6.1"/>
    <x v="1"/>
    <n v="5.8"/>
    <n v="1.8"/>
    <n v="3.59"/>
    <n v="0.2"/>
    <s v="low"/>
    <n v="2"/>
    <n v="5"/>
    <n v="4"/>
    <n v="0"/>
    <x v="2"/>
  </r>
  <r>
    <n v="16"/>
    <x v="1"/>
    <n v="1.4"/>
    <x v="2"/>
    <n v="5.7"/>
    <n v="1.8"/>
    <n v="2"/>
    <n v="1.4"/>
    <s v="low"/>
    <n v="4"/>
    <n v="8"/>
    <n v="7"/>
    <n v="0"/>
    <x v="3"/>
  </r>
  <r>
    <n v="19"/>
    <x v="0"/>
    <n v="6.3"/>
    <x v="1"/>
    <n v="5.7"/>
    <n v="1.4"/>
    <n v="2.0299999999999998"/>
    <n v="1.1000000000000001"/>
    <s v="low"/>
    <n v="4"/>
    <n v="6"/>
    <n v="1"/>
    <n v="0"/>
    <x v="1"/>
  </r>
  <r>
    <n v="13"/>
    <x v="0"/>
    <n v="1.3"/>
    <x v="0"/>
    <n v="5.7"/>
    <n v="1.1000000000000001"/>
    <n v="3.74"/>
    <n v="1.3"/>
    <s v="low"/>
    <n v="9"/>
    <n v="5"/>
    <n v="10"/>
    <n v="0"/>
    <x v="0"/>
  </r>
  <r>
    <n v="17"/>
    <x v="0"/>
    <n v="5.0999999999999996"/>
    <x v="1"/>
    <n v="5.0999999999999996"/>
    <n v="2.9"/>
    <n v="3.99"/>
    <n v="0.6"/>
    <s v="medium"/>
    <n v="4"/>
    <n v="2"/>
    <n v="9"/>
    <n v="0"/>
    <x v="2"/>
  </r>
  <r>
    <n v="19"/>
    <x v="1"/>
    <n v="4"/>
    <x v="0"/>
    <n v="8.1999999999999993"/>
    <n v="1.4"/>
    <n v="3.63"/>
    <n v="1.3"/>
    <s v="low"/>
    <n v="5"/>
    <n v="3"/>
    <n v="10"/>
    <n v="0"/>
    <x v="1"/>
  </r>
  <r>
    <n v="17"/>
    <x v="1"/>
    <n v="7.6"/>
    <x v="0"/>
    <n v="7.3"/>
    <n v="1.9"/>
    <n v="3.05"/>
    <n v="1.1000000000000001"/>
    <s v="medium"/>
    <n v="10"/>
    <n v="8"/>
    <n v="1"/>
    <n v="0"/>
    <x v="2"/>
  </r>
  <r>
    <n v="19"/>
    <x v="0"/>
    <n v="3.8"/>
    <x v="1"/>
    <n v="7.4"/>
    <n v="2.6"/>
    <n v="2.25"/>
    <n v="0.5"/>
    <s v="low"/>
    <n v="7"/>
    <n v="4"/>
    <n v="8"/>
    <n v="0"/>
    <x v="1"/>
  </r>
  <r>
    <n v="17"/>
    <x v="0"/>
    <n v="5.2"/>
    <x v="0"/>
    <n v="4.7"/>
    <n v="2.4"/>
    <n v="2.77"/>
    <n v="1.3"/>
    <s v="high"/>
    <n v="9"/>
    <n v="6"/>
    <n v="9"/>
    <n v="0"/>
    <x v="2"/>
  </r>
  <r>
    <n v="13"/>
    <x v="0"/>
    <n v="5"/>
    <x v="2"/>
    <n v="8.6"/>
    <n v="0.7"/>
    <n v="2.99"/>
    <n v="1.5"/>
    <s v="low"/>
    <n v="3"/>
    <n v="8"/>
    <n v="3"/>
    <n v="0"/>
    <x v="0"/>
  </r>
  <r>
    <n v="19"/>
    <x v="1"/>
    <n v="7.4"/>
    <x v="2"/>
    <n v="8.3000000000000007"/>
    <n v="1.4"/>
    <n v="3.64"/>
    <n v="0.4"/>
    <s v="low"/>
    <n v="6"/>
    <n v="9"/>
    <n v="6"/>
    <n v="0"/>
    <x v="1"/>
  </r>
  <r>
    <n v="16"/>
    <x v="0"/>
    <n v="6.1"/>
    <x v="1"/>
    <n v="6.8"/>
    <n v="0.8"/>
    <n v="2.61"/>
    <n v="0.9"/>
    <s v="low"/>
    <n v="10"/>
    <n v="10"/>
    <n v="4"/>
    <n v="0"/>
    <x v="3"/>
  </r>
  <r>
    <n v="13"/>
    <x v="1"/>
    <n v="7.4"/>
    <x v="2"/>
    <n v="6.7"/>
    <n v="2"/>
    <n v="2.42"/>
    <n v="1.5"/>
    <s v="low"/>
    <n v="10"/>
    <n v="1"/>
    <n v="1"/>
    <n v="0"/>
    <x v="0"/>
  </r>
  <r>
    <n v="16"/>
    <x v="0"/>
    <n v="3.5"/>
    <x v="2"/>
    <n v="4.4000000000000004"/>
    <n v="1.5"/>
    <n v="2.7"/>
    <n v="0.8"/>
    <s v="high"/>
    <n v="2"/>
    <n v="10"/>
    <n v="8"/>
    <n v="0"/>
    <x v="3"/>
  </r>
  <r>
    <n v="14"/>
    <x v="0"/>
    <n v="5.0999999999999996"/>
    <x v="0"/>
    <n v="6.3"/>
    <n v="1.6"/>
    <n v="2.7"/>
    <n v="0.1"/>
    <s v="medium"/>
    <n v="7"/>
    <n v="2"/>
    <n v="7"/>
    <n v="0"/>
    <x v="0"/>
  </r>
  <r>
    <n v="17"/>
    <x v="0"/>
    <n v="4.8"/>
    <x v="1"/>
    <n v="6"/>
    <n v="2.1"/>
    <n v="2.39"/>
    <n v="1.8"/>
    <s v="high"/>
    <n v="5"/>
    <n v="8"/>
    <n v="7"/>
    <n v="0"/>
    <x v="2"/>
  </r>
  <r>
    <n v="14"/>
    <x v="0"/>
    <n v="7.5"/>
    <x v="2"/>
    <n v="7.6"/>
    <n v="2.8"/>
    <n v="3.1"/>
    <n v="0.7"/>
    <s v="medium"/>
    <n v="3"/>
    <n v="1"/>
    <n v="2"/>
    <n v="0"/>
    <x v="0"/>
  </r>
  <r>
    <n v="19"/>
    <x v="0"/>
    <n v="4.7"/>
    <x v="2"/>
    <n v="8.6999999999999993"/>
    <n v="2"/>
    <n v="3.23"/>
    <n v="1.7"/>
    <s v="low"/>
    <n v="4"/>
    <n v="10"/>
    <n v="3"/>
    <n v="0"/>
    <x v="1"/>
  </r>
  <r>
    <n v="19"/>
    <x v="0"/>
    <n v="3.3"/>
    <x v="1"/>
    <n v="8.5"/>
    <n v="1.2"/>
    <n v="3.29"/>
    <n v="0.5"/>
    <s v="medium"/>
    <n v="6"/>
    <n v="2"/>
    <n v="9"/>
    <n v="0"/>
    <x v="1"/>
  </r>
  <r>
    <n v="16"/>
    <x v="1"/>
    <n v="6.9"/>
    <x v="0"/>
    <n v="5.8"/>
    <n v="0.6"/>
    <n v="3.65"/>
    <n v="0.5"/>
    <s v="high"/>
    <n v="10"/>
    <n v="8"/>
    <n v="10"/>
    <n v="1"/>
    <x v="3"/>
  </r>
  <r>
    <n v="15"/>
    <x v="0"/>
    <n v="5.4"/>
    <x v="0"/>
    <n v="4.2"/>
    <n v="1.5"/>
    <n v="2.72"/>
    <n v="0.4"/>
    <s v="high"/>
    <n v="1"/>
    <n v="6"/>
    <n v="5"/>
    <n v="0"/>
    <x v="3"/>
  </r>
  <r>
    <n v="13"/>
    <x v="1"/>
    <n v="5.2"/>
    <x v="2"/>
    <n v="7.7"/>
    <n v="2.7"/>
    <n v="2.84"/>
    <n v="0.8"/>
    <s v="high"/>
    <n v="2"/>
    <n v="5"/>
    <n v="5"/>
    <n v="0"/>
    <x v="0"/>
  </r>
  <r>
    <n v="15"/>
    <x v="1"/>
    <n v="3.3"/>
    <x v="0"/>
    <n v="6.5"/>
    <n v="1.3"/>
    <n v="2.44"/>
    <n v="0.3"/>
    <s v="medium"/>
    <n v="7"/>
    <n v="6"/>
    <n v="7"/>
    <n v="0"/>
    <x v="3"/>
  </r>
  <r>
    <n v="15"/>
    <x v="1"/>
    <n v="7.3"/>
    <x v="2"/>
    <n v="7.6"/>
    <n v="1.9"/>
    <n v="2.31"/>
    <n v="0.8"/>
    <s v="medium"/>
    <n v="8"/>
    <n v="7"/>
    <n v="5"/>
    <n v="0"/>
    <x v="3"/>
  </r>
  <r>
    <n v="17"/>
    <x v="0"/>
    <n v="7.6"/>
    <x v="2"/>
    <n v="4.9000000000000004"/>
    <n v="0.6"/>
    <n v="2.56"/>
    <n v="0.8"/>
    <s v="low"/>
    <n v="4"/>
    <n v="1"/>
    <n v="9"/>
    <n v="0"/>
    <x v="2"/>
  </r>
  <r>
    <n v="17"/>
    <x v="0"/>
    <n v="1.7"/>
    <x v="2"/>
    <n v="7"/>
    <n v="0.8"/>
    <n v="3.39"/>
    <n v="0.9"/>
    <s v="high"/>
    <n v="7"/>
    <n v="7"/>
    <n v="10"/>
    <n v="0"/>
    <x v="2"/>
  </r>
  <r>
    <n v="18"/>
    <x v="0"/>
    <n v="1.5"/>
    <x v="2"/>
    <n v="5.6"/>
    <n v="2.9"/>
    <n v="2.57"/>
    <n v="0.6"/>
    <s v="high"/>
    <n v="5"/>
    <n v="8"/>
    <n v="4"/>
    <n v="0"/>
    <x v="2"/>
  </r>
  <r>
    <n v="17"/>
    <x v="0"/>
    <n v="7.3"/>
    <x v="2"/>
    <n v="8.5"/>
    <n v="1.5"/>
    <n v="3.54"/>
    <n v="1.2"/>
    <s v="low"/>
    <n v="3"/>
    <n v="3"/>
    <n v="7"/>
    <n v="0"/>
    <x v="2"/>
  </r>
  <r>
    <n v="14"/>
    <x v="0"/>
    <n v="2.8"/>
    <x v="2"/>
    <n v="6.2"/>
    <n v="1.2"/>
    <n v="3.21"/>
    <n v="1"/>
    <s v="low"/>
    <n v="3"/>
    <n v="10"/>
    <n v="6"/>
    <n v="0"/>
    <x v="0"/>
  </r>
  <r>
    <n v="15"/>
    <x v="0"/>
    <n v="1.2"/>
    <x v="2"/>
    <n v="7.4"/>
    <n v="2.7"/>
    <n v="2.92"/>
    <n v="1.4"/>
    <s v="low"/>
    <n v="3"/>
    <n v="7"/>
    <n v="4"/>
    <n v="0"/>
    <x v="3"/>
  </r>
  <r>
    <n v="16"/>
    <x v="1"/>
    <n v="2.5"/>
    <x v="1"/>
    <n v="8.9"/>
    <n v="1.2"/>
    <n v="3.33"/>
    <n v="1.5"/>
    <s v="high"/>
    <n v="4"/>
    <n v="4"/>
    <n v="10"/>
    <n v="0"/>
    <x v="3"/>
  </r>
  <r>
    <n v="17"/>
    <x v="0"/>
    <n v="4.8"/>
    <x v="1"/>
    <n v="5.6"/>
    <n v="1.6"/>
    <n v="2"/>
    <n v="1.3"/>
    <s v="low"/>
    <n v="3"/>
    <n v="8"/>
    <n v="4"/>
    <n v="0"/>
    <x v="2"/>
  </r>
  <r>
    <n v="18"/>
    <x v="1"/>
    <n v="6.4"/>
    <x v="2"/>
    <n v="4.2"/>
    <n v="1.1000000000000001"/>
    <n v="2.68"/>
    <n v="0.3"/>
    <s v="high"/>
    <n v="10"/>
    <n v="9"/>
    <n v="4"/>
    <n v="1"/>
    <x v="2"/>
  </r>
  <r>
    <n v="16"/>
    <x v="1"/>
    <n v="6.6"/>
    <x v="0"/>
    <n v="6.1"/>
    <n v="1.7"/>
    <n v="2.67"/>
    <n v="1.8"/>
    <s v="low"/>
    <n v="10"/>
    <n v="8"/>
    <n v="2"/>
    <n v="0"/>
    <x v="3"/>
  </r>
  <r>
    <n v="14"/>
    <x v="1"/>
    <n v="3.5"/>
    <x v="2"/>
    <n v="5.7"/>
    <n v="2.4"/>
    <n v="3.46"/>
    <n v="0.9"/>
    <s v="low"/>
    <n v="8"/>
    <n v="4"/>
    <n v="10"/>
    <n v="0"/>
    <x v="0"/>
  </r>
  <r>
    <n v="14"/>
    <x v="1"/>
    <n v="2.4"/>
    <x v="1"/>
    <n v="6.3"/>
    <n v="2.8"/>
    <n v="2.41"/>
    <n v="0.7"/>
    <s v="low"/>
    <n v="9"/>
    <n v="5"/>
    <n v="2"/>
    <n v="0"/>
    <x v="0"/>
  </r>
  <r>
    <n v="13"/>
    <x v="0"/>
    <n v="5.9"/>
    <x v="0"/>
    <n v="4.3"/>
    <n v="0.8"/>
    <n v="3.41"/>
    <n v="1.1000000000000001"/>
    <s v="medium"/>
    <n v="4"/>
    <n v="3"/>
    <n v="2"/>
    <n v="0"/>
    <x v="0"/>
  </r>
  <r>
    <n v="19"/>
    <x v="1"/>
    <n v="7.4"/>
    <x v="0"/>
    <n v="5"/>
    <n v="2"/>
    <n v="2.68"/>
    <n v="1.2"/>
    <s v="low"/>
    <n v="1"/>
    <n v="6"/>
    <n v="8"/>
    <n v="0"/>
    <x v="1"/>
  </r>
  <r>
    <n v="15"/>
    <x v="1"/>
    <n v="4.5999999999999996"/>
    <x v="1"/>
    <n v="5.3"/>
    <n v="3"/>
    <n v="3.25"/>
    <n v="0.2"/>
    <s v="low"/>
    <n v="1"/>
    <n v="8"/>
    <n v="7"/>
    <n v="0"/>
    <x v="3"/>
  </r>
  <r>
    <n v="17"/>
    <x v="0"/>
    <n v="7.3"/>
    <x v="0"/>
    <n v="5.8"/>
    <n v="2.9"/>
    <n v="3.93"/>
    <n v="0.9"/>
    <s v="medium"/>
    <n v="6"/>
    <n v="2"/>
    <n v="9"/>
    <n v="0"/>
    <x v="2"/>
  </r>
  <r>
    <n v="17"/>
    <x v="1"/>
    <n v="2.9"/>
    <x v="1"/>
    <n v="4.5"/>
    <n v="0.9"/>
    <n v="3.71"/>
    <n v="0.1"/>
    <s v="low"/>
    <n v="1"/>
    <n v="6"/>
    <n v="4"/>
    <n v="0"/>
    <x v="2"/>
  </r>
  <r>
    <n v="19"/>
    <x v="0"/>
    <n v="5.3"/>
    <x v="1"/>
    <n v="8.4"/>
    <n v="0.6"/>
    <n v="3.08"/>
    <n v="0.4"/>
    <s v="medium"/>
    <n v="9"/>
    <n v="4"/>
    <n v="6"/>
    <n v="0"/>
    <x v="1"/>
  </r>
  <r>
    <n v="17"/>
    <x v="1"/>
    <n v="7.2"/>
    <x v="1"/>
    <n v="8.1999999999999993"/>
    <n v="2.9"/>
    <n v="3.69"/>
    <n v="1"/>
    <s v="high"/>
    <n v="6"/>
    <n v="2"/>
    <n v="5"/>
    <n v="0"/>
    <x v="2"/>
  </r>
  <r>
    <n v="15"/>
    <x v="1"/>
    <n v="2.6"/>
    <x v="2"/>
    <n v="7.9"/>
    <n v="1.8"/>
    <n v="3.91"/>
    <n v="0.5"/>
    <s v="medium"/>
    <n v="4"/>
    <n v="5"/>
    <n v="6"/>
    <n v="0"/>
    <x v="3"/>
  </r>
  <r>
    <n v="15"/>
    <x v="0"/>
    <n v="3.6"/>
    <x v="0"/>
    <n v="4.8"/>
    <n v="1"/>
    <n v="3.71"/>
    <n v="1.1000000000000001"/>
    <s v="medium"/>
    <n v="5"/>
    <n v="7"/>
    <n v="4"/>
    <n v="0"/>
    <x v="3"/>
  </r>
  <r>
    <n v="19"/>
    <x v="0"/>
    <n v="3.6"/>
    <x v="0"/>
    <n v="6.5"/>
    <n v="1.1000000000000001"/>
    <n v="3.65"/>
    <n v="1.1000000000000001"/>
    <s v="low"/>
    <n v="5"/>
    <n v="9"/>
    <n v="10"/>
    <n v="0"/>
    <x v="1"/>
  </r>
  <r>
    <n v="15"/>
    <x v="1"/>
    <n v="1.8"/>
    <x v="0"/>
    <n v="5.5"/>
    <n v="1.6"/>
    <n v="3.29"/>
    <n v="1.3"/>
    <s v="medium"/>
    <n v="6"/>
    <n v="5"/>
    <n v="9"/>
    <n v="0"/>
    <x v="3"/>
  </r>
  <r>
    <n v="14"/>
    <x v="1"/>
    <n v="1.8"/>
    <x v="0"/>
    <n v="7.6"/>
    <n v="1.2"/>
    <n v="2.84"/>
    <n v="1.1000000000000001"/>
    <s v="high"/>
    <n v="10"/>
    <n v="1"/>
    <n v="3"/>
    <n v="0"/>
    <x v="0"/>
  </r>
  <r>
    <n v="15"/>
    <x v="1"/>
    <n v="7.4"/>
    <x v="2"/>
    <n v="8.4"/>
    <n v="1.9"/>
    <n v="3.73"/>
    <n v="0.8"/>
    <s v="high"/>
    <n v="9"/>
    <n v="9"/>
    <n v="4"/>
    <n v="0"/>
    <x v="3"/>
  </r>
  <r>
    <n v="15"/>
    <x v="0"/>
    <n v="4.8"/>
    <x v="2"/>
    <n v="4.3"/>
    <n v="2.2000000000000002"/>
    <n v="2.5"/>
    <n v="0"/>
    <s v="medium"/>
    <n v="4"/>
    <n v="1"/>
    <n v="4"/>
    <n v="0"/>
    <x v="3"/>
  </r>
  <r>
    <n v="18"/>
    <x v="0"/>
    <n v="2.4"/>
    <x v="2"/>
    <n v="6.8"/>
    <n v="1"/>
    <n v="2.86"/>
    <n v="1.5"/>
    <s v="high"/>
    <n v="9"/>
    <n v="10"/>
    <n v="8"/>
    <n v="0"/>
    <x v="2"/>
  </r>
  <r>
    <n v="15"/>
    <x v="0"/>
    <n v="5.4"/>
    <x v="1"/>
    <n v="5.2"/>
    <n v="0.6"/>
    <n v="3.65"/>
    <n v="1.5"/>
    <s v="low"/>
    <n v="7"/>
    <n v="9"/>
    <n v="10"/>
    <n v="1"/>
    <x v="3"/>
  </r>
  <r>
    <n v="17"/>
    <x v="1"/>
    <n v="3.5"/>
    <x v="2"/>
    <n v="8.5"/>
    <n v="2.2000000000000002"/>
    <n v="2.11"/>
    <n v="1.3"/>
    <s v="medium"/>
    <n v="8"/>
    <n v="8"/>
    <n v="2"/>
    <n v="0"/>
    <x v="2"/>
  </r>
  <r>
    <n v="18"/>
    <x v="1"/>
    <n v="3"/>
    <x v="0"/>
    <n v="5"/>
    <n v="2"/>
    <n v="2.4500000000000002"/>
    <n v="1.2"/>
    <s v="medium"/>
    <n v="1"/>
    <n v="10"/>
    <n v="7"/>
    <n v="0"/>
    <x v="2"/>
  </r>
  <r>
    <n v="13"/>
    <x v="1"/>
    <n v="3.3"/>
    <x v="2"/>
    <n v="7.4"/>
    <n v="0.9"/>
    <n v="2.5299999999999998"/>
    <n v="0.2"/>
    <s v="medium"/>
    <n v="4"/>
    <n v="10"/>
    <n v="6"/>
    <n v="0"/>
    <x v="0"/>
  </r>
  <r>
    <n v="19"/>
    <x v="0"/>
    <n v="5.5"/>
    <x v="1"/>
    <n v="5.0999999999999996"/>
    <n v="2.7"/>
    <n v="2.56"/>
    <n v="1.4"/>
    <s v="low"/>
    <n v="2"/>
    <n v="3"/>
    <n v="7"/>
    <n v="0"/>
    <x v="1"/>
  </r>
  <r>
    <n v="15"/>
    <x v="0"/>
    <n v="3.8"/>
    <x v="2"/>
    <n v="8.3000000000000007"/>
    <n v="2.6"/>
    <n v="3.19"/>
    <n v="2"/>
    <s v="medium"/>
    <n v="1"/>
    <n v="2"/>
    <n v="2"/>
    <n v="0"/>
    <x v="3"/>
  </r>
  <r>
    <n v="17"/>
    <x v="0"/>
    <n v="5.7"/>
    <x v="1"/>
    <n v="8.6999999999999993"/>
    <n v="2"/>
    <n v="3.14"/>
    <n v="1.7"/>
    <s v="low"/>
    <n v="1"/>
    <n v="9"/>
    <n v="8"/>
    <n v="0"/>
    <x v="2"/>
  </r>
  <r>
    <n v="13"/>
    <x v="1"/>
    <n v="4.7"/>
    <x v="1"/>
    <n v="8"/>
    <n v="1.1000000000000001"/>
    <n v="2.37"/>
    <n v="0.2"/>
    <s v="low"/>
    <n v="5"/>
    <n v="10"/>
    <n v="6"/>
    <n v="0"/>
    <x v="0"/>
  </r>
  <r>
    <n v="17"/>
    <x v="1"/>
    <n v="4"/>
    <x v="0"/>
    <n v="6.7"/>
    <n v="0.6"/>
    <n v="2.5099999999999998"/>
    <n v="1.5"/>
    <s v="high"/>
    <n v="9"/>
    <n v="8"/>
    <n v="5"/>
    <n v="0"/>
    <x v="2"/>
  </r>
  <r>
    <n v="16"/>
    <x v="0"/>
    <n v="5.3"/>
    <x v="1"/>
    <n v="6.8"/>
    <n v="0.7"/>
    <n v="3.9"/>
    <n v="1.5"/>
    <s v="low"/>
    <n v="5"/>
    <n v="8"/>
    <n v="3"/>
    <n v="0"/>
    <x v="3"/>
  </r>
  <r>
    <n v="17"/>
    <x v="0"/>
    <n v="3.8"/>
    <x v="0"/>
    <n v="4.7"/>
    <n v="1.2"/>
    <n v="3.7"/>
    <n v="1.4"/>
    <s v="high"/>
    <n v="2"/>
    <n v="2"/>
    <n v="5"/>
    <n v="0"/>
    <x v="2"/>
  </r>
  <r>
    <n v="16"/>
    <x v="1"/>
    <n v="6"/>
    <x v="2"/>
    <n v="4.0999999999999996"/>
    <n v="2.4"/>
    <n v="2.61"/>
    <n v="1.1000000000000001"/>
    <s v="high"/>
    <n v="1"/>
    <n v="6"/>
    <n v="3"/>
    <n v="0"/>
    <x v="3"/>
  </r>
  <r>
    <n v="15"/>
    <x v="0"/>
    <n v="2.2000000000000002"/>
    <x v="2"/>
    <n v="4.5"/>
    <n v="1.3"/>
    <n v="2.63"/>
    <n v="1.7"/>
    <s v="low"/>
    <n v="10"/>
    <n v="2"/>
    <n v="6"/>
    <n v="0"/>
    <x v="3"/>
  </r>
  <r>
    <n v="18"/>
    <x v="0"/>
    <n v="4.3"/>
    <x v="1"/>
    <n v="8.4"/>
    <n v="2.1"/>
    <n v="2.69"/>
    <n v="0.2"/>
    <s v="low"/>
    <n v="1"/>
    <n v="10"/>
    <n v="8"/>
    <n v="0"/>
    <x v="2"/>
  </r>
  <r>
    <n v="19"/>
    <x v="1"/>
    <n v="7.5"/>
    <x v="1"/>
    <n v="4.5"/>
    <n v="2.7"/>
    <n v="2.41"/>
    <n v="1"/>
    <s v="high"/>
    <n v="3"/>
    <n v="2"/>
    <n v="6"/>
    <n v="0"/>
    <x v="1"/>
  </r>
  <r>
    <n v="14"/>
    <x v="0"/>
    <n v="5.3"/>
    <x v="0"/>
    <n v="6.8"/>
    <n v="2.9"/>
    <n v="2.1800000000000002"/>
    <n v="0.8"/>
    <s v="medium"/>
    <n v="10"/>
    <n v="1"/>
    <n v="6"/>
    <n v="0"/>
    <x v="0"/>
  </r>
  <r>
    <n v="14"/>
    <x v="1"/>
    <n v="7"/>
    <x v="0"/>
    <n v="6.9"/>
    <n v="2.1"/>
    <n v="3.42"/>
    <n v="1.1000000000000001"/>
    <s v="high"/>
    <n v="10"/>
    <n v="3"/>
    <n v="6"/>
    <n v="0"/>
    <x v="0"/>
  </r>
  <r>
    <n v="16"/>
    <x v="1"/>
    <n v="2.1"/>
    <x v="2"/>
    <n v="4.5999999999999996"/>
    <n v="2"/>
    <n v="2.5499999999999998"/>
    <n v="1.8"/>
    <s v="high"/>
    <n v="5"/>
    <n v="4"/>
    <n v="4"/>
    <n v="0"/>
    <x v="3"/>
  </r>
  <r>
    <n v="18"/>
    <x v="1"/>
    <n v="7.3"/>
    <x v="2"/>
    <n v="7.3"/>
    <n v="2.8"/>
    <n v="3.3"/>
    <n v="0.4"/>
    <s v="low"/>
    <n v="1"/>
    <n v="8"/>
    <n v="1"/>
    <n v="0"/>
    <x v="2"/>
  </r>
  <r>
    <n v="17"/>
    <x v="1"/>
    <n v="2.6"/>
    <x v="0"/>
    <n v="6.5"/>
    <n v="1.5"/>
    <n v="3.8"/>
    <n v="0.2"/>
    <s v="high"/>
    <n v="8"/>
    <n v="6"/>
    <n v="1"/>
    <n v="0"/>
    <x v="2"/>
  </r>
  <r>
    <n v="17"/>
    <x v="0"/>
    <n v="5.4"/>
    <x v="2"/>
    <n v="4.9000000000000004"/>
    <n v="1.5"/>
    <n v="3.4"/>
    <n v="0"/>
    <s v="medium"/>
    <n v="2"/>
    <n v="2"/>
    <n v="1"/>
    <n v="0"/>
    <x v="2"/>
  </r>
  <r>
    <n v="15"/>
    <x v="0"/>
    <n v="6.9"/>
    <x v="0"/>
    <n v="6.2"/>
    <n v="0.6"/>
    <n v="2.37"/>
    <n v="0.2"/>
    <s v="low"/>
    <n v="3"/>
    <n v="1"/>
    <n v="4"/>
    <n v="0"/>
    <x v="3"/>
  </r>
  <r>
    <n v="19"/>
    <x v="1"/>
    <n v="3"/>
    <x v="0"/>
    <n v="5.5"/>
    <n v="2.1"/>
    <n v="3.08"/>
    <n v="0.7"/>
    <s v="low"/>
    <n v="9"/>
    <n v="3"/>
    <n v="5"/>
    <n v="0"/>
    <x v="1"/>
  </r>
  <r>
    <n v="18"/>
    <x v="0"/>
    <n v="1.3"/>
    <x v="0"/>
    <n v="4.5"/>
    <n v="2.2999999999999998"/>
    <n v="2.2799999999999998"/>
    <n v="1"/>
    <s v="low"/>
    <n v="2"/>
    <n v="7"/>
    <n v="8"/>
    <n v="0"/>
    <x v="2"/>
  </r>
  <r>
    <n v="15"/>
    <x v="0"/>
    <n v="6.2"/>
    <x v="2"/>
    <n v="6.4"/>
    <n v="1.4"/>
    <n v="3.34"/>
    <n v="0.9"/>
    <s v="high"/>
    <n v="8"/>
    <n v="9"/>
    <n v="9"/>
    <n v="0"/>
    <x v="3"/>
  </r>
  <r>
    <n v="15"/>
    <x v="0"/>
    <n v="3.6"/>
    <x v="0"/>
    <n v="5.5"/>
    <n v="1.2"/>
    <n v="2.4900000000000002"/>
    <n v="1.9"/>
    <s v="low"/>
    <n v="1"/>
    <n v="4"/>
    <n v="9"/>
    <n v="0"/>
    <x v="3"/>
  </r>
  <r>
    <n v="18"/>
    <x v="1"/>
    <n v="6.5"/>
    <x v="2"/>
    <n v="6.7"/>
    <n v="2.5"/>
    <n v="2.98"/>
    <n v="0.1"/>
    <s v="high"/>
    <n v="9"/>
    <n v="7"/>
    <n v="7"/>
    <n v="0"/>
    <x v="2"/>
  </r>
  <r>
    <n v="17"/>
    <x v="1"/>
    <n v="5.3"/>
    <x v="0"/>
    <n v="6.6"/>
    <n v="0.6"/>
    <n v="3.04"/>
    <n v="0.1"/>
    <s v="high"/>
    <n v="3"/>
    <n v="7"/>
    <n v="1"/>
    <n v="0"/>
    <x v="2"/>
  </r>
  <r>
    <n v="16"/>
    <x v="0"/>
    <n v="4.5999999999999996"/>
    <x v="2"/>
    <n v="5.3"/>
    <n v="1.3"/>
    <n v="3.76"/>
    <n v="0.5"/>
    <s v="medium"/>
    <n v="3"/>
    <n v="8"/>
    <n v="8"/>
    <n v="0"/>
    <x v="3"/>
  </r>
  <r>
    <n v="18"/>
    <x v="0"/>
    <n v="7.7"/>
    <x v="2"/>
    <n v="6.6"/>
    <n v="1.6"/>
    <n v="4"/>
    <n v="1.9"/>
    <s v="high"/>
    <n v="3"/>
    <n v="3"/>
    <n v="9"/>
    <n v="0"/>
    <x v="2"/>
  </r>
  <r>
    <n v="19"/>
    <x v="0"/>
    <n v="7.1"/>
    <x v="1"/>
    <n v="8.4"/>
    <n v="1.8"/>
    <n v="2.93"/>
    <n v="1.3"/>
    <s v="medium"/>
    <n v="1"/>
    <n v="6"/>
    <n v="8"/>
    <n v="0"/>
    <x v="1"/>
  </r>
  <r>
    <n v="16"/>
    <x v="0"/>
    <n v="3.9"/>
    <x v="1"/>
    <n v="7.5"/>
    <n v="2.1"/>
    <n v="3.24"/>
    <n v="0.9"/>
    <s v="low"/>
    <n v="4"/>
    <n v="3"/>
    <n v="2"/>
    <n v="0"/>
    <x v="3"/>
  </r>
  <r>
    <n v="19"/>
    <x v="1"/>
    <n v="7.5"/>
    <x v="1"/>
    <n v="8.6"/>
    <n v="0.9"/>
    <n v="2.25"/>
    <n v="1.6"/>
    <s v="high"/>
    <n v="9"/>
    <n v="8"/>
    <n v="4"/>
    <n v="0"/>
    <x v="1"/>
  </r>
  <r>
    <n v="18"/>
    <x v="0"/>
    <n v="5.8"/>
    <x v="1"/>
    <n v="7.5"/>
    <n v="2.2000000000000002"/>
    <n v="3.65"/>
    <n v="1.4"/>
    <s v="medium"/>
    <n v="4"/>
    <n v="4"/>
    <n v="8"/>
    <n v="0"/>
    <x v="2"/>
  </r>
  <r>
    <n v="17"/>
    <x v="1"/>
    <n v="7.6"/>
    <x v="0"/>
    <n v="7.3"/>
    <n v="2.9"/>
    <n v="2.99"/>
    <n v="1.2"/>
    <s v="high"/>
    <n v="4"/>
    <n v="8"/>
    <n v="10"/>
    <n v="0"/>
    <x v="2"/>
  </r>
  <r>
    <n v="19"/>
    <x v="1"/>
    <n v="4.4000000000000004"/>
    <x v="0"/>
    <n v="7.4"/>
    <n v="2.8"/>
    <n v="3.28"/>
    <n v="1.5"/>
    <s v="medium"/>
    <n v="7"/>
    <n v="5"/>
    <n v="4"/>
    <n v="0"/>
    <x v="1"/>
  </r>
  <r>
    <n v="19"/>
    <x v="0"/>
    <n v="4.5999999999999996"/>
    <x v="2"/>
    <n v="4.5999999999999996"/>
    <n v="2.5"/>
    <n v="2.4"/>
    <n v="1"/>
    <s v="high"/>
    <n v="10"/>
    <n v="10"/>
    <n v="8"/>
    <n v="0"/>
    <x v="1"/>
  </r>
  <r>
    <n v="18"/>
    <x v="1"/>
    <n v="7"/>
    <x v="2"/>
    <n v="8.9"/>
    <n v="0.7"/>
    <n v="2.79"/>
    <n v="0.4"/>
    <s v="medium"/>
    <n v="2"/>
    <n v="10"/>
    <n v="8"/>
    <n v="0"/>
    <x v="2"/>
  </r>
  <r>
    <n v="16"/>
    <x v="1"/>
    <n v="3.6"/>
    <x v="1"/>
    <n v="8.8000000000000007"/>
    <n v="1.2"/>
    <n v="2.3199999999999998"/>
    <n v="0.5"/>
    <s v="low"/>
    <n v="2"/>
    <n v="4"/>
    <n v="5"/>
    <n v="0"/>
    <x v="3"/>
  </r>
  <r>
    <n v="15"/>
    <x v="1"/>
    <n v="3"/>
    <x v="1"/>
    <n v="6.6"/>
    <n v="0.9"/>
    <n v="2.69"/>
    <n v="1.8"/>
    <s v="medium"/>
    <n v="1"/>
    <n v="2"/>
    <n v="2"/>
    <n v="0"/>
    <x v="3"/>
  </r>
  <r>
    <n v="19"/>
    <x v="1"/>
    <n v="7.2"/>
    <x v="0"/>
    <n v="6.4"/>
    <n v="2.9"/>
    <n v="3.82"/>
    <n v="1"/>
    <s v="medium"/>
    <n v="5"/>
    <n v="4"/>
    <n v="5"/>
    <n v="0"/>
    <x v="1"/>
  </r>
  <r>
    <n v="15"/>
    <x v="1"/>
    <n v="5.6"/>
    <x v="2"/>
    <n v="5.9"/>
    <n v="2"/>
    <n v="2.97"/>
    <n v="0.6"/>
    <s v="low"/>
    <n v="9"/>
    <n v="3"/>
    <n v="3"/>
    <n v="0"/>
    <x v="3"/>
  </r>
  <r>
    <n v="14"/>
    <x v="1"/>
    <n v="2"/>
    <x v="0"/>
    <n v="4.7"/>
    <n v="1.1000000000000001"/>
    <n v="2.5099999999999998"/>
    <n v="0"/>
    <s v="high"/>
    <n v="2"/>
    <n v="9"/>
    <n v="4"/>
    <n v="0"/>
    <x v="0"/>
  </r>
  <r>
    <n v="14"/>
    <x v="1"/>
    <n v="4.4000000000000004"/>
    <x v="1"/>
    <n v="5.0999999999999996"/>
    <n v="2.8"/>
    <n v="2.2200000000000002"/>
    <n v="0.5"/>
    <s v="high"/>
    <n v="5"/>
    <n v="4"/>
    <n v="1"/>
    <n v="0"/>
    <x v="0"/>
  </r>
  <r>
    <n v="13"/>
    <x v="0"/>
    <n v="3.5"/>
    <x v="1"/>
    <n v="5.8"/>
    <n v="1.2"/>
    <n v="2.44"/>
    <n v="1.5"/>
    <s v="medium"/>
    <n v="4"/>
    <n v="1"/>
    <n v="8"/>
    <n v="0"/>
    <x v="0"/>
  </r>
  <r>
    <n v="13"/>
    <x v="0"/>
    <n v="6.5"/>
    <x v="0"/>
    <n v="6.5"/>
    <n v="1.5"/>
    <n v="2.0499999999999998"/>
    <n v="0.5"/>
    <s v="low"/>
    <n v="3"/>
    <n v="9"/>
    <n v="4"/>
    <n v="0"/>
    <x v="0"/>
  </r>
  <r>
    <n v="14"/>
    <x v="0"/>
    <n v="4.4000000000000004"/>
    <x v="0"/>
    <n v="8.8000000000000007"/>
    <n v="2.2999999999999998"/>
    <n v="2.73"/>
    <n v="0.3"/>
    <s v="medium"/>
    <n v="9"/>
    <n v="2"/>
    <n v="2"/>
    <n v="0"/>
    <x v="0"/>
  </r>
  <r>
    <n v="17"/>
    <x v="1"/>
    <n v="3.1"/>
    <x v="1"/>
    <n v="4.2"/>
    <n v="0.8"/>
    <n v="2.2799999999999998"/>
    <n v="1.6"/>
    <s v="medium"/>
    <n v="4"/>
    <n v="9"/>
    <n v="6"/>
    <n v="0"/>
    <x v="2"/>
  </r>
  <r>
    <n v="15"/>
    <x v="0"/>
    <n v="7.8"/>
    <x v="2"/>
    <n v="4.2"/>
    <n v="2.1"/>
    <n v="3.42"/>
    <n v="0"/>
    <s v="low"/>
    <n v="10"/>
    <n v="7"/>
    <n v="9"/>
    <n v="1"/>
    <x v="3"/>
  </r>
  <r>
    <n v="19"/>
    <x v="1"/>
    <n v="2.1"/>
    <x v="2"/>
    <n v="4.4000000000000004"/>
    <n v="2.2000000000000002"/>
    <n v="2.4700000000000002"/>
    <n v="0.7"/>
    <s v="high"/>
    <n v="9"/>
    <n v="5"/>
    <n v="6"/>
    <n v="0"/>
    <x v="1"/>
  </r>
  <r>
    <n v="14"/>
    <x v="1"/>
    <n v="5.5"/>
    <x v="2"/>
    <n v="5.7"/>
    <n v="2.2999999999999998"/>
    <n v="3.05"/>
    <n v="1.3"/>
    <s v="medium"/>
    <n v="7"/>
    <n v="8"/>
    <n v="5"/>
    <n v="1"/>
    <x v="0"/>
  </r>
  <r>
    <n v="15"/>
    <x v="1"/>
    <n v="5.7"/>
    <x v="0"/>
    <n v="7.2"/>
    <n v="2.4"/>
    <n v="2.1800000000000002"/>
    <n v="1.6"/>
    <s v="medium"/>
    <n v="5"/>
    <n v="1"/>
    <n v="7"/>
    <n v="0"/>
    <x v="3"/>
  </r>
  <r>
    <n v="15"/>
    <x v="1"/>
    <n v="5"/>
    <x v="1"/>
    <n v="6.3"/>
    <n v="1.5"/>
    <n v="2.67"/>
    <n v="1.1000000000000001"/>
    <s v="high"/>
    <n v="6"/>
    <n v="2"/>
    <n v="5"/>
    <n v="0"/>
    <x v="3"/>
  </r>
  <r>
    <n v="16"/>
    <x v="1"/>
    <n v="7.5"/>
    <x v="2"/>
    <n v="4"/>
    <n v="0.5"/>
    <n v="3.72"/>
    <n v="1.1000000000000001"/>
    <s v="medium"/>
    <n v="4"/>
    <n v="5"/>
    <n v="7"/>
    <n v="0"/>
    <x v="3"/>
  </r>
  <r>
    <n v="17"/>
    <x v="0"/>
    <n v="2.2000000000000002"/>
    <x v="1"/>
    <n v="7.1"/>
    <n v="1.1000000000000001"/>
    <n v="2.5"/>
    <n v="1.5"/>
    <s v="low"/>
    <n v="2"/>
    <n v="1"/>
    <n v="2"/>
    <n v="0"/>
    <x v="2"/>
  </r>
  <r>
    <n v="15"/>
    <x v="1"/>
    <n v="7.3"/>
    <x v="0"/>
    <n v="4.0999999999999996"/>
    <n v="2.1"/>
    <n v="2.87"/>
    <n v="0.4"/>
    <s v="low"/>
    <n v="10"/>
    <n v="10"/>
    <n v="1"/>
    <n v="1"/>
    <x v="3"/>
  </r>
  <r>
    <n v="17"/>
    <x v="0"/>
    <n v="2.7"/>
    <x v="0"/>
    <n v="7.5"/>
    <n v="1.5"/>
    <n v="3.23"/>
    <n v="1.4"/>
    <s v="low"/>
    <n v="5"/>
    <n v="7"/>
    <n v="3"/>
    <n v="0"/>
    <x v="2"/>
  </r>
  <r>
    <n v="18"/>
    <x v="0"/>
    <n v="1.6"/>
    <x v="0"/>
    <n v="8.6"/>
    <n v="2.6"/>
    <n v="3.53"/>
    <n v="0.1"/>
    <s v="medium"/>
    <n v="8"/>
    <n v="8"/>
    <n v="10"/>
    <n v="0"/>
    <x v="2"/>
  </r>
  <r>
    <n v="14"/>
    <x v="0"/>
    <n v="4"/>
    <x v="1"/>
    <n v="4.9000000000000004"/>
    <n v="2.7"/>
    <n v="2.2999999999999998"/>
    <n v="0.5"/>
    <s v="high"/>
    <n v="7"/>
    <n v="8"/>
    <n v="6"/>
    <n v="0"/>
    <x v="0"/>
  </r>
  <r>
    <n v="18"/>
    <x v="1"/>
    <n v="6.3"/>
    <x v="2"/>
    <n v="4.7"/>
    <n v="2.4"/>
    <n v="2.2999999999999998"/>
    <n v="0.9"/>
    <s v="medium"/>
    <n v="6"/>
    <n v="1"/>
    <n v="6"/>
    <n v="0"/>
    <x v="2"/>
  </r>
  <r>
    <n v="16"/>
    <x v="1"/>
    <n v="6.8"/>
    <x v="1"/>
    <n v="7.1"/>
    <n v="2.9"/>
    <n v="3.26"/>
    <n v="0.6"/>
    <s v="low"/>
    <n v="6"/>
    <n v="10"/>
    <n v="4"/>
    <n v="0"/>
    <x v="3"/>
  </r>
  <r>
    <n v="18"/>
    <x v="1"/>
    <n v="6.6"/>
    <x v="2"/>
    <n v="8.1"/>
    <n v="2"/>
    <n v="3.59"/>
    <n v="1.6"/>
    <s v="low"/>
    <n v="9"/>
    <n v="4"/>
    <n v="3"/>
    <n v="0"/>
    <x v="2"/>
  </r>
  <r>
    <n v="13"/>
    <x v="0"/>
    <n v="4"/>
    <x v="0"/>
    <n v="4.2"/>
    <n v="0.9"/>
    <n v="2.75"/>
    <n v="1"/>
    <s v="high"/>
    <n v="5"/>
    <n v="4"/>
    <n v="8"/>
    <n v="0"/>
    <x v="0"/>
  </r>
  <r>
    <n v="13"/>
    <x v="0"/>
    <n v="1.6"/>
    <x v="1"/>
    <n v="5"/>
    <n v="2.7"/>
    <n v="2.31"/>
    <n v="1.9"/>
    <s v="low"/>
    <n v="8"/>
    <n v="9"/>
    <n v="5"/>
    <n v="0"/>
    <x v="0"/>
  </r>
  <r>
    <n v="18"/>
    <x v="0"/>
    <n v="5.3"/>
    <x v="2"/>
    <n v="8.1999999999999993"/>
    <n v="1.9"/>
    <n v="3.87"/>
    <n v="1.9"/>
    <s v="low"/>
    <n v="2"/>
    <n v="9"/>
    <n v="8"/>
    <n v="0"/>
    <x v="2"/>
  </r>
  <r>
    <n v="19"/>
    <x v="1"/>
    <n v="7.4"/>
    <x v="2"/>
    <n v="4.4000000000000004"/>
    <n v="1.4"/>
    <n v="3.78"/>
    <n v="1.1000000000000001"/>
    <s v="low"/>
    <n v="9"/>
    <n v="7"/>
    <n v="5"/>
    <n v="1"/>
    <x v="1"/>
  </r>
  <r>
    <n v="18"/>
    <x v="1"/>
    <n v="2.2999999999999998"/>
    <x v="0"/>
    <n v="8.6999999999999993"/>
    <n v="0.6"/>
    <n v="2.76"/>
    <n v="1.9"/>
    <s v="high"/>
    <n v="4"/>
    <n v="8"/>
    <n v="7"/>
    <n v="0"/>
    <x v="2"/>
  </r>
  <r>
    <n v="16"/>
    <x v="0"/>
    <n v="7.6"/>
    <x v="2"/>
    <n v="6.1"/>
    <n v="0.8"/>
    <n v="3.09"/>
    <n v="1.3"/>
    <s v="low"/>
    <n v="8"/>
    <n v="4"/>
    <n v="4"/>
    <n v="0"/>
    <x v="3"/>
  </r>
  <r>
    <n v="16"/>
    <x v="1"/>
    <n v="7.6"/>
    <x v="1"/>
    <n v="7.6"/>
    <n v="2.4"/>
    <n v="2.2400000000000002"/>
    <n v="1.1000000000000001"/>
    <s v="medium"/>
    <n v="1"/>
    <n v="5"/>
    <n v="5"/>
    <n v="0"/>
    <x v="3"/>
  </r>
  <r>
    <n v="17"/>
    <x v="1"/>
    <n v="3.4"/>
    <x v="2"/>
    <n v="4.7"/>
    <n v="0.5"/>
    <n v="2.91"/>
    <n v="2"/>
    <s v="high"/>
    <n v="2"/>
    <n v="8"/>
    <n v="1"/>
    <n v="0"/>
    <x v="2"/>
  </r>
  <r>
    <n v="18"/>
    <x v="1"/>
    <n v="2.2999999999999998"/>
    <x v="0"/>
    <n v="4.2"/>
    <n v="0.9"/>
    <n v="3.84"/>
    <n v="1.3"/>
    <s v="high"/>
    <n v="6"/>
    <n v="6"/>
    <n v="10"/>
    <n v="0"/>
    <x v="2"/>
  </r>
  <r>
    <n v="18"/>
    <x v="0"/>
    <n v="5"/>
    <x v="0"/>
    <n v="4.3"/>
    <n v="1.1000000000000001"/>
    <n v="2.2200000000000002"/>
    <n v="0.1"/>
    <s v="high"/>
    <n v="7"/>
    <n v="2"/>
    <n v="2"/>
    <n v="0"/>
    <x v="2"/>
  </r>
  <r>
    <n v="15"/>
    <x v="0"/>
    <n v="3.8"/>
    <x v="1"/>
    <n v="7.1"/>
    <n v="0.5"/>
    <n v="3.08"/>
    <n v="0.2"/>
    <s v="medium"/>
    <n v="2"/>
    <n v="9"/>
    <n v="7"/>
    <n v="0"/>
    <x v="3"/>
  </r>
  <r>
    <n v="16"/>
    <x v="0"/>
    <n v="3.7"/>
    <x v="0"/>
    <n v="7.6"/>
    <n v="1.2"/>
    <n v="3.2"/>
    <n v="1"/>
    <s v="medium"/>
    <n v="4"/>
    <n v="8"/>
    <n v="6"/>
    <n v="0"/>
    <x v="3"/>
  </r>
  <r>
    <n v="13"/>
    <x v="0"/>
    <n v="1.4"/>
    <x v="2"/>
    <n v="8.6"/>
    <n v="2.4"/>
    <n v="3.31"/>
    <n v="0.7"/>
    <s v="low"/>
    <n v="2"/>
    <n v="6"/>
    <n v="2"/>
    <n v="0"/>
    <x v="0"/>
  </r>
  <r>
    <n v="18"/>
    <x v="0"/>
    <n v="1.8"/>
    <x v="2"/>
    <n v="4.9000000000000004"/>
    <n v="2.7"/>
    <n v="2.12"/>
    <n v="0.2"/>
    <s v="low"/>
    <n v="1"/>
    <n v="3"/>
    <n v="8"/>
    <n v="0"/>
    <x v="2"/>
  </r>
  <r>
    <n v="19"/>
    <x v="0"/>
    <n v="1.5"/>
    <x v="1"/>
    <n v="5.8"/>
    <n v="1.1000000000000001"/>
    <n v="3.29"/>
    <n v="1.7"/>
    <s v="high"/>
    <n v="6"/>
    <n v="4"/>
    <n v="2"/>
    <n v="0"/>
    <x v="1"/>
  </r>
  <r>
    <n v="18"/>
    <x v="1"/>
    <n v="5.5"/>
    <x v="2"/>
    <n v="5.5"/>
    <n v="1.8"/>
    <n v="2.2400000000000002"/>
    <n v="0"/>
    <s v="high"/>
    <n v="3"/>
    <n v="4"/>
    <n v="10"/>
    <n v="0"/>
    <x v="2"/>
  </r>
  <r>
    <n v="15"/>
    <x v="0"/>
    <n v="4.9000000000000004"/>
    <x v="2"/>
    <n v="5.2"/>
    <n v="0.7"/>
    <n v="2.5499999999999998"/>
    <n v="0.1"/>
    <s v="low"/>
    <n v="10"/>
    <n v="6"/>
    <n v="4"/>
    <n v="0"/>
    <x v="3"/>
  </r>
  <r>
    <n v="14"/>
    <x v="1"/>
    <n v="7.2"/>
    <x v="2"/>
    <n v="7"/>
    <n v="2.2999999999999998"/>
    <n v="3.74"/>
    <n v="0.7"/>
    <s v="low"/>
    <n v="8"/>
    <n v="4"/>
    <n v="7"/>
    <n v="0"/>
    <x v="0"/>
  </r>
  <r>
    <n v="16"/>
    <x v="1"/>
    <n v="6.8"/>
    <x v="0"/>
    <n v="7.2"/>
    <n v="1.1000000000000001"/>
    <n v="2.29"/>
    <n v="1.9"/>
    <s v="low"/>
    <n v="8"/>
    <n v="5"/>
    <n v="9"/>
    <n v="0"/>
    <x v="3"/>
  </r>
  <r>
    <n v="13"/>
    <x v="1"/>
    <n v="2.2000000000000002"/>
    <x v="2"/>
    <n v="7.7"/>
    <n v="2.1"/>
    <n v="2.33"/>
    <n v="1.7"/>
    <s v="low"/>
    <n v="2"/>
    <n v="8"/>
    <n v="7"/>
    <n v="0"/>
    <x v="0"/>
  </r>
  <r>
    <n v="16"/>
    <x v="1"/>
    <n v="5.9"/>
    <x v="1"/>
    <n v="7"/>
    <n v="0.8"/>
    <n v="2.29"/>
    <n v="1.6"/>
    <s v="low"/>
    <n v="6"/>
    <n v="8"/>
    <n v="1"/>
    <n v="0"/>
    <x v="3"/>
  </r>
  <r>
    <n v="15"/>
    <x v="1"/>
    <n v="2.2000000000000002"/>
    <x v="0"/>
    <n v="7.5"/>
    <n v="1.4"/>
    <n v="3.19"/>
    <n v="1.8"/>
    <s v="low"/>
    <n v="6"/>
    <n v="1"/>
    <n v="7"/>
    <n v="0"/>
    <x v="3"/>
  </r>
  <r>
    <n v="19"/>
    <x v="1"/>
    <n v="2.4"/>
    <x v="0"/>
    <n v="4.2"/>
    <n v="1.2"/>
    <n v="3.87"/>
    <n v="1.3"/>
    <s v="low"/>
    <n v="1"/>
    <n v="9"/>
    <n v="5"/>
    <n v="0"/>
    <x v="1"/>
  </r>
  <r>
    <n v="15"/>
    <x v="0"/>
    <n v="4.0999999999999996"/>
    <x v="0"/>
    <n v="7.6"/>
    <n v="1"/>
    <n v="2.17"/>
    <n v="1.1000000000000001"/>
    <s v="low"/>
    <n v="4"/>
    <n v="5"/>
    <n v="1"/>
    <n v="0"/>
    <x v="3"/>
  </r>
  <r>
    <n v="18"/>
    <x v="1"/>
    <n v="4.5"/>
    <x v="0"/>
    <n v="7"/>
    <n v="2.7"/>
    <n v="2.89"/>
    <n v="1.8"/>
    <s v="high"/>
    <n v="1"/>
    <n v="1"/>
    <n v="2"/>
    <n v="0"/>
    <x v="2"/>
  </r>
  <r>
    <n v="14"/>
    <x v="1"/>
    <n v="4.5999999999999996"/>
    <x v="0"/>
    <n v="5.9"/>
    <n v="1.4"/>
    <n v="2.15"/>
    <n v="0.3"/>
    <s v="high"/>
    <n v="3"/>
    <n v="10"/>
    <n v="2"/>
    <n v="0"/>
    <x v="0"/>
  </r>
  <r>
    <n v="17"/>
    <x v="1"/>
    <n v="4.5"/>
    <x v="2"/>
    <n v="6.1"/>
    <n v="2.8"/>
    <n v="3.38"/>
    <n v="1.2"/>
    <s v="low"/>
    <n v="10"/>
    <n v="4"/>
    <n v="2"/>
    <n v="0"/>
    <x v="2"/>
  </r>
  <r>
    <n v="13"/>
    <x v="0"/>
    <n v="5"/>
    <x v="0"/>
    <n v="5.2"/>
    <n v="2.6"/>
    <n v="2.04"/>
    <n v="1.7"/>
    <s v="medium"/>
    <n v="4"/>
    <n v="4"/>
    <n v="5"/>
    <n v="0"/>
    <x v="0"/>
  </r>
  <r>
    <n v="19"/>
    <x v="1"/>
    <n v="4.0999999999999996"/>
    <x v="2"/>
    <n v="6.4"/>
    <n v="1.4"/>
    <n v="2.2599999999999998"/>
    <n v="1.6"/>
    <s v="high"/>
    <n v="2"/>
    <n v="3"/>
    <n v="6"/>
    <n v="0"/>
    <x v="1"/>
  </r>
  <r>
    <n v="18"/>
    <x v="0"/>
    <n v="7.5"/>
    <x v="1"/>
    <n v="7.6"/>
    <n v="1.8"/>
    <n v="3.19"/>
    <n v="1.7"/>
    <s v="high"/>
    <n v="2"/>
    <n v="6"/>
    <n v="6"/>
    <n v="0"/>
    <x v="2"/>
  </r>
  <r>
    <n v="18"/>
    <x v="0"/>
    <n v="4.2"/>
    <x v="0"/>
    <n v="5.5"/>
    <n v="1.8"/>
    <n v="3.83"/>
    <n v="1.9"/>
    <s v="low"/>
    <n v="3"/>
    <n v="8"/>
    <n v="8"/>
    <n v="0"/>
    <x v="2"/>
  </r>
  <r>
    <n v="14"/>
    <x v="1"/>
    <n v="7.2"/>
    <x v="2"/>
    <n v="5"/>
    <n v="2.9"/>
    <n v="3.76"/>
    <n v="0.4"/>
    <s v="medium"/>
    <n v="7"/>
    <n v="4"/>
    <n v="2"/>
    <n v="0"/>
    <x v="0"/>
  </r>
  <r>
    <n v="13"/>
    <x v="0"/>
    <n v="4.8"/>
    <x v="0"/>
    <n v="6"/>
    <n v="0.6"/>
    <n v="2.41"/>
    <n v="0"/>
    <s v="high"/>
    <n v="3"/>
    <n v="6"/>
    <n v="9"/>
    <n v="0"/>
    <x v="0"/>
  </r>
  <r>
    <n v="17"/>
    <x v="1"/>
    <n v="7.3"/>
    <x v="0"/>
    <n v="6.7"/>
    <n v="1"/>
    <n v="3.41"/>
    <n v="1.7"/>
    <s v="medium"/>
    <n v="6"/>
    <n v="5"/>
    <n v="2"/>
    <n v="0"/>
    <x v="2"/>
  </r>
  <r>
    <n v="13"/>
    <x v="0"/>
    <n v="3.9"/>
    <x v="2"/>
    <n v="4.5"/>
    <n v="1.6"/>
    <n v="2.02"/>
    <n v="0.6"/>
    <s v="high"/>
    <n v="6"/>
    <n v="6"/>
    <n v="5"/>
    <n v="0"/>
    <x v="0"/>
  </r>
  <r>
    <n v="15"/>
    <x v="1"/>
    <n v="5.5"/>
    <x v="2"/>
    <n v="4"/>
    <n v="2.4"/>
    <n v="3.01"/>
    <n v="0.9"/>
    <s v="low"/>
    <n v="10"/>
    <n v="3"/>
    <n v="2"/>
    <n v="0"/>
    <x v="3"/>
  </r>
  <r>
    <n v="15"/>
    <x v="0"/>
    <n v="7.5"/>
    <x v="2"/>
    <n v="6.3"/>
    <n v="2.8"/>
    <n v="3.04"/>
    <n v="1.8"/>
    <s v="low"/>
    <n v="1"/>
    <n v="5"/>
    <n v="8"/>
    <n v="0"/>
    <x v="3"/>
  </r>
  <r>
    <n v="17"/>
    <x v="0"/>
    <n v="1.8"/>
    <x v="0"/>
    <n v="6.9"/>
    <n v="2.7"/>
    <n v="2.5299999999999998"/>
    <n v="1.7"/>
    <s v="high"/>
    <n v="2"/>
    <n v="2"/>
    <n v="7"/>
    <n v="0"/>
    <x v="2"/>
  </r>
  <r>
    <n v="16"/>
    <x v="0"/>
    <n v="2.6"/>
    <x v="0"/>
    <n v="5.0999999999999996"/>
    <n v="0.9"/>
    <n v="2.57"/>
    <n v="1.4"/>
    <s v="medium"/>
    <n v="8"/>
    <n v="5"/>
    <n v="8"/>
    <n v="0"/>
    <x v="3"/>
  </r>
  <r>
    <n v="17"/>
    <x v="1"/>
    <n v="5.5"/>
    <x v="2"/>
    <n v="6"/>
    <n v="2.8"/>
    <n v="3.4"/>
    <n v="0"/>
    <s v="medium"/>
    <n v="2"/>
    <n v="3"/>
    <n v="8"/>
    <n v="0"/>
    <x v="2"/>
  </r>
  <r>
    <n v="15"/>
    <x v="1"/>
    <n v="3.6"/>
    <x v="1"/>
    <n v="7.1"/>
    <n v="0.9"/>
    <n v="2.84"/>
    <n v="0.3"/>
    <s v="low"/>
    <n v="1"/>
    <n v="9"/>
    <n v="4"/>
    <n v="0"/>
    <x v="3"/>
  </r>
  <r>
    <n v="19"/>
    <x v="1"/>
    <n v="7.6"/>
    <x v="2"/>
    <n v="5.4"/>
    <n v="1.9"/>
    <n v="2.56"/>
    <n v="1.4"/>
    <s v="low"/>
    <n v="2"/>
    <n v="7"/>
    <n v="9"/>
    <n v="0"/>
    <x v="1"/>
  </r>
  <r>
    <n v="13"/>
    <x v="0"/>
    <n v="7.9"/>
    <x v="0"/>
    <n v="7.1"/>
    <n v="0.7"/>
    <n v="2.8"/>
    <n v="0.3"/>
    <s v="medium"/>
    <n v="6"/>
    <n v="8"/>
    <n v="8"/>
    <n v="0"/>
    <x v="0"/>
  </r>
  <r>
    <n v="15"/>
    <x v="0"/>
    <n v="2.6"/>
    <x v="2"/>
    <n v="6.8"/>
    <n v="1.7"/>
    <n v="2.06"/>
    <n v="0.4"/>
    <s v="medium"/>
    <n v="8"/>
    <n v="6"/>
    <n v="6"/>
    <n v="0"/>
    <x v="3"/>
  </r>
  <r>
    <n v="19"/>
    <x v="0"/>
    <n v="5.7"/>
    <x v="1"/>
    <n v="6.4"/>
    <n v="0.9"/>
    <n v="3.57"/>
    <n v="1.5"/>
    <s v="high"/>
    <n v="3"/>
    <n v="7"/>
    <n v="2"/>
    <n v="0"/>
    <x v="1"/>
  </r>
  <r>
    <n v="13"/>
    <x v="1"/>
    <n v="7.1"/>
    <x v="0"/>
    <n v="5.7"/>
    <n v="1.2"/>
    <n v="3.83"/>
    <n v="2"/>
    <s v="medium"/>
    <n v="2"/>
    <n v="8"/>
    <n v="7"/>
    <n v="0"/>
    <x v="0"/>
  </r>
  <r>
    <n v="13"/>
    <x v="1"/>
    <n v="1.3"/>
    <x v="1"/>
    <n v="8.6999999999999993"/>
    <n v="0.9"/>
    <n v="4"/>
    <n v="0.1"/>
    <s v="low"/>
    <n v="10"/>
    <n v="9"/>
    <n v="9"/>
    <n v="0"/>
    <x v="0"/>
  </r>
  <r>
    <n v="13"/>
    <x v="1"/>
    <n v="1.1000000000000001"/>
    <x v="2"/>
    <n v="6.7"/>
    <n v="2"/>
    <n v="3.63"/>
    <n v="0.2"/>
    <s v="medium"/>
    <n v="3"/>
    <n v="10"/>
    <n v="5"/>
    <n v="0"/>
    <x v="0"/>
  </r>
  <r>
    <n v="13"/>
    <x v="1"/>
    <n v="3.3"/>
    <x v="1"/>
    <n v="9"/>
    <n v="0.7"/>
    <n v="2.4900000000000002"/>
    <n v="0.6"/>
    <s v="medium"/>
    <n v="3"/>
    <n v="6"/>
    <n v="4"/>
    <n v="0"/>
    <x v="0"/>
  </r>
  <r>
    <n v="16"/>
    <x v="0"/>
    <n v="7.4"/>
    <x v="2"/>
    <n v="7.2"/>
    <n v="1.8"/>
    <n v="2.11"/>
    <n v="1.4"/>
    <s v="medium"/>
    <n v="3"/>
    <n v="7"/>
    <n v="3"/>
    <n v="0"/>
    <x v="3"/>
  </r>
  <r>
    <n v="13"/>
    <x v="0"/>
    <n v="5.8"/>
    <x v="1"/>
    <n v="8.3000000000000007"/>
    <n v="2.8"/>
    <n v="2.63"/>
    <n v="0.6"/>
    <s v="high"/>
    <n v="5"/>
    <n v="3"/>
    <n v="7"/>
    <n v="0"/>
    <x v="0"/>
  </r>
  <r>
    <n v="18"/>
    <x v="1"/>
    <n v="4.5999999999999996"/>
    <x v="1"/>
    <n v="6.8"/>
    <n v="1.5"/>
    <n v="2.4"/>
    <n v="1.4"/>
    <s v="medium"/>
    <n v="5"/>
    <n v="10"/>
    <n v="2"/>
    <n v="0"/>
    <x v="2"/>
  </r>
  <r>
    <n v="18"/>
    <x v="1"/>
    <n v="2.5"/>
    <x v="1"/>
    <n v="7.1"/>
    <n v="1.6"/>
    <n v="3.97"/>
    <n v="0.7"/>
    <s v="medium"/>
    <n v="10"/>
    <n v="7"/>
    <n v="3"/>
    <n v="0"/>
    <x v="2"/>
  </r>
  <r>
    <n v="18"/>
    <x v="0"/>
    <n v="4"/>
    <x v="2"/>
    <n v="8"/>
    <n v="2"/>
    <n v="3.04"/>
    <n v="1.4"/>
    <s v="high"/>
    <n v="3"/>
    <n v="1"/>
    <n v="8"/>
    <n v="0"/>
    <x v="2"/>
  </r>
  <r>
    <n v="17"/>
    <x v="1"/>
    <n v="6.6"/>
    <x v="2"/>
    <n v="8"/>
    <n v="1.9"/>
    <n v="2.86"/>
    <n v="0.4"/>
    <s v="medium"/>
    <n v="4"/>
    <n v="8"/>
    <n v="5"/>
    <n v="0"/>
    <x v="2"/>
  </r>
  <r>
    <n v="14"/>
    <x v="1"/>
    <n v="2.9"/>
    <x v="1"/>
    <n v="5.8"/>
    <n v="1.6"/>
    <n v="3.34"/>
    <n v="1.1000000000000001"/>
    <s v="medium"/>
    <n v="6"/>
    <n v="10"/>
    <n v="3"/>
    <n v="0"/>
    <x v="0"/>
  </r>
  <r>
    <n v="14"/>
    <x v="0"/>
    <n v="7.2"/>
    <x v="1"/>
    <n v="5.7"/>
    <n v="2.7"/>
    <n v="2.76"/>
    <n v="0.4"/>
    <s v="low"/>
    <n v="7"/>
    <n v="3"/>
    <n v="7"/>
    <n v="0"/>
    <x v="0"/>
  </r>
  <r>
    <n v="13"/>
    <x v="1"/>
    <n v="2.9"/>
    <x v="0"/>
    <n v="5.3"/>
    <n v="1"/>
    <n v="3.89"/>
    <n v="1.7"/>
    <s v="high"/>
    <n v="9"/>
    <n v="2"/>
    <n v="4"/>
    <n v="0"/>
    <x v="0"/>
  </r>
  <r>
    <n v="15"/>
    <x v="1"/>
    <n v="7.3"/>
    <x v="2"/>
    <n v="5.7"/>
    <n v="2.9"/>
    <n v="3.48"/>
    <n v="1.8"/>
    <s v="medium"/>
    <n v="2"/>
    <n v="7"/>
    <n v="8"/>
    <n v="0"/>
    <x v="3"/>
  </r>
  <r>
    <n v="16"/>
    <x v="1"/>
    <n v="3.7"/>
    <x v="1"/>
    <n v="9"/>
    <n v="1.5"/>
    <n v="3.37"/>
    <n v="1.9"/>
    <s v="low"/>
    <n v="4"/>
    <n v="3"/>
    <n v="1"/>
    <n v="0"/>
    <x v="3"/>
  </r>
  <r>
    <n v="16"/>
    <x v="0"/>
    <n v="7"/>
    <x v="0"/>
    <n v="4.8"/>
    <n v="1.7"/>
    <n v="2.9"/>
    <n v="0.3"/>
    <s v="low"/>
    <n v="4"/>
    <n v="1"/>
    <n v="8"/>
    <n v="0"/>
    <x v="3"/>
  </r>
  <r>
    <n v="15"/>
    <x v="0"/>
    <n v="4"/>
    <x v="1"/>
    <n v="8.4"/>
    <n v="2.2999999999999998"/>
    <n v="2.52"/>
    <n v="0.9"/>
    <s v="low"/>
    <n v="4"/>
    <n v="5"/>
    <n v="3"/>
    <n v="0"/>
    <x v="3"/>
  </r>
  <r>
    <n v="16"/>
    <x v="0"/>
    <n v="2.7"/>
    <x v="2"/>
    <n v="7.5"/>
    <n v="2.8"/>
    <n v="3.53"/>
    <n v="0.9"/>
    <s v="medium"/>
    <n v="3"/>
    <n v="1"/>
    <n v="5"/>
    <n v="0"/>
    <x v="3"/>
  </r>
  <r>
    <n v="15"/>
    <x v="0"/>
    <n v="7.2"/>
    <x v="2"/>
    <n v="5.7"/>
    <n v="0.7"/>
    <n v="3.89"/>
    <n v="1"/>
    <s v="medium"/>
    <n v="1"/>
    <n v="3"/>
    <n v="6"/>
    <n v="0"/>
    <x v="3"/>
  </r>
  <r>
    <n v="18"/>
    <x v="0"/>
    <n v="7.9"/>
    <x v="2"/>
    <n v="7"/>
    <n v="2.7"/>
    <n v="3.9"/>
    <n v="1"/>
    <s v="medium"/>
    <n v="1"/>
    <n v="2"/>
    <n v="10"/>
    <n v="0"/>
    <x v="2"/>
  </r>
  <r>
    <n v="14"/>
    <x v="1"/>
    <n v="5.0999999999999996"/>
    <x v="0"/>
    <n v="5.3"/>
    <n v="2.2999999999999998"/>
    <n v="2.31"/>
    <n v="0.2"/>
    <s v="high"/>
    <n v="3"/>
    <n v="3"/>
    <n v="6"/>
    <n v="0"/>
    <x v="0"/>
  </r>
  <r>
    <n v="15"/>
    <x v="1"/>
    <n v="6.4"/>
    <x v="2"/>
    <n v="7.7"/>
    <n v="0.7"/>
    <n v="3.86"/>
    <n v="1.5"/>
    <s v="high"/>
    <n v="10"/>
    <n v="2"/>
    <n v="7"/>
    <n v="0"/>
    <x v="3"/>
  </r>
  <r>
    <n v="16"/>
    <x v="1"/>
    <n v="4.4000000000000004"/>
    <x v="2"/>
    <n v="4.2"/>
    <n v="2"/>
    <n v="3.89"/>
    <n v="1.1000000000000001"/>
    <s v="medium"/>
    <n v="2"/>
    <n v="9"/>
    <n v="8"/>
    <n v="0"/>
    <x v="3"/>
  </r>
  <r>
    <n v="16"/>
    <x v="0"/>
    <n v="7"/>
    <x v="1"/>
    <n v="7.4"/>
    <n v="2.6"/>
    <n v="2.92"/>
    <n v="1"/>
    <s v="medium"/>
    <n v="10"/>
    <n v="6"/>
    <n v="3"/>
    <n v="0"/>
    <x v="3"/>
  </r>
  <r>
    <n v="17"/>
    <x v="1"/>
    <n v="7.8"/>
    <x v="1"/>
    <n v="5.7"/>
    <n v="1.2"/>
    <n v="3.72"/>
    <n v="1.2"/>
    <s v="high"/>
    <n v="10"/>
    <n v="2"/>
    <n v="6"/>
    <n v="0"/>
    <x v="2"/>
  </r>
  <r>
    <n v="14"/>
    <x v="1"/>
    <n v="5"/>
    <x v="0"/>
    <n v="6.2"/>
    <n v="1"/>
    <n v="2"/>
    <n v="1.5"/>
    <s v="low"/>
    <n v="5"/>
    <n v="6"/>
    <n v="1"/>
    <n v="0"/>
    <x v="0"/>
  </r>
  <r>
    <n v="17"/>
    <x v="0"/>
    <n v="6.6"/>
    <x v="1"/>
    <n v="5.3"/>
    <n v="1.1000000000000001"/>
    <n v="3.5"/>
    <n v="1.7"/>
    <s v="medium"/>
    <n v="1"/>
    <n v="10"/>
    <n v="7"/>
    <n v="0"/>
    <x v="2"/>
  </r>
  <r>
    <n v="18"/>
    <x v="0"/>
    <n v="2.6"/>
    <x v="2"/>
    <n v="8.6"/>
    <n v="2.7"/>
    <n v="3.28"/>
    <n v="0.8"/>
    <s v="high"/>
    <n v="5"/>
    <n v="4"/>
    <n v="6"/>
    <n v="0"/>
    <x v="2"/>
  </r>
  <r>
    <n v="13"/>
    <x v="1"/>
    <n v="5.8"/>
    <x v="0"/>
    <n v="4.4000000000000004"/>
    <n v="1.8"/>
    <n v="3.8"/>
    <n v="1"/>
    <s v="high"/>
    <n v="2"/>
    <n v="2"/>
    <n v="1"/>
    <n v="0"/>
    <x v="0"/>
  </r>
  <r>
    <n v="14"/>
    <x v="1"/>
    <n v="5.6"/>
    <x v="1"/>
    <n v="6.8"/>
    <n v="2.2999999999999998"/>
    <n v="2.66"/>
    <n v="1.1000000000000001"/>
    <s v="high"/>
    <n v="7"/>
    <n v="6"/>
    <n v="2"/>
    <n v="0"/>
    <x v="0"/>
  </r>
  <r>
    <n v="18"/>
    <x v="0"/>
    <n v="4.5999999999999996"/>
    <x v="2"/>
    <n v="4.3"/>
    <n v="2.9"/>
    <n v="2.95"/>
    <n v="0.6"/>
    <s v="medium"/>
    <n v="7"/>
    <n v="9"/>
    <n v="8"/>
    <n v="0"/>
    <x v="2"/>
  </r>
  <r>
    <n v="19"/>
    <x v="0"/>
    <n v="1.4"/>
    <x v="2"/>
    <n v="4.7"/>
    <n v="0.5"/>
    <n v="3.57"/>
    <n v="1.7"/>
    <s v="high"/>
    <n v="1"/>
    <n v="5"/>
    <n v="6"/>
    <n v="0"/>
    <x v="1"/>
  </r>
  <r>
    <n v="13"/>
    <x v="1"/>
    <n v="2.9"/>
    <x v="2"/>
    <n v="8.1999999999999993"/>
    <n v="2.2999999999999998"/>
    <n v="2.48"/>
    <n v="0.9"/>
    <s v="low"/>
    <n v="5"/>
    <n v="8"/>
    <n v="9"/>
    <n v="0"/>
    <x v="0"/>
  </r>
  <r>
    <n v="16"/>
    <x v="1"/>
    <n v="7.9"/>
    <x v="0"/>
    <n v="6.3"/>
    <n v="2.7"/>
    <n v="2.88"/>
    <n v="0.2"/>
    <s v="high"/>
    <n v="2"/>
    <n v="7"/>
    <n v="5"/>
    <n v="0"/>
    <x v="3"/>
  </r>
  <r>
    <n v="13"/>
    <x v="0"/>
    <n v="3.5"/>
    <x v="2"/>
    <n v="6.8"/>
    <n v="2.2999999999999998"/>
    <n v="2.2799999999999998"/>
    <n v="1"/>
    <s v="low"/>
    <n v="7"/>
    <n v="2"/>
    <n v="6"/>
    <n v="0"/>
    <x v="0"/>
  </r>
  <r>
    <n v="14"/>
    <x v="1"/>
    <n v="3.8"/>
    <x v="0"/>
    <n v="7.9"/>
    <n v="1.2"/>
    <n v="3.24"/>
    <n v="1.6"/>
    <s v="high"/>
    <n v="6"/>
    <n v="10"/>
    <n v="5"/>
    <n v="0"/>
    <x v="0"/>
  </r>
  <r>
    <n v="19"/>
    <x v="0"/>
    <n v="2.9"/>
    <x v="0"/>
    <n v="8.6999999999999993"/>
    <n v="0.9"/>
    <n v="2.99"/>
    <n v="0.8"/>
    <s v="medium"/>
    <n v="7"/>
    <n v="8"/>
    <n v="2"/>
    <n v="0"/>
    <x v="1"/>
  </r>
  <r>
    <n v="17"/>
    <x v="0"/>
    <n v="3.5"/>
    <x v="2"/>
    <n v="4.5999999999999996"/>
    <n v="0.7"/>
    <n v="3.9"/>
    <n v="0.6"/>
    <s v="high"/>
    <n v="7"/>
    <n v="3"/>
    <n v="1"/>
    <n v="0"/>
    <x v="2"/>
  </r>
  <r>
    <n v="16"/>
    <x v="0"/>
    <n v="4.8"/>
    <x v="0"/>
    <n v="8.6"/>
    <n v="1.8"/>
    <n v="2.44"/>
    <n v="1.7"/>
    <s v="high"/>
    <n v="8"/>
    <n v="7"/>
    <n v="3"/>
    <n v="0"/>
    <x v="3"/>
  </r>
  <r>
    <n v="13"/>
    <x v="0"/>
    <n v="5.8"/>
    <x v="1"/>
    <n v="7.2"/>
    <n v="1.1000000000000001"/>
    <n v="2.69"/>
    <n v="0.4"/>
    <s v="low"/>
    <n v="7"/>
    <n v="3"/>
    <n v="7"/>
    <n v="0"/>
    <x v="0"/>
  </r>
  <r>
    <n v="16"/>
    <x v="1"/>
    <n v="6.1"/>
    <x v="2"/>
    <n v="7.5"/>
    <n v="2.5"/>
    <n v="3.14"/>
    <n v="0.5"/>
    <s v="low"/>
    <n v="9"/>
    <n v="6"/>
    <n v="10"/>
    <n v="0"/>
    <x v="3"/>
  </r>
  <r>
    <n v="14"/>
    <x v="1"/>
    <n v="4.3"/>
    <x v="2"/>
    <n v="7.8"/>
    <n v="0.5"/>
    <n v="3.92"/>
    <n v="0.7"/>
    <s v="high"/>
    <n v="3"/>
    <n v="4"/>
    <n v="8"/>
    <n v="0"/>
    <x v="0"/>
  </r>
  <r>
    <n v="15"/>
    <x v="1"/>
    <n v="7.8"/>
    <x v="0"/>
    <n v="4.5999999999999996"/>
    <n v="3"/>
    <n v="2.44"/>
    <n v="1.4"/>
    <s v="medium"/>
    <n v="8"/>
    <n v="10"/>
    <n v="6"/>
    <n v="1"/>
    <x v="3"/>
  </r>
  <r>
    <n v="15"/>
    <x v="1"/>
    <n v="5.2"/>
    <x v="1"/>
    <n v="7.5"/>
    <n v="1.1000000000000001"/>
    <n v="3.61"/>
    <n v="0.1"/>
    <s v="low"/>
    <n v="4"/>
    <n v="6"/>
    <n v="7"/>
    <n v="0"/>
    <x v="3"/>
  </r>
  <r>
    <n v="17"/>
    <x v="0"/>
    <n v="3.5"/>
    <x v="0"/>
    <n v="4.3"/>
    <n v="2.2000000000000002"/>
    <n v="3.19"/>
    <n v="1"/>
    <s v="high"/>
    <n v="4"/>
    <n v="5"/>
    <n v="9"/>
    <n v="0"/>
    <x v="2"/>
  </r>
  <r>
    <n v="16"/>
    <x v="1"/>
    <n v="6.5"/>
    <x v="1"/>
    <n v="4.5999999999999996"/>
    <n v="1.8"/>
    <n v="2.2000000000000002"/>
    <n v="1.2"/>
    <s v="low"/>
    <n v="7"/>
    <n v="4"/>
    <n v="4"/>
    <n v="0"/>
    <x v="3"/>
  </r>
  <r>
    <n v="17"/>
    <x v="0"/>
    <n v="4.7"/>
    <x v="1"/>
    <n v="7.2"/>
    <n v="2.7"/>
    <n v="2.06"/>
    <n v="1.4"/>
    <s v="low"/>
    <n v="3"/>
    <n v="1"/>
    <n v="4"/>
    <n v="0"/>
    <x v="2"/>
  </r>
  <r>
    <n v="13"/>
    <x v="0"/>
    <n v="2.5"/>
    <x v="0"/>
    <n v="6.3"/>
    <n v="1.8"/>
    <n v="2.2000000000000002"/>
    <n v="0.1"/>
    <s v="high"/>
    <n v="9"/>
    <n v="3"/>
    <n v="9"/>
    <n v="0"/>
    <x v="0"/>
  </r>
  <r>
    <n v="19"/>
    <x v="1"/>
    <n v="5.5"/>
    <x v="1"/>
    <n v="7.4"/>
    <n v="2"/>
    <n v="2.8"/>
    <n v="1.8"/>
    <s v="high"/>
    <n v="9"/>
    <n v="8"/>
    <n v="10"/>
    <n v="0"/>
    <x v="1"/>
  </r>
  <r>
    <n v="15"/>
    <x v="1"/>
    <n v="3.5"/>
    <x v="0"/>
    <n v="8"/>
    <n v="1.9"/>
    <n v="3.45"/>
    <n v="1.5"/>
    <s v="high"/>
    <n v="10"/>
    <n v="4"/>
    <n v="1"/>
    <n v="0"/>
    <x v="3"/>
  </r>
  <r>
    <n v="14"/>
    <x v="1"/>
    <n v="4.5999999999999996"/>
    <x v="1"/>
    <n v="7"/>
    <n v="1.6"/>
    <n v="2.74"/>
    <n v="0.9"/>
    <s v="low"/>
    <n v="3"/>
    <n v="2"/>
    <n v="9"/>
    <n v="0"/>
    <x v="0"/>
  </r>
  <r>
    <n v="13"/>
    <x v="1"/>
    <n v="3.5"/>
    <x v="0"/>
    <n v="6.9"/>
    <n v="1.6"/>
    <n v="2.08"/>
    <n v="0.7"/>
    <s v="low"/>
    <n v="9"/>
    <n v="9"/>
    <n v="9"/>
    <n v="0"/>
    <x v="0"/>
  </r>
  <r>
    <n v="19"/>
    <x v="0"/>
    <n v="1.6"/>
    <x v="1"/>
    <n v="8.6"/>
    <n v="1.4"/>
    <n v="2.69"/>
    <n v="1.6"/>
    <s v="medium"/>
    <n v="4"/>
    <n v="3"/>
    <n v="4"/>
    <n v="0"/>
    <x v="1"/>
  </r>
  <r>
    <n v="13"/>
    <x v="1"/>
    <n v="3.2"/>
    <x v="2"/>
    <n v="5.9"/>
    <n v="0.7"/>
    <n v="3.98"/>
    <n v="0.8"/>
    <s v="low"/>
    <n v="6"/>
    <n v="8"/>
    <n v="1"/>
    <n v="0"/>
    <x v="0"/>
  </r>
  <r>
    <n v="19"/>
    <x v="1"/>
    <n v="1.7"/>
    <x v="2"/>
    <n v="7"/>
    <n v="2.7"/>
    <n v="2.0699999999999998"/>
    <n v="0.5"/>
    <s v="high"/>
    <n v="6"/>
    <n v="4"/>
    <n v="10"/>
    <n v="0"/>
    <x v="1"/>
  </r>
  <r>
    <n v="14"/>
    <x v="0"/>
    <n v="6.4"/>
    <x v="0"/>
    <n v="4.3"/>
    <n v="2.2999999999999998"/>
    <n v="3.99"/>
    <n v="1.1000000000000001"/>
    <s v="low"/>
    <n v="7"/>
    <n v="4"/>
    <n v="3"/>
    <n v="0"/>
    <x v="0"/>
  </r>
  <r>
    <n v="13"/>
    <x v="1"/>
    <n v="3.3"/>
    <x v="1"/>
    <n v="6.4"/>
    <n v="1"/>
    <n v="2.4900000000000002"/>
    <n v="1"/>
    <s v="low"/>
    <n v="9"/>
    <n v="2"/>
    <n v="4"/>
    <n v="0"/>
    <x v="0"/>
  </r>
  <r>
    <n v="18"/>
    <x v="0"/>
    <n v="1.2"/>
    <x v="2"/>
    <n v="6.8"/>
    <n v="2.6"/>
    <n v="2.85"/>
    <n v="1.8"/>
    <s v="medium"/>
    <n v="4"/>
    <n v="3"/>
    <n v="9"/>
    <n v="0"/>
    <x v="2"/>
  </r>
  <r>
    <n v="13"/>
    <x v="1"/>
    <n v="2.5"/>
    <x v="2"/>
    <n v="7.8"/>
    <n v="1.4"/>
    <n v="3.43"/>
    <n v="0.9"/>
    <s v="medium"/>
    <n v="1"/>
    <n v="4"/>
    <n v="6"/>
    <n v="0"/>
    <x v="0"/>
  </r>
  <r>
    <n v="16"/>
    <x v="0"/>
    <n v="2.2000000000000002"/>
    <x v="1"/>
    <n v="5.0999999999999996"/>
    <n v="2.2999999999999998"/>
    <n v="3.6"/>
    <n v="1"/>
    <s v="high"/>
    <n v="4"/>
    <n v="7"/>
    <n v="6"/>
    <n v="0"/>
    <x v="3"/>
  </r>
  <r>
    <n v="18"/>
    <x v="1"/>
    <n v="5.2"/>
    <x v="2"/>
    <n v="7.1"/>
    <n v="1.9"/>
    <n v="2.87"/>
    <n v="1.7"/>
    <s v="medium"/>
    <n v="5"/>
    <n v="8"/>
    <n v="6"/>
    <n v="0"/>
    <x v="2"/>
  </r>
  <r>
    <n v="16"/>
    <x v="0"/>
    <n v="7.9"/>
    <x v="0"/>
    <n v="8.6999999999999993"/>
    <n v="2.5"/>
    <n v="2.29"/>
    <n v="0.7"/>
    <s v="high"/>
    <n v="7"/>
    <n v="7"/>
    <n v="4"/>
    <n v="0"/>
    <x v="3"/>
  </r>
  <r>
    <n v="18"/>
    <x v="0"/>
    <n v="5.6"/>
    <x v="2"/>
    <n v="8"/>
    <n v="2.4"/>
    <n v="2.95"/>
    <n v="0"/>
    <s v="low"/>
    <n v="2"/>
    <n v="10"/>
    <n v="3"/>
    <n v="0"/>
    <x v="2"/>
  </r>
  <r>
    <n v="16"/>
    <x v="0"/>
    <n v="3.9"/>
    <x v="1"/>
    <n v="4.2"/>
    <n v="2.1"/>
    <n v="2.2799999999999998"/>
    <n v="1.1000000000000001"/>
    <s v="medium"/>
    <n v="6"/>
    <n v="5"/>
    <n v="7"/>
    <n v="0"/>
    <x v="3"/>
  </r>
  <r>
    <n v="18"/>
    <x v="1"/>
    <n v="1.8"/>
    <x v="1"/>
    <n v="6.1"/>
    <n v="2.7"/>
    <n v="2.86"/>
    <n v="1.1000000000000001"/>
    <s v="low"/>
    <n v="4"/>
    <n v="2"/>
    <n v="4"/>
    <n v="0"/>
    <x v="2"/>
  </r>
  <r>
    <n v="18"/>
    <x v="1"/>
    <n v="5.8"/>
    <x v="2"/>
    <n v="5.0999999999999996"/>
    <n v="1.2"/>
    <n v="3.24"/>
    <n v="0.4"/>
    <s v="high"/>
    <n v="5"/>
    <n v="9"/>
    <n v="2"/>
    <n v="0"/>
    <x v="2"/>
  </r>
  <r>
    <n v="18"/>
    <x v="1"/>
    <n v="2.2000000000000002"/>
    <x v="0"/>
    <n v="4.4000000000000004"/>
    <n v="1.7"/>
    <n v="2.86"/>
    <n v="1.1000000000000001"/>
    <s v="high"/>
    <n v="8"/>
    <n v="9"/>
    <n v="7"/>
    <n v="0"/>
    <x v="2"/>
  </r>
  <r>
    <n v="17"/>
    <x v="0"/>
    <n v="6.9"/>
    <x v="2"/>
    <n v="4.5999999999999996"/>
    <n v="2.5"/>
    <n v="2.04"/>
    <n v="0.8"/>
    <s v="high"/>
    <n v="10"/>
    <n v="9"/>
    <n v="2"/>
    <n v="1"/>
    <x v="2"/>
  </r>
  <r>
    <n v="14"/>
    <x v="1"/>
    <n v="5.7"/>
    <x v="0"/>
    <n v="6.7"/>
    <n v="2.6"/>
    <n v="2.35"/>
    <n v="1.8"/>
    <s v="high"/>
    <n v="10"/>
    <n v="10"/>
    <n v="7"/>
    <n v="0"/>
    <x v="0"/>
  </r>
  <r>
    <n v="17"/>
    <x v="0"/>
    <n v="7.5"/>
    <x v="1"/>
    <n v="5.6"/>
    <n v="2.2999999999999998"/>
    <n v="2.37"/>
    <n v="0"/>
    <s v="high"/>
    <n v="3"/>
    <n v="10"/>
    <n v="8"/>
    <n v="0"/>
    <x v="2"/>
  </r>
  <r>
    <n v="13"/>
    <x v="0"/>
    <n v="5.2"/>
    <x v="2"/>
    <n v="6.4"/>
    <n v="2.5"/>
    <n v="3.13"/>
    <n v="0.3"/>
    <s v="medium"/>
    <n v="8"/>
    <n v="6"/>
    <n v="7"/>
    <n v="0"/>
    <x v="0"/>
  </r>
  <r>
    <n v="16"/>
    <x v="0"/>
    <n v="7.2"/>
    <x v="2"/>
    <n v="6.9"/>
    <n v="2.1"/>
    <n v="2.3199999999999998"/>
    <n v="1.1000000000000001"/>
    <s v="low"/>
    <n v="3"/>
    <n v="4"/>
    <n v="10"/>
    <n v="0"/>
    <x v="3"/>
  </r>
  <r>
    <n v="19"/>
    <x v="0"/>
    <n v="2"/>
    <x v="1"/>
    <n v="4.3"/>
    <n v="0.8"/>
    <n v="3.4"/>
    <n v="0.7"/>
    <s v="low"/>
    <n v="8"/>
    <n v="1"/>
    <n v="1"/>
    <n v="0"/>
    <x v="1"/>
  </r>
  <r>
    <n v="13"/>
    <x v="1"/>
    <n v="4.7"/>
    <x v="2"/>
    <n v="6.8"/>
    <n v="1.4"/>
    <n v="3.91"/>
    <n v="0.8"/>
    <s v="high"/>
    <n v="10"/>
    <n v="6"/>
    <n v="9"/>
    <n v="0"/>
    <x v="0"/>
  </r>
  <r>
    <n v="14"/>
    <x v="0"/>
    <n v="5.6"/>
    <x v="2"/>
    <n v="4.5"/>
    <n v="1.4"/>
    <n v="2.44"/>
    <n v="1.2"/>
    <s v="low"/>
    <n v="5"/>
    <n v="10"/>
    <n v="9"/>
    <n v="0"/>
    <x v="0"/>
  </r>
  <r>
    <n v="18"/>
    <x v="1"/>
    <n v="4.5"/>
    <x v="0"/>
    <n v="4"/>
    <n v="2.9"/>
    <n v="3.15"/>
    <n v="1.9"/>
    <s v="medium"/>
    <n v="8"/>
    <n v="6"/>
    <n v="5"/>
    <n v="0"/>
    <x v="2"/>
  </r>
  <r>
    <n v="15"/>
    <x v="1"/>
    <n v="1.1000000000000001"/>
    <x v="0"/>
    <n v="9"/>
    <n v="1.2"/>
    <n v="2.9"/>
    <n v="1.8"/>
    <s v="medium"/>
    <n v="5"/>
    <n v="10"/>
    <n v="2"/>
    <n v="0"/>
    <x v="3"/>
  </r>
  <r>
    <n v="18"/>
    <x v="1"/>
    <n v="5.3"/>
    <x v="2"/>
    <n v="4.5999999999999996"/>
    <n v="1.5"/>
    <n v="2.54"/>
    <n v="0.6"/>
    <s v="medium"/>
    <n v="4"/>
    <n v="3"/>
    <n v="4"/>
    <n v="0"/>
    <x v="2"/>
  </r>
  <r>
    <n v="14"/>
    <x v="1"/>
    <n v="3.5"/>
    <x v="2"/>
    <n v="5.3"/>
    <n v="2.5"/>
    <n v="2.29"/>
    <n v="0.7"/>
    <s v="low"/>
    <n v="1"/>
    <n v="10"/>
    <n v="3"/>
    <n v="0"/>
    <x v="0"/>
  </r>
  <r>
    <n v="15"/>
    <x v="0"/>
    <n v="6.5"/>
    <x v="2"/>
    <n v="6.2"/>
    <n v="1.2"/>
    <n v="3.19"/>
    <n v="0"/>
    <s v="medium"/>
    <n v="6"/>
    <n v="5"/>
    <n v="2"/>
    <n v="0"/>
    <x v="3"/>
  </r>
  <r>
    <n v="14"/>
    <x v="0"/>
    <n v="7"/>
    <x v="2"/>
    <n v="6.7"/>
    <n v="1.9"/>
    <n v="2.48"/>
    <n v="1.3"/>
    <s v="low"/>
    <n v="7"/>
    <n v="1"/>
    <n v="5"/>
    <n v="0"/>
    <x v="0"/>
  </r>
  <r>
    <n v="14"/>
    <x v="1"/>
    <n v="4"/>
    <x v="1"/>
    <n v="4.0999999999999996"/>
    <n v="0.9"/>
    <n v="2.99"/>
    <n v="1.9"/>
    <s v="low"/>
    <n v="2"/>
    <n v="9"/>
    <n v="10"/>
    <n v="0"/>
    <x v="0"/>
  </r>
  <r>
    <n v="15"/>
    <x v="1"/>
    <n v="1.7"/>
    <x v="0"/>
    <n v="5.3"/>
    <n v="1.5"/>
    <n v="3.6"/>
    <n v="1.5"/>
    <s v="high"/>
    <n v="6"/>
    <n v="4"/>
    <n v="3"/>
    <n v="0"/>
    <x v="3"/>
  </r>
  <r>
    <n v="14"/>
    <x v="1"/>
    <n v="7.8"/>
    <x v="1"/>
    <n v="4.7"/>
    <n v="2.2000000000000002"/>
    <n v="3.53"/>
    <n v="0.6"/>
    <s v="low"/>
    <n v="5"/>
    <n v="8"/>
    <n v="2"/>
    <n v="0"/>
    <x v="0"/>
  </r>
  <r>
    <n v="15"/>
    <x v="1"/>
    <n v="5.2"/>
    <x v="0"/>
    <n v="6.7"/>
    <n v="3"/>
    <n v="3.18"/>
    <n v="0.6"/>
    <s v="low"/>
    <n v="9"/>
    <n v="7"/>
    <n v="9"/>
    <n v="0"/>
    <x v="3"/>
  </r>
  <r>
    <n v="19"/>
    <x v="1"/>
    <n v="7.9"/>
    <x v="1"/>
    <n v="5.8"/>
    <n v="2.1"/>
    <n v="3.91"/>
    <n v="1.4"/>
    <s v="high"/>
    <n v="7"/>
    <n v="1"/>
    <n v="10"/>
    <n v="0"/>
    <x v="1"/>
  </r>
  <r>
    <n v="17"/>
    <x v="0"/>
    <n v="5.9"/>
    <x v="2"/>
    <n v="6.6"/>
    <n v="1.3"/>
    <n v="2.11"/>
    <n v="1.4"/>
    <s v="low"/>
    <n v="10"/>
    <n v="4"/>
    <n v="9"/>
    <n v="0"/>
    <x v="2"/>
  </r>
  <r>
    <n v="13"/>
    <x v="1"/>
    <n v="2.6"/>
    <x v="1"/>
    <n v="8.5"/>
    <n v="1.9"/>
    <n v="3.06"/>
    <n v="1.9"/>
    <s v="high"/>
    <n v="5"/>
    <n v="7"/>
    <n v="6"/>
    <n v="0"/>
    <x v="0"/>
  </r>
  <r>
    <n v="18"/>
    <x v="1"/>
    <n v="6.3"/>
    <x v="1"/>
    <n v="4.8"/>
    <n v="1.2"/>
    <n v="2.91"/>
    <n v="1.3"/>
    <s v="medium"/>
    <n v="9"/>
    <n v="10"/>
    <n v="3"/>
    <n v="1"/>
    <x v="2"/>
  </r>
  <r>
    <n v="19"/>
    <x v="1"/>
    <n v="4.5"/>
    <x v="1"/>
    <n v="8.4"/>
    <n v="2.1"/>
    <n v="2.62"/>
    <n v="2"/>
    <s v="low"/>
    <n v="5"/>
    <n v="10"/>
    <n v="5"/>
    <n v="0"/>
    <x v="1"/>
  </r>
  <r>
    <n v="19"/>
    <x v="0"/>
    <n v="5.3"/>
    <x v="0"/>
    <n v="4.7"/>
    <n v="2.8"/>
    <n v="2.82"/>
    <n v="0.3"/>
    <s v="high"/>
    <n v="1"/>
    <n v="9"/>
    <n v="6"/>
    <n v="0"/>
    <x v="1"/>
  </r>
  <r>
    <n v="13"/>
    <x v="1"/>
    <n v="5.2"/>
    <x v="2"/>
    <n v="7.4"/>
    <n v="2.5"/>
    <n v="3.93"/>
    <n v="0.8"/>
    <s v="low"/>
    <n v="4"/>
    <n v="4"/>
    <n v="8"/>
    <n v="0"/>
    <x v="0"/>
  </r>
  <r>
    <n v="15"/>
    <x v="0"/>
    <n v="3.3"/>
    <x v="2"/>
    <n v="6.1"/>
    <n v="1.2"/>
    <n v="2.56"/>
    <n v="1.4"/>
    <s v="low"/>
    <n v="8"/>
    <n v="6"/>
    <n v="3"/>
    <n v="0"/>
    <x v="3"/>
  </r>
  <r>
    <n v="14"/>
    <x v="1"/>
    <n v="1.1000000000000001"/>
    <x v="2"/>
    <n v="5.4"/>
    <n v="1.6"/>
    <n v="3.34"/>
    <n v="1.5"/>
    <s v="medium"/>
    <n v="4"/>
    <n v="5"/>
    <n v="8"/>
    <n v="0"/>
    <x v="0"/>
  </r>
  <r>
    <n v="17"/>
    <x v="1"/>
    <n v="5"/>
    <x v="0"/>
    <n v="7.3"/>
    <n v="1.2"/>
    <n v="3.39"/>
    <n v="0.7"/>
    <s v="medium"/>
    <n v="9"/>
    <n v="10"/>
    <n v="8"/>
    <n v="0"/>
    <x v="2"/>
  </r>
  <r>
    <n v="15"/>
    <x v="1"/>
    <n v="7.4"/>
    <x v="1"/>
    <n v="8.6"/>
    <n v="1.4"/>
    <n v="2.19"/>
    <n v="1.8"/>
    <s v="low"/>
    <n v="10"/>
    <n v="10"/>
    <n v="1"/>
    <n v="0"/>
    <x v="3"/>
  </r>
  <r>
    <n v="15"/>
    <x v="1"/>
    <n v="7.4"/>
    <x v="1"/>
    <n v="8.9"/>
    <n v="2.9"/>
    <n v="3.39"/>
    <n v="1.1000000000000001"/>
    <s v="high"/>
    <n v="4"/>
    <n v="9"/>
    <n v="1"/>
    <n v="0"/>
    <x v="3"/>
  </r>
  <r>
    <n v="17"/>
    <x v="0"/>
    <n v="6.6"/>
    <x v="1"/>
    <n v="5.2"/>
    <n v="2.2000000000000002"/>
    <n v="2.98"/>
    <n v="0.8"/>
    <s v="high"/>
    <n v="6"/>
    <n v="8"/>
    <n v="7"/>
    <n v="0"/>
    <x v="2"/>
  </r>
  <r>
    <n v="13"/>
    <x v="1"/>
    <n v="7.1"/>
    <x v="2"/>
    <n v="7.2"/>
    <n v="1.1000000000000001"/>
    <n v="3.69"/>
    <n v="1"/>
    <s v="low"/>
    <n v="4"/>
    <n v="6"/>
    <n v="3"/>
    <n v="0"/>
    <x v="0"/>
  </r>
  <r>
    <n v="15"/>
    <x v="1"/>
    <n v="1.1000000000000001"/>
    <x v="1"/>
    <n v="8.6"/>
    <n v="2.2999999999999998"/>
    <n v="3.68"/>
    <n v="0.5"/>
    <s v="low"/>
    <n v="1"/>
    <n v="2"/>
    <n v="7"/>
    <n v="0"/>
    <x v="3"/>
  </r>
  <r>
    <n v="13"/>
    <x v="1"/>
    <n v="3.6"/>
    <x v="1"/>
    <n v="8.6999999999999993"/>
    <n v="0.8"/>
    <n v="2.41"/>
    <n v="1.3"/>
    <s v="low"/>
    <n v="4"/>
    <n v="6"/>
    <n v="8"/>
    <n v="0"/>
    <x v="0"/>
  </r>
  <r>
    <n v="16"/>
    <x v="0"/>
    <n v="5.0999999999999996"/>
    <x v="1"/>
    <n v="4.5999999999999996"/>
    <n v="1.1000000000000001"/>
    <n v="2.75"/>
    <n v="1.5"/>
    <s v="medium"/>
    <n v="6"/>
    <n v="3"/>
    <n v="6"/>
    <n v="0"/>
    <x v="3"/>
  </r>
  <r>
    <n v="19"/>
    <x v="1"/>
    <n v="7.3"/>
    <x v="0"/>
    <n v="7.8"/>
    <n v="1"/>
    <n v="2.91"/>
    <n v="0.8"/>
    <s v="medium"/>
    <n v="9"/>
    <n v="7"/>
    <n v="5"/>
    <n v="0"/>
    <x v="1"/>
  </r>
  <r>
    <n v="13"/>
    <x v="1"/>
    <n v="7.7"/>
    <x v="2"/>
    <n v="7.5"/>
    <n v="1.4"/>
    <n v="2.2400000000000002"/>
    <n v="0.1"/>
    <s v="low"/>
    <n v="5"/>
    <n v="3"/>
    <n v="3"/>
    <n v="0"/>
    <x v="0"/>
  </r>
  <r>
    <n v="13"/>
    <x v="1"/>
    <n v="7.9"/>
    <x v="1"/>
    <n v="4.0999999999999996"/>
    <n v="1.6"/>
    <n v="2.74"/>
    <n v="0.9"/>
    <s v="medium"/>
    <n v="9"/>
    <n v="3"/>
    <n v="5"/>
    <n v="0"/>
    <x v="0"/>
  </r>
  <r>
    <n v="16"/>
    <x v="1"/>
    <n v="5.5"/>
    <x v="2"/>
    <n v="5.8"/>
    <n v="2.5"/>
    <n v="2.34"/>
    <n v="1"/>
    <s v="low"/>
    <n v="5"/>
    <n v="2"/>
    <n v="8"/>
    <n v="0"/>
    <x v="3"/>
  </r>
  <r>
    <n v="19"/>
    <x v="0"/>
    <n v="4"/>
    <x v="0"/>
    <n v="7.8"/>
    <n v="0.6"/>
    <n v="3.61"/>
    <n v="1.7"/>
    <s v="high"/>
    <n v="2"/>
    <n v="7"/>
    <n v="9"/>
    <n v="0"/>
    <x v="1"/>
  </r>
  <r>
    <n v="15"/>
    <x v="1"/>
    <n v="7.9"/>
    <x v="1"/>
    <n v="4.7"/>
    <n v="1.5"/>
    <n v="3.3"/>
    <n v="0"/>
    <s v="low"/>
    <n v="5"/>
    <n v="8"/>
    <n v="5"/>
    <n v="0"/>
    <x v="3"/>
  </r>
  <r>
    <n v="18"/>
    <x v="1"/>
    <n v="5.5"/>
    <x v="2"/>
    <n v="8.1999999999999993"/>
    <n v="0.5"/>
    <n v="3.15"/>
    <n v="1.2"/>
    <s v="medium"/>
    <n v="8"/>
    <n v="7"/>
    <n v="7"/>
    <n v="0"/>
    <x v="2"/>
  </r>
  <r>
    <n v="17"/>
    <x v="1"/>
    <n v="7.6"/>
    <x v="2"/>
    <n v="7.1"/>
    <n v="1.1000000000000001"/>
    <n v="2.0699999999999998"/>
    <n v="1.9"/>
    <s v="high"/>
    <n v="3"/>
    <n v="2"/>
    <n v="6"/>
    <n v="0"/>
    <x v="2"/>
  </r>
  <r>
    <n v="13"/>
    <x v="0"/>
    <n v="1.3"/>
    <x v="1"/>
    <n v="4.4000000000000004"/>
    <n v="0.9"/>
    <n v="2.99"/>
    <n v="0"/>
    <s v="high"/>
    <n v="8"/>
    <n v="2"/>
    <n v="5"/>
    <n v="0"/>
    <x v="0"/>
  </r>
  <r>
    <n v="16"/>
    <x v="0"/>
    <n v="7.3"/>
    <x v="1"/>
    <n v="7"/>
    <n v="2.2000000000000002"/>
    <n v="2.0699999999999998"/>
    <n v="1"/>
    <s v="medium"/>
    <n v="3"/>
    <n v="7"/>
    <n v="1"/>
    <n v="0"/>
    <x v="3"/>
  </r>
  <r>
    <n v="18"/>
    <x v="0"/>
    <n v="4.3"/>
    <x v="0"/>
    <n v="6.7"/>
    <n v="2.5"/>
    <n v="3.19"/>
    <n v="1"/>
    <s v="high"/>
    <n v="5"/>
    <n v="5"/>
    <n v="5"/>
    <n v="0"/>
    <x v="2"/>
  </r>
  <r>
    <n v="16"/>
    <x v="0"/>
    <n v="7.1"/>
    <x v="1"/>
    <n v="7.7"/>
    <n v="1.9"/>
    <n v="2.2400000000000002"/>
    <n v="0.6"/>
    <s v="high"/>
    <n v="8"/>
    <n v="10"/>
    <n v="5"/>
    <n v="0"/>
    <x v="3"/>
  </r>
  <r>
    <n v="14"/>
    <x v="1"/>
    <n v="5.7"/>
    <x v="1"/>
    <n v="6.4"/>
    <n v="1.9"/>
    <n v="3.3"/>
    <n v="1.3"/>
    <s v="high"/>
    <n v="6"/>
    <n v="8"/>
    <n v="5"/>
    <n v="0"/>
    <x v="0"/>
  </r>
  <r>
    <n v="18"/>
    <x v="1"/>
    <n v="5.2"/>
    <x v="2"/>
    <n v="7.3"/>
    <n v="1.7"/>
    <n v="3.33"/>
    <n v="0.9"/>
    <s v="low"/>
    <n v="7"/>
    <n v="4"/>
    <n v="9"/>
    <n v="0"/>
    <x v="2"/>
  </r>
  <r>
    <n v="17"/>
    <x v="0"/>
    <n v="3.1"/>
    <x v="1"/>
    <n v="7.7"/>
    <n v="2.2000000000000002"/>
    <n v="3.72"/>
    <n v="1.4"/>
    <s v="medium"/>
    <n v="1"/>
    <n v="5"/>
    <n v="8"/>
    <n v="0"/>
    <x v="2"/>
  </r>
  <r>
    <n v="13"/>
    <x v="0"/>
    <n v="3"/>
    <x v="2"/>
    <n v="6.2"/>
    <n v="0.8"/>
    <n v="3.96"/>
    <n v="1.1000000000000001"/>
    <s v="low"/>
    <n v="9"/>
    <n v="10"/>
    <n v="3"/>
    <n v="0"/>
    <x v="0"/>
  </r>
  <r>
    <n v="17"/>
    <x v="1"/>
    <n v="6"/>
    <x v="2"/>
    <n v="4.2"/>
    <n v="2.2000000000000002"/>
    <n v="2.27"/>
    <n v="0.5"/>
    <s v="medium"/>
    <n v="1"/>
    <n v="4"/>
    <n v="5"/>
    <n v="0"/>
    <x v="2"/>
  </r>
  <r>
    <n v="13"/>
    <x v="0"/>
    <n v="5.9"/>
    <x v="0"/>
    <n v="8.6"/>
    <n v="1.9"/>
    <n v="3.88"/>
    <n v="0.2"/>
    <s v="medium"/>
    <n v="1"/>
    <n v="6"/>
    <n v="9"/>
    <n v="0"/>
    <x v="0"/>
  </r>
  <r>
    <n v="15"/>
    <x v="0"/>
    <n v="5.0999999999999996"/>
    <x v="1"/>
    <n v="5.5"/>
    <n v="0.7"/>
    <n v="2.13"/>
    <n v="0.5"/>
    <s v="medium"/>
    <n v="6"/>
    <n v="10"/>
    <n v="8"/>
    <n v="0"/>
    <x v="3"/>
  </r>
  <r>
    <n v="19"/>
    <x v="1"/>
    <n v="3.5"/>
    <x v="0"/>
    <n v="4.9000000000000004"/>
    <n v="0.5"/>
    <n v="3.68"/>
    <n v="1.7"/>
    <s v="high"/>
    <n v="8"/>
    <n v="4"/>
    <n v="3"/>
    <n v="0"/>
    <x v="1"/>
  </r>
  <r>
    <n v="16"/>
    <x v="0"/>
    <n v="5.3"/>
    <x v="1"/>
    <n v="5.3"/>
    <n v="2.4"/>
    <n v="3.01"/>
    <n v="1.6"/>
    <s v="medium"/>
    <n v="2"/>
    <n v="9"/>
    <n v="1"/>
    <n v="0"/>
    <x v="3"/>
  </r>
  <r>
    <n v="13"/>
    <x v="1"/>
    <n v="4.0999999999999996"/>
    <x v="0"/>
    <n v="7.5"/>
    <n v="1.7"/>
    <n v="3.12"/>
    <n v="2"/>
    <s v="medium"/>
    <n v="1"/>
    <n v="4"/>
    <n v="9"/>
    <n v="0"/>
    <x v="0"/>
  </r>
  <r>
    <n v="18"/>
    <x v="0"/>
    <n v="4.0999999999999996"/>
    <x v="0"/>
    <n v="6.7"/>
    <n v="2.1"/>
    <n v="2.5"/>
    <n v="0.1"/>
    <s v="medium"/>
    <n v="8"/>
    <n v="1"/>
    <n v="5"/>
    <n v="0"/>
    <x v="2"/>
  </r>
  <r>
    <n v="15"/>
    <x v="0"/>
    <n v="6.3"/>
    <x v="1"/>
    <n v="6.8"/>
    <n v="1.8"/>
    <n v="2.59"/>
    <n v="1.9"/>
    <s v="high"/>
    <n v="10"/>
    <n v="5"/>
    <n v="5"/>
    <n v="0"/>
    <x v="3"/>
  </r>
  <r>
    <n v="19"/>
    <x v="1"/>
    <n v="6.6"/>
    <x v="2"/>
    <n v="9"/>
    <n v="2.9"/>
    <n v="2.4700000000000002"/>
    <n v="1.7"/>
    <s v="medium"/>
    <n v="3"/>
    <n v="7"/>
    <n v="9"/>
    <n v="0"/>
    <x v="1"/>
  </r>
  <r>
    <n v="19"/>
    <x v="0"/>
    <n v="1.4"/>
    <x v="2"/>
    <n v="4.5"/>
    <n v="2.2999999999999998"/>
    <n v="3.9"/>
    <n v="0"/>
    <s v="medium"/>
    <n v="2"/>
    <n v="8"/>
    <n v="10"/>
    <n v="0"/>
    <x v="1"/>
  </r>
  <r>
    <n v="19"/>
    <x v="0"/>
    <n v="2.4"/>
    <x v="1"/>
    <n v="9"/>
    <n v="2.4"/>
    <n v="3.13"/>
    <n v="0.5"/>
    <s v="high"/>
    <n v="5"/>
    <n v="3"/>
    <n v="3"/>
    <n v="0"/>
    <x v="1"/>
  </r>
  <r>
    <n v="18"/>
    <x v="0"/>
    <n v="1.6"/>
    <x v="2"/>
    <n v="5.4"/>
    <n v="2"/>
    <n v="3.2"/>
    <n v="1.8"/>
    <s v="low"/>
    <n v="8"/>
    <n v="8"/>
    <n v="3"/>
    <n v="0"/>
    <x v="2"/>
  </r>
  <r>
    <n v="18"/>
    <x v="0"/>
    <n v="2"/>
    <x v="0"/>
    <n v="8.9"/>
    <n v="0.8"/>
    <n v="2.96"/>
    <n v="0.5"/>
    <s v="medium"/>
    <n v="6"/>
    <n v="2"/>
    <n v="2"/>
    <n v="0"/>
    <x v="2"/>
  </r>
  <r>
    <n v="17"/>
    <x v="1"/>
    <n v="7.4"/>
    <x v="0"/>
    <n v="7.4"/>
    <n v="2"/>
    <n v="3.76"/>
    <n v="1.7"/>
    <s v="high"/>
    <n v="10"/>
    <n v="1"/>
    <n v="4"/>
    <n v="0"/>
    <x v="2"/>
  </r>
  <r>
    <n v="14"/>
    <x v="1"/>
    <n v="1.6"/>
    <x v="1"/>
    <n v="4.8"/>
    <n v="2.4"/>
    <n v="2.97"/>
    <n v="1.9"/>
    <s v="low"/>
    <n v="9"/>
    <n v="9"/>
    <n v="10"/>
    <n v="0"/>
    <x v="0"/>
  </r>
  <r>
    <n v="17"/>
    <x v="1"/>
    <n v="3.8"/>
    <x v="0"/>
    <n v="8.4"/>
    <n v="0.9"/>
    <n v="3.6"/>
    <n v="1.9"/>
    <s v="high"/>
    <n v="1"/>
    <n v="2"/>
    <n v="2"/>
    <n v="0"/>
    <x v="2"/>
  </r>
  <r>
    <n v="19"/>
    <x v="0"/>
    <n v="8"/>
    <x v="1"/>
    <n v="4.7"/>
    <n v="0.5"/>
    <n v="2.1800000000000002"/>
    <n v="0.6"/>
    <s v="medium"/>
    <n v="8"/>
    <n v="8"/>
    <n v="6"/>
    <n v="1"/>
    <x v="1"/>
  </r>
  <r>
    <n v="13"/>
    <x v="0"/>
    <n v="7.8"/>
    <x v="1"/>
    <n v="5.9"/>
    <n v="1.5"/>
    <n v="3.31"/>
    <n v="1.9"/>
    <s v="high"/>
    <n v="10"/>
    <n v="1"/>
    <n v="10"/>
    <n v="0"/>
    <x v="0"/>
  </r>
  <r>
    <n v="13"/>
    <x v="1"/>
    <n v="7.2"/>
    <x v="0"/>
    <n v="8.1"/>
    <n v="2.1"/>
    <n v="2.52"/>
    <n v="0.4"/>
    <s v="medium"/>
    <n v="3"/>
    <n v="3"/>
    <n v="7"/>
    <n v="0"/>
    <x v="0"/>
  </r>
  <r>
    <n v="17"/>
    <x v="0"/>
    <n v="2"/>
    <x v="2"/>
    <n v="4.5"/>
    <n v="1.7"/>
    <n v="2.65"/>
    <n v="0"/>
    <s v="medium"/>
    <n v="9"/>
    <n v="4"/>
    <n v="2"/>
    <n v="0"/>
    <x v="2"/>
  </r>
  <r>
    <n v="18"/>
    <x v="1"/>
    <n v="6.8"/>
    <x v="0"/>
    <n v="6.6"/>
    <n v="2"/>
    <n v="2.76"/>
    <n v="1"/>
    <s v="low"/>
    <n v="3"/>
    <n v="4"/>
    <n v="4"/>
    <n v="0"/>
    <x v="2"/>
  </r>
  <r>
    <n v="16"/>
    <x v="0"/>
    <n v="2.2999999999999998"/>
    <x v="2"/>
    <n v="8"/>
    <n v="1.9"/>
    <n v="2.12"/>
    <n v="0.4"/>
    <s v="high"/>
    <n v="7"/>
    <n v="4"/>
    <n v="4"/>
    <n v="0"/>
    <x v="3"/>
  </r>
  <r>
    <n v="14"/>
    <x v="1"/>
    <n v="1.7"/>
    <x v="2"/>
    <n v="8.6999999999999993"/>
    <n v="0.7"/>
    <n v="3.98"/>
    <n v="0.8"/>
    <s v="high"/>
    <n v="1"/>
    <n v="1"/>
    <n v="1"/>
    <n v="0"/>
    <x v="0"/>
  </r>
  <r>
    <n v="15"/>
    <x v="0"/>
    <n v="3.9"/>
    <x v="2"/>
    <n v="8.5"/>
    <n v="2.1"/>
    <n v="3.19"/>
    <n v="0.6"/>
    <s v="high"/>
    <n v="7"/>
    <n v="9"/>
    <n v="9"/>
    <n v="0"/>
    <x v="3"/>
  </r>
  <r>
    <n v="16"/>
    <x v="1"/>
    <n v="4.7"/>
    <x v="1"/>
    <n v="6.5"/>
    <n v="1"/>
    <n v="2.91"/>
    <n v="0.9"/>
    <s v="medium"/>
    <n v="5"/>
    <n v="7"/>
    <n v="3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144AF-835E-45F3-BA25-F7CDA5CD750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0:B35" firstHeaderRow="1" firstDataRow="1" firstDataCol="1"/>
  <pivotFields count="14">
    <pivotField showAll="0"/>
    <pivotField showAll="0">
      <items count="3">
        <item x="1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tress_level" fld="9" subtotal="average" baseField="13" baseItem="0"/>
  </dataField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0B902-6464-480E-976F-F4C2501D64D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8" firstHeaderRow="1" firstDataRow="2" firstDataCol="1"/>
  <pivotFields count="14"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addiction_level" fld="11" subtotal="average" baseField="3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FAABA8-E10C-4610-932C-1EAF2A4EE9B0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age" tableColumnId="1"/>
      <queryTableField id="2" name="gender" tableColumnId="2"/>
      <queryTableField id="3" name="daily_social_media_hours" tableColumnId="3"/>
      <queryTableField id="4" name="platform_usage" tableColumnId="4"/>
      <queryTableField id="5" name="sleep_hours" tableColumnId="5"/>
      <queryTableField id="6" name="screen_time_before_sleep" tableColumnId="6"/>
      <queryTableField id="7" name="academic_performance" tableColumnId="7"/>
      <queryTableField id="8" name="physical_activity" tableColumnId="8"/>
      <queryTableField id="9" name="social_interaction_level" tableColumnId="9"/>
      <queryTableField id="10" name="stress_level" tableColumnId="10"/>
      <queryTableField id="11" name="anxiety_level" tableColumnId="11"/>
      <queryTableField id="12" name="addiction_level" tableColumnId="12"/>
      <queryTableField id="13" name="depression_label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092CA-E2C4-4773-B83D-664522BD5D46}" name="Teen_Mental_Health_Dataset" displayName="Teen_Mental_Health_Dataset" ref="A1:N1201" tableType="queryTable" totalsRowShown="0">
  <autoFilter ref="A1:N1201" xr:uid="{029092CA-E2C4-4773-B83D-664522BD5D46}"/>
  <tableColumns count="14">
    <tableColumn id="1" xr3:uid="{69E70EFE-7941-4110-BA6C-949913E1D480}" uniqueName="1" name="age" queryTableFieldId="1"/>
    <tableColumn id="2" xr3:uid="{C7A9EB32-6111-4F74-B1DD-7927E2AD226C}" uniqueName="2" name="gender" queryTableFieldId="2" dataDxfId="5"/>
    <tableColumn id="3" xr3:uid="{89108892-136A-4DB7-A999-DD37CC8A4B58}" uniqueName="3" name="daily_social_media_hours" queryTableFieldId="3"/>
    <tableColumn id="4" xr3:uid="{763DA7CE-3F99-4935-AFA5-74DA5DF5CECA}" uniqueName="4" name="platform_usage" queryTableFieldId="4" dataDxfId="4"/>
    <tableColumn id="5" xr3:uid="{18840C8D-8666-41F6-9A68-F6916617FFDB}" uniqueName="5" name="sleep_hours" queryTableFieldId="5"/>
    <tableColumn id="6" xr3:uid="{A0E9E270-1049-4FBD-9EF7-3F2B56026C8D}" uniqueName="6" name="screen_time_before_sleep" queryTableFieldId="6"/>
    <tableColumn id="7" xr3:uid="{DE175088-CCD2-4F70-885B-5724A0358331}" uniqueName="7" name="academic_performance" queryTableFieldId="7"/>
    <tableColumn id="8" xr3:uid="{28EB9C80-C1F8-4B24-9303-4789A22374CE}" uniqueName="8" name="physical_activity" queryTableFieldId="8"/>
    <tableColumn id="9" xr3:uid="{979E2DA3-28B5-4496-B5A9-8EA75267382A}" uniqueName="9" name="social_interaction_level" queryTableFieldId="9" dataDxfId="3"/>
    <tableColumn id="10" xr3:uid="{3A0EF55E-8915-4157-889F-D785A3B45545}" uniqueName="10" name="stress_level" queryTableFieldId="10"/>
    <tableColumn id="11" xr3:uid="{35560FFE-65F6-4BEA-BF76-107FA128FD9A}" uniqueName="11" name="anxiety_level" queryTableFieldId="11"/>
    <tableColumn id="12" xr3:uid="{8758D427-1BB7-4778-B64A-E41B23D29D88}" uniqueName="12" name="addiction_level" queryTableFieldId="12"/>
    <tableColumn id="13" xr3:uid="{A10E0FFE-4A78-4B5F-940C-BE9E1E639472}" uniqueName="13" name="depression_label" queryTableFieldId="13"/>
    <tableColumn id="14" xr3:uid="{97B86511-FDE7-4742-8CF8-0D1DD0187644}" uniqueName="14" name="age_group" queryTableFieldId="14" dataDxfId="2">
      <calculatedColumnFormula>IF(Teen_Mental_Health_Dataset[[#This Row],[age]]&lt;=14, "13-14", IF(Teen_Mental_Health_Dataset[[#This Row],[age]] &lt;=16, "15-16", IF(Teen_Mental_Health_Dataset[[#This Row],[age]]&lt;=18, "17-18","19")))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628F96-6DCE-4A67-9B4E-3B1098803BE5}" name="Table4" displayName="Table4" ref="A1:C6" totalsRowShown="0">
  <autoFilter ref="A1:C6" xr:uid="{55628F96-6DCE-4A67-9B4E-3B1098803BE5}"/>
  <tableColumns count="3">
    <tableColumn id="1" xr3:uid="{42406A73-159A-413E-AA30-088CA1FD01F3}" name="Student_ID"/>
    <tableColumn id="2" xr3:uid="{454893E1-EF73-4F6F-AF30-5E43AAA6298A}" name="Platform"/>
    <tableColumn id="3" xr3:uid="{9D436894-6B93-4A47-A18F-8111BA86DFAA}" name="Risk_Label" dataDxfId="1">
      <calculatedColumnFormula>_xlfn.XLOOKUP(Table4[[#This Row],[Platform]], Table6[Platform], Table6[Risk_Label])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D418769-1948-4690-9FBD-58AF0FF903E2}" name="Table6" displayName="Table6" ref="F1:G4" totalsRowShown="0">
  <autoFilter ref="F1:G4" xr:uid="{FD418769-1948-4690-9FBD-58AF0FF903E2}"/>
  <tableColumns count="2">
    <tableColumn id="1" xr3:uid="{67B2281E-89B7-4065-B3F2-A4A227D0B0DB}" name="Platform"/>
    <tableColumn id="2" xr3:uid="{BE95EE04-60DF-4BB3-92E9-B3489084D37B}" name="Risk_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7C6DAF-AEFB-4318-BF79-B3819E4261E9}" name="Table8" displayName="Table8" ref="A9:C16" totalsRowShown="0">
  <autoFilter ref="A9:C16" xr:uid="{CA7C6DAF-AEFB-4318-BF79-B3819E4261E9}"/>
  <tableColumns count="3">
    <tableColumn id="1" xr3:uid="{01EB86C0-F0A7-489D-961F-3A4400994164}" name="Student_ID"/>
    <tableColumn id="2" xr3:uid="{4E3757A5-90EA-4974-B0A3-444747073955}" name="Age"/>
    <tableColumn id="3" xr3:uid="{73C840EA-37FF-4492-B75F-B06A680E621D}" name="Age_Group" dataDxfId="0">
      <calculatedColumnFormula>_xlfn.XLOOKUP(Table8[[#This Row],[Age]],$F$10:$F$16, $G$10:$G$16, "Out of Range")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7B67-DE1E-4A20-86AB-FDC9C9410832}">
  <dimension ref="A1:S1201"/>
  <sheetViews>
    <sheetView topLeftCell="C1" workbookViewId="0">
      <pane ySplit="1" topLeftCell="A2" activePane="bottomLeft" state="frozen"/>
      <selection pane="bottomLeft" activeCell="D5" sqref="D5"/>
    </sheetView>
  </sheetViews>
  <sheetFormatPr defaultRowHeight="14.25"/>
  <cols>
    <col min="1" max="1" width="6.125" customWidth="1"/>
    <col min="2" max="2" width="9.25" bestFit="1" customWidth="1"/>
    <col min="3" max="3" width="25.75" bestFit="1" customWidth="1"/>
    <col min="4" max="4" width="16.625" customWidth="1"/>
    <col min="5" max="5" width="13.875" bestFit="1" customWidth="1"/>
    <col min="6" max="6" width="26.875" bestFit="1" customWidth="1"/>
    <col min="7" max="7" width="23.75" bestFit="1" customWidth="1"/>
    <col min="8" max="8" width="17.375" bestFit="1" customWidth="1"/>
    <col min="9" max="9" width="24.25" bestFit="1" customWidth="1"/>
    <col min="10" max="10" width="13.75" bestFit="1" customWidth="1"/>
    <col min="11" max="11" width="14.5" bestFit="1" customWidth="1"/>
    <col min="12" max="12" width="16.5" bestFit="1" customWidth="1"/>
    <col min="13" max="13" width="18.25" customWidth="1"/>
    <col min="14" max="14" width="12.375" bestFit="1" customWidth="1"/>
    <col min="15" max="15" width="12.375" customWidth="1"/>
    <col min="16" max="16" width="18.875" bestFit="1" customWidth="1"/>
    <col min="17" max="17" width="14.5" bestFit="1" customWidth="1"/>
    <col min="18" max="18" width="10.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21</v>
      </c>
      <c r="P1" t="s">
        <v>22</v>
      </c>
      <c r="Q1" t="s">
        <v>24</v>
      </c>
    </row>
    <row r="2" spans="1:19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  <c r="N2" t="str">
        <f>IF(Teen_Mental_Health_Dataset[[#This Row],[age]]&lt;=14, "13-14", IF(Teen_Mental_Health_Dataset[[#This Row],[age]] &lt;=16, "15-16", IF(Teen_Mental_Health_Dataset[[#This Row],[age]]&lt;=18, "17-18","19")))</f>
        <v>13-14</v>
      </c>
      <c r="P2" t="s">
        <v>14</v>
      </c>
      <c r="Q2">
        <f>AVERAGEIF($D:$D, P2,$E:$E)</f>
        <v>6.4396593673965947</v>
      </c>
    </row>
    <row r="3" spans="1:19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  <c r="N3" t="str">
        <f>IF(Teen_Mental_Health_Dataset[[#This Row],[age]]&lt;=14, "13-14", IF(Teen_Mental_Health_Dataset[[#This Row],[age]] &lt;=16, "15-16", IF(Teen_Mental_Health_Dataset[[#This Row],[age]]&lt;=18, "17-18","19")))</f>
        <v>19</v>
      </c>
      <c r="P3" t="s">
        <v>23</v>
      </c>
      <c r="Q3">
        <f t="shared" ref="Q3:Q4" si="0">AVERAGEIF($D:$D, P3,$E:$E)</f>
        <v>6.4462311557788921</v>
      </c>
    </row>
    <row r="4" spans="1:19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  <c r="N4" t="str">
        <f>IF(Teen_Mental_Health_Dataset[[#This Row],[age]]&lt;=14, "13-14", IF(Teen_Mental_Health_Dataset[[#This Row],[age]] &lt;=16, "15-16", IF(Teen_Mental_Health_Dataset[[#This Row],[age]]&lt;=18, "17-18","19")))</f>
        <v>17-18</v>
      </c>
      <c r="P4" t="s">
        <v>20</v>
      </c>
      <c r="Q4">
        <f t="shared" si="0"/>
        <v>6.4629156010230142</v>
      </c>
    </row>
    <row r="5" spans="1:19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  <c r="N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" spans="1:19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  <c r="N6" t="str">
        <f>IF(Teen_Mental_Health_Dataset[[#This Row],[age]]&lt;=14, "13-14", IF(Teen_Mental_Health_Dataset[[#This Row],[age]] &lt;=16, "15-16", IF(Teen_Mental_Health_Dataset[[#This Row],[age]]&lt;=18, "17-18","19")))</f>
        <v>15-16</v>
      </c>
      <c r="P6" t="s">
        <v>28</v>
      </c>
      <c r="Q6" t="s">
        <v>24</v>
      </c>
      <c r="R6" t="s">
        <v>9</v>
      </c>
      <c r="S6" t="s">
        <v>10</v>
      </c>
    </row>
    <row r="7" spans="1:19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  <c r="N7" t="str">
        <f>IF(Teen_Mental_Health_Dataset[[#This Row],[age]]&lt;=14, "13-14", IF(Teen_Mental_Health_Dataset[[#This Row],[age]] &lt;=16, "15-16", IF(Teen_Mental_Health_Dataset[[#This Row],[age]]&lt;=18, "17-18","19")))</f>
        <v>19</v>
      </c>
      <c r="P7" t="s">
        <v>25</v>
      </c>
      <c r="Q7">
        <f>AVERAGEIFS($E:$E, $C:$C, "&lt;="&amp;3)</f>
        <v>6.5383040935672527</v>
      </c>
      <c r="R7">
        <f>AVERAGEIFS($J:$J, $C:$C, "&lt;="&amp;3)</f>
        <v>5.5146198830409361</v>
      </c>
      <c r="S7">
        <f>AVERAGEIFS($K:$K, $C:$C, "&lt;="&amp;3)</f>
        <v>5.4502923976608191</v>
      </c>
    </row>
    <row r="8" spans="1:19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  <c r="N8" t="str">
        <f>IF(Teen_Mental_Health_Dataset[[#This Row],[age]]&lt;=14, "13-14", IF(Teen_Mental_Health_Dataset[[#This Row],[age]] &lt;=16, "15-16", IF(Teen_Mental_Health_Dataset[[#This Row],[age]]&lt;=18, "17-18","19")))</f>
        <v>17-18</v>
      </c>
      <c r="P8" t="s">
        <v>26</v>
      </c>
      <c r="Q8">
        <f>AVERAGEIFS($E:$E, $C:$C, "&gt;"&amp;3, $C:$C, "&lt;="&amp;6)</f>
        <v>6.365325670498085</v>
      </c>
      <c r="R8">
        <f>AVERAGEIFS($J:$J, $C:$C, "&gt;"&amp;3, $C:$C, "&lt;="&amp;6)</f>
        <v>5.195402298850575</v>
      </c>
      <c r="S8">
        <f>AVERAGEIFS($K:$K, $C:$C, "&gt;"&amp;3, $C:$C, "&lt;="&amp;6)</f>
        <v>5.7969348659003828</v>
      </c>
    </row>
    <row r="9" spans="1:19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  <c r="N9" t="str">
        <f>IF(Teen_Mental_Health_Dataset[[#This Row],[age]]&lt;=14, "13-14", IF(Teen_Mental_Health_Dataset[[#This Row],[age]] &lt;=16, "15-16", IF(Teen_Mental_Health_Dataset[[#This Row],[age]]&lt;=18, "17-18","19")))</f>
        <v>15-16</v>
      </c>
      <c r="P9" t="s">
        <v>27</v>
      </c>
      <c r="Q9">
        <f>AVERAGEIFS($E:$E, $C:$C, "&gt;"&amp;6)</f>
        <v>6.4895833333333348</v>
      </c>
      <c r="R9">
        <f>AVERAGEIFS($J:$J, $C:$C, "&gt;"&amp;6)</f>
        <v>5.7648809523809526</v>
      </c>
      <c r="S9">
        <f>AVERAGEIFS($K:$K, $C:$C, "&gt;"&amp;6)</f>
        <v>5.5773809523809526</v>
      </c>
    </row>
    <row r="10" spans="1:19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  <c r="N1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" spans="1:19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  <c r="N1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2" spans="1:19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  <c r="N1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3" spans="1:19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  <c r="N1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4" spans="1:19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  <c r="N1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5" spans="1:19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  <c r="N1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6" spans="1:19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  <c r="N1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7" spans="1:14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  <c r="N1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8" spans="1:14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  <c r="N1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9" spans="1:14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  <c r="N1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0" spans="1:14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  <c r="N2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" spans="1:14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  <c r="N2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2" spans="1:14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  <c r="N2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3" spans="1:14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  <c r="N2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4" spans="1:14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  <c r="N2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5" spans="1:14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  <c r="N2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6" spans="1:14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  <c r="N2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7" spans="1:14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  <c r="N2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8" spans="1:14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  <c r="N2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9" spans="1:14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  <c r="N2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0" spans="1:14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  <c r="N3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1" spans="1:14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  <c r="N3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2" spans="1:14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  <c r="N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" spans="1:14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  <c r="N3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" spans="1:14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  <c r="N3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5" spans="1:14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  <c r="N3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6" spans="1:14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  <c r="N3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7" spans="1:14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  <c r="N3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8" spans="1:14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  <c r="N3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9" spans="1:14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  <c r="N3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0" spans="1:14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  <c r="N4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1" spans="1:14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  <c r="N4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2" spans="1:14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  <c r="N4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3" spans="1:14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  <c r="N4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4" spans="1:14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  <c r="N4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5" spans="1:14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  <c r="N4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6" spans="1:14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  <c r="N4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7" spans="1:14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  <c r="N4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8" spans="1:14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  <c r="N4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9" spans="1:14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  <c r="N4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0" spans="1:14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  <c r="N5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1" spans="1:14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  <c r="N5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2" spans="1:14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  <c r="N5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3" spans="1:14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  <c r="N5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4" spans="1:14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  <c r="N5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5" spans="1:14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  <c r="N5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6" spans="1:14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  <c r="N5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7" spans="1:14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  <c r="N5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8" spans="1:14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  <c r="N5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9" spans="1:14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  <c r="N5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0" spans="1:14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  <c r="N6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1" spans="1:14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  <c r="N6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2" spans="1:14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  <c r="N6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3" spans="1:14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  <c r="N6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4" spans="1:14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  <c r="N6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5" spans="1:14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  <c r="N6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6" spans="1:14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  <c r="N6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7" spans="1:14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  <c r="N6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8" spans="1:14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  <c r="N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9" spans="1:14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  <c r="N6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0" spans="1:14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  <c r="N7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1" spans="1:14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  <c r="N7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2" spans="1:14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  <c r="N7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3" spans="1:14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  <c r="N7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4" spans="1:14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  <c r="N7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5" spans="1:14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  <c r="N7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6" spans="1:14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  <c r="N7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7" spans="1:14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  <c r="N7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8" spans="1:14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  <c r="N7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9" spans="1:14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  <c r="N7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0" spans="1:14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  <c r="N8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1" spans="1:14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  <c r="N8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2" spans="1:14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  <c r="N8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3" spans="1:14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  <c r="N8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4" spans="1:14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  <c r="N8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5" spans="1:14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  <c r="N8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6" spans="1:14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  <c r="N8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7" spans="1:14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  <c r="N8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8" spans="1:14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  <c r="N8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9" spans="1:14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  <c r="N8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0" spans="1:14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  <c r="N9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1" spans="1:14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  <c r="N9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2" spans="1:14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  <c r="N9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3" spans="1:14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  <c r="N9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4" spans="1:14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  <c r="N9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5" spans="1:14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  <c r="N9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6" spans="1:14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  <c r="N9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7" spans="1:14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  <c r="N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8" spans="1:14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  <c r="N9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9" spans="1:14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  <c r="N9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0" spans="1:14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  <c r="N10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1" spans="1:14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  <c r="N10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2" spans="1:14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  <c r="N10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3" spans="1:14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  <c r="N10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4" spans="1:14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  <c r="N10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5" spans="1:14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  <c r="N10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6" spans="1:14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  <c r="N10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" spans="1:14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  <c r="N10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8" spans="1:14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  <c r="N10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9" spans="1:14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  <c r="N10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0" spans="1:14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  <c r="N11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" spans="1:14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  <c r="N11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" spans="1:14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  <c r="N11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3" spans="1:14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  <c r="N11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4" spans="1:14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  <c r="N11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5" spans="1:14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  <c r="N11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6" spans="1:14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  <c r="N11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7" spans="1:14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  <c r="N11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8" spans="1:14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  <c r="N11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9" spans="1:14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  <c r="N11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20" spans="1:14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  <c r="N12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21" spans="1:14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  <c r="N12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22" spans="1:14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  <c r="N12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23" spans="1:14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  <c r="N12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24" spans="1:14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  <c r="N12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25" spans="1:14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  <c r="N12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26" spans="1:14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  <c r="N12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27" spans="1:14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  <c r="N12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28" spans="1:14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  <c r="N12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29" spans="1:14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  <c r="N1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30" spans="1:14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  <c r="N13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31" spans="1:14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  <c r="N13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32" spans="1:14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  <c r="N1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33" spans="1:14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  <c r="N13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34" spans="1:14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  <c r="N13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35" spans="1:14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  <c r="N13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36" spans="1:14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  <c r="N13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37" spans="1:14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  <c r="N13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38" spans="1:14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  <c r="N13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39" spans="1:14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  <c r="N13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40" spans="1:14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  <c r="N14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41" spans="1:14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  <c r="N14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42" spans="1:14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  <c r="N14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43" spans="1:14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  <c r="N14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44" spans="1:14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  <c r="N14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45" spans="1:14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  <c r="N14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46" spans="1:14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  <c r="N14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47" spans="1:14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  <c r="N14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48" spans="1:14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  <c r="N14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49" spans="1:14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  <c r="N14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50" spans="1:14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  <c r="N15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51" spans="1:14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  <c r="N15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52" spans="1:14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  <c r="N15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53" spans="1:14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  <c r="N15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54" spans="1:14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  <c r="N15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55" spans="1:14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  <c r="N15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56" spans="1:14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  <c r="N15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57" spans="1:14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  <c r="N15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58" spans="1:14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  <c r="N15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59" spans="1:14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  <c r="N15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60" spans="1:14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  <c r="N16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61" spans="1:14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  <c r="N16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62" spans="1:14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  <c r="N16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63" spans="1:14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  <c r="N16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64" spans="1:14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  <c r="N16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65" spans="1:14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  <c r="N16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66" spans="1:14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  <c r="N16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67" spans="1:14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  <c r="N16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68" spans="1:14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  <c r="N1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69" spans="1:14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  <c r="N16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70" spans="1:14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  <c r="N17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71" spans="1:14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  <c r="N17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72" spans="1:14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  <c r="N17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73" spans="1:14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  <c r="N17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74" spans="1:14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  <c r="N17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75" spans="1:14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  <c r="N17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76" spans="1:14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  <c r="N17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77" spans="1:14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  <c r="N17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78" spans="1:14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  <c r="N17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79" spans="1:14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  <c r="N17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80" spans="1:14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  <c r="N18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81" spans="1:14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  <c r="N18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82" spans="1:14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  <c r="N18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83" spans="1:14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  <c r="N18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84" spans="1:14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  <c r="N18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85" spans="1:14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  <c r="N18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86" spans="1:14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  <c r="N18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87" spans="1:14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  <c r="N18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88" spans="1:14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  <c r="N18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89" spans="1:14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  <c r="N18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90" spans="1:14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  <c r="N19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91" spans="1:14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  <c r="N1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92" spans="1:14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  <c r="N19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93" spans="1:14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  <c r="N19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94" spans="1:14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  <c r="N19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95" spans="1:14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  <c r="N19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96" spans="1:14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  <c r="N19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97" spans="1:14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  <c r="N1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98" spans="1:14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  <c r="N19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99" spans="1:14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  <c r="N19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00" spans="1:14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  <c r="N20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01" spans="1:14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  <c r="N20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02" spans="1:14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  <c r="N20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03" spans="1:14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  <c r="N20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04" spans="1:14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  <c r="N20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05" spans="1:14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  <c r="N20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06" spans="1:14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  <c r="N20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07" spans="1:14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  <c r="N20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08" spans="1:14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  <c r="N20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09" spans="1:14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  <c r="N20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0" spans="1:14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  <c r="N21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1" spans="1:14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  <c r="N21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2" spans="1:14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  <c r="N21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13" spans="1:14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  <c r="N21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4" spans="1:14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  <c r="N21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5" spans="1:14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  <c r="N21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16" spans="1:14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  <c r="N21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17" spans="1:14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  <c r="N21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18" spans="1:14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  <c r="N21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19" spans="1:14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  <c r="N21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20" spans="1:14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  <c r="N22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21" spans="1:14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  <c r="N22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22" spans="1:14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  <c r="N22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23" spans="1:14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  <c r="N22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24" spans="1:14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  <c r="N22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25" spans="1:14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  <c r="N22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26" spans="1:14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  <c r="N22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27" spans="1:14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  <c r="N22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28" spans="1:14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  <c r="N22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29" spans="1:14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  <c r="N2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30" spans="1:14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  <c r="N23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31" spans="1:14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  <c r="N23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32" spans="1:14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  <c r="N23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33" spans="1:14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  <c r="N23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34" spans="1:14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  <c r="N23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35" spans="1:14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  <c r="N23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36" spans="1:14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  <c r="N23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37" spans="1:14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  <c r="N23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38" spans="1:14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  <c r="N23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39" spans="1:14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  <c r="N23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40" spans="1:14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  <c r="N24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41" spans="1:14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  <c r="N24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42" spans="1:14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  <c r="N24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43" spans="1:14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  <c r="N24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44" spans="1:14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  <c r="N24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45" spans="1:14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  <c r="N24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46" spans="1:14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  <c r="N24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47" spans="1:14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  <c r="N2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48" spans="1:14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  <c r="N24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49" spans="1:14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  <c r="N24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50" spans="1:14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  <c r="N25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51" spans="1:14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  <c r="N25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52" spans="1:14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  <c r="N25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53" spans="1:14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  <c r="N25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54" spans="1:14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  <c r="N25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55" spans="1:14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  <c r="N25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56" spans="1:14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  <c r="N25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57" spans="1:14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  <c r="N25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58" spans="1:14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  <c r="N25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59" spans="1:14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  <c r="N25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60" spans="1:14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  <c r="N26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61" spans="1:14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  <c r="N26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62" spans="1:14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  <c r="N26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63" spans="1:14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  <c r="N26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64" spans="1:14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  <c r="N26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65" spans="1:14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  <c r="N26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66" spans="1:14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  <c r="N26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67" spans="1:14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  <c r="N26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68" spans="1:14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  <c r="N2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69" spans="1:14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  <c r="N26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70" spans="1:14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  <c r="N27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71" spans="1:14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  <c r="N27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72" spans="1:14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  <c r="N27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73" spans="1:14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  <c r="N27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74" spans="1:14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  <c r="N27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75" spans="1:14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  <c r="N27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76" spans="1:14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  <c r="N27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77" spans="1:14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  <c r="N27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78" spans="1:14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  <c r="N27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79" spans="1:14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  <c r="N27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80" spans="1:14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  <c r="N28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81" spans="1:14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  <c r="N28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82" spans="1:14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  <c r="N28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83" spans="1:14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  <c r="N28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84" spans="1:14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  <c r="N28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85" spans="1:14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  <c r="N28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86" spans="1:14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  <c r="N28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87" spans="1:14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  <c r="N28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88" spans="1:14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  <c r="N28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89" spans="1:14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  <c r="N28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90" spans="1:14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  <c r="N29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91" spans="1:14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  <c r="N29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92" spans="1:14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  <c r="N29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93" spans="1:14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  <c r="N29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94" spans="1:14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  <c r="N29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95" spans="1:14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  <c r="N29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296" spans="1:14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  <c r="N29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297" spans="1:14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  <c r="N29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298" spans="1:14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  <c r="N29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299" spans="1:14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  <c r="N29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00" spans="1:14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  <c r="N30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01" spans="1:14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  <c r="N30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02" spans="1:14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  <c r="N30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03" spans="1:14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  <c r="N30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04" spans="1:14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  <c r="N30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05" spans="1:14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  <c r="N30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06" spans="1:14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  <c r="N30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07" spans="1:14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  <c r="N30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08" spans="1:14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  <c r="N30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09" spans="1:14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  <c r="N30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10" spans="1:14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  <c r="N31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11" spans="1:14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  <c r="N31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12" spans="1:14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  <c r="N31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13" spans="1:14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  <c r="N31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14" spans="1:14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  <c r="N31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15" spans="1:14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  <c r="N31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16" spans="1:14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  <c r="N31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17" spans="1:14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  <c r="N31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18" spans="1:14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  <c r="N31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19" spans="1:14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  <c r="N31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20" spans="1:14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  <c r="N32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21" spans="1:14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  <c r="N32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22" spans="1:14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  <c r="N32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23" spans="1:14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  <c r="N32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24" spans="1:14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  <c r="N32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25" spans="1:14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  <c r="N32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26" spans="1:14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  <c r="N32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27" spans="1:14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  <c r="N32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28" spans="1:14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  <c r="N32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29" spans="1:14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  <c r="N3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0" spans="1:14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  <c r="N3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31" spans="1:14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  <c r="N33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32" spans="1:14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  <c r="N3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3" spans="1:14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  <c r="N33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34" spans="1:14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  <c r="N33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35" spans="1:14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  <c r="N33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6" spans="1:14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  <c r="N33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7" spans="1:14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  <c r="N33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8" spans="1:14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  <c r="N33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39" spans="1:14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  <c r="N33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0" spans="1:14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  <c r="N34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41" spans="1:14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  <c r="N34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2" spans="1:14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  <c r="N34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43" spans="1:14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  <c r="N34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4" spans="1:14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  <c r="N34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5" spans="1:14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  <c r="N34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6" spans="1:14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  <c r="N34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7" spans="1:14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  <c r="N34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48" spans="1:14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  <c r="N34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49" spans="1:14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  <c r="N34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50" spans="1:14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  <c r="N35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51" spans="1:14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  <c r="N35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52" spans="1:14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  <c r="N35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53" spans="1:14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  <c r="N35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54" spans="1:14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  <c r="N35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55" spans="1:14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  <c r="N35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56" spans="1:14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  <c r="N35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57" spans="1:14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  <c r="N35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58" spans="1:14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  <c r="N35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59" spans="1:14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  <c r="N35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60" spans="1:14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  <c r="N36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61" spans="1:14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  <c r="N36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62" spans="1:14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  <c r="N36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63" spans="1:14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  <c r="N36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64" spans="1:14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  <c r="N36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65" spans="1:14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  <c r="N36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66" spans="1:14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  <c r="N36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67" spans="1:14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  <c r="N36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68" spans="1:14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  <c r="N36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69" spans="1:14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  <c r="N36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70" spans="1:14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  <c r="N37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71" spans="1:14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  <c r="N37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72" spans="1:14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  <c r="N37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73" spans="1:14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  <c r="N37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74" spans="1:14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  <c r="N37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75" spans="1:14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  <c r="N37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76" spans="1:14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  <c r="N37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77" spans="1:14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  <c r="N37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78" spans="1:14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  <c r="N37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79" spans="1:14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  <c r="N37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80" spans="1:14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  <c r="N38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81" spans="1:14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  <c r="N38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82" spans="1:14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  <c r="N38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83" spans="1:14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  <c r="N38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84" spans="1:14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  <c r="N38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85" spans="1:14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  <c r="N38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86" spans="1:14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  <c r="N38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87" spans="1:14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  <c r="N38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88" spans="1:14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  <c r="N38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89" spans="1:14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  <c r="N38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90" spans="1:14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  <c r="N39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91" spans="1:14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  <c r="N3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92" spans="1:14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  <c r="N39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93" spans="1:14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  <c r="N39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94" spans="1:14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  <c r="N39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95" spans="1:14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  <c r="N39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396" spans="1:14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  <c r="N39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397" spans="1:14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  <c r="N39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398" spans="1:14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  <c r="N39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399" spans="1:14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  <c r="N39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00" spans="1:14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  <c r="N40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01" spans="1:14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  <c r="N40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02" spans="1:14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  <c r="N40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03" spans="1:14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  <c r="N40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04" spans="1:14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  <c r="N40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05" spans="1:14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  <c r="N40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06" spans="1:14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  <c r="N40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07" spans="1:14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  <c r="N40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08" spans="1:14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  <c r="N40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09" spans="1:14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  <c r="N40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10" spans="1:14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  <c r="N41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11" spans="1:14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  <c r="N41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12" spans="1:14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  <c r="N41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13" spans="1:14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  <c r="N41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14" spans="1:14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  <c r="N41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15" spans="1:14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  <c r="N41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16" spans="1:14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  <c r="N41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17" spans="1:14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  <c r="N41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18" spans="1:14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  <c r="N41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19" spans="1:14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  <c r="N41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20" spans="1:14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  <c r="N42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21" spans="1:14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  <c r="N42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22" spans="1:14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  <c r="N42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23" spans="1:14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  <c r="N42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24" spans="1:14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  <c r="N42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25" spans="1:14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  <c r="N42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26" spans="1:14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  <c r="N42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27" spans="1:14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  <c r="N42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28" spans="1:14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  <c r="N42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29" spans="1:14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  <c r="N42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30" spans="1:14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  <c r="N4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31" spans="1:14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  <c r="N43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32" spans="1:14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  <c r="N4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33" spans="1:14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  <c r="N43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34" spans="1:14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  <c r="N43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35" spans="1:14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  <c r="N43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36" spans="1:14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  <c r="N43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37" spans="1:14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  <c r="N43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38" spans="1:14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  <c r="N43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39" spans="1:14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  <c r="N43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40" spans="1:14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  <c r="N44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41" spans="1:14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  <c r="N44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42" spans="1:14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  <c r="N44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43" spans="1:14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  <c r="N44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44" spans="1:14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  <c r="N44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45" spans="1:14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  <c r="N44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46" spans="1:14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  <c r="N44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47" spans="1:14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  <c r="N4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48" spans="1:14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  <c r="N44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49" spans="1:14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  <c r="N44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50" spans="1:14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  <c r="N45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51" spans="1:14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  <c r="N45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52" spans="1:14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  <c r="N45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53" spans="1:14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  <c r="N45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54" spans="1:14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  <c r="N45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55" spans="1:14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  <c r="N45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56" spans="1:14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  <c r="N45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57" spans="1:14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  <c r="N45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58" spans="1:14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  <c r="N45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59" spans="1:14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  <c r="N45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60" spans="1:14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  <c r="N46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61" spans="1:14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  <c r="N46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62" spans="1:14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  <c r="N46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63" spans="1:14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  <c r="N46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64" spans="1:14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  <c r="N46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65" spans="1:14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  <c r="N46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66" spans="1:14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  <c r="N46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67" spans="1:14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  <c r="N46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68" spans="1:14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  <c r="N4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69" spans="1:14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  <c r="N46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0" spans="1:14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  <c r="N47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1" spans="1:14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  <c r="N47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2" spans="1:14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  <c r="N47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73" spans="1:14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  <c r="N47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4" spans="1:14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  <c r="N47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75" spans="1:14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  <c r="N47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6" spans="1:14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  <c r="N47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77" spans="1:14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  <c r="N47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8" spans="1:14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  <c r="N47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79" spans="1:14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  <c r="N47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80" spans="1:14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  <c r="N48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81" spans="1:14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  <c r="N48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82" spans="1:14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  <c r="N48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83" spans="1:14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  <c r="N48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84" spans="1:14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  <c r="N48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85" spans="1:14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  <c r="N48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86" spans="1:14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  <c r="N48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87" spans="1:14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  <c r="N48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88" spans="1:14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  <c r="N48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89" spans="1:14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  <c r="N48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90" spans="1:14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  <c r="N49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91" spans="1:14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  <c r="N4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92" spans="1:14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  <c r="N49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93" spans="1:14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  <c r="N49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494" spans="1:14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  <c r="N49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95" spans="1:14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  <c r="N49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96" spans="1:14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  <c r="N49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497" spans="1:14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  <c r="N4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498" spans="1:14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  <c r="N49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499" spans="1:14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  <c r="N49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00" spans="1:14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  <c r="N50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01" spans="1:14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  <c r="N50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02" spans="1:14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  <c r="N50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03" spans="1:14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  <c r="N50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04" spans="1:14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  <c r="N50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05" spans="1:14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  <c r="N50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06" spans="1:14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  <c r="N50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07" spans="1:14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  <c r="N50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08" spans="1:14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  <c r="N50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09" spans="1:14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  <c r="N50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10" spans="1:14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  <c r="N51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11" spans="1:14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  <c r="N51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12" spans="1:14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  <c r="N51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13" spans="1:14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  <c r="N51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14" spans="1:14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  <c r="N51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15" spans="1:14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  <c r="N51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16" spans="1:14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  <c r="N51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17" spans="1:14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  <c r="N51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18" spans="1:14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  <c r="N51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19" spans="1:14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  <c r="N51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20" spans="1:14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  <c r="N52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21" spans="1:14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  <c r="N52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22" spans="1:14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  <c r="N52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23" spans="1:14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  <c r="N52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24" spans="1:14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  <c r="N52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25" spans="1:14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  <c r="N52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26" spans="1:14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  <c r="N52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27" spans="1:14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  <c r="N52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28" spans="1:14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  <c r="N52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29" spans="1:14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  <c r="N5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30" spans="1:14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  <c r="N5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31" spans="1:14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  <c r="N53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32" spans="1:14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  <c r="N53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33" spans="1:14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  <c r="N53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34" spans="1:14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  <c r="N53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35" spans="1:14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  <c r="N53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36" spans="1:14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  <c r="N53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37" spans="1:14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  <c r="N53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38" spans="1:14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  <c r="N53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39" spans="1:14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  <c r="N53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40" spans="1:14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  <c r="N54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41" spans="1:14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  <c r="N54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42" spans="1:14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  <c r="N54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43" spans="1:14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  <c r="N54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44" spans="1:14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  <c r="N54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45" spans="1:14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  <c r="N54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46" spans="1:14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  <c r="N54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47" spans="1:14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  <c r="N5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48" spans="1:14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  <c r="N54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49" spans="1:14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  <c r="N54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50" spans="1:14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  <c r="N55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51" spans="1:14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  <c r="N55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52" spans="1:14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  <c r="N55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53" spans="1:14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  <c r="N55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54" spans="1:14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  <c r="N55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55" spans="1:14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  <c r="N55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56" spans="1:14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  <c r="N55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57" spans="1:14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  <c r="N55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58" spans="1:14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  <c r="N55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59" spans="1:14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  <c r="N55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60" spans="1:14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  <c r="N56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61" spans="1:14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  <c r="N56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62" spans="1:14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  <c r="N56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63" spans="1:14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  <c r="N56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64" spans="1:14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  <c r="N56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65" spans="1:14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  <c r="N56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66" spans="1:14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  <c r="N56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67" spans="1:14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  <c r="N56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68" spans="1:14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  <c r="N5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69" spans="1:14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  <c r="N56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70" spans="1:14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  <c r="N57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71" spans="1:14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  <c r="N57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72" spans="1:14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  <c r="N57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73" spans="1:14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  <c r="N57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74" spans="1:14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  <c r="N57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75" spans="1:14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  <c r="N57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76" spans="1:14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  <c r="N57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77" spans="1:14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  <c r="N57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78" spans="1:14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  <c r="N57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79" spans="1:14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  <c r="N57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80" spans="1:14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  <c r="N58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81" spans="1:14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  <c r="N58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82" spans="1:14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  <c r="N58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83" spans="1:14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  <c r="N58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84" spans="1:14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  <c r="N58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85" spans="1:14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  <c r="N58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86" spans="1:14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  <c r="N58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87" spans="1:14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  <c r="N58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88" spans="1:14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  <c r="N58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89" spans="1:14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  <c r="N58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90" spans="1:14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  <c r="N59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91" spans="1:14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  <c r="N5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92" spans="1:14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  <c r="N59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93" spans="1:14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  <c r="N59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594" spans="1:14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  <c r="N59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95" spans="1:14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  <c r="N59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596" spans="1:14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  <c r="N59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97" spans="1:14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  <c r="N5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598" spans="1:14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  <c r="N59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599" spans="1:14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  <c r="N59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00" spans="1:14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  <c r="N60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01" spans="1:14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  <c r="N60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02" spans="1:14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  <c r="N60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03" spans="1:14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  <c r="N60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04" spans="1:14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  <c r="N60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05" spans="1:14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  <c r="N60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06" spans="1:14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  <c r="N60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07" spans="1:14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  <c r="N60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08" spans="1:14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  <c r="N60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09" spans="1:14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  <c r="N60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10" spans="1:14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  <c r="N61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11" spans="1:14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  <c r="N61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12" spans="1:14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  <c r="N61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13" spans="1:14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  <c r="N61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14" spans="1:14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  <c r="N61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15" spans="1:14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  <c r="N61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16" spans="1:14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  <c r="N61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17" spans="1:14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  <c r="N61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18" spans="1:14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  <c r="N61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19" spans="1:14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  <c r="N61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20" spans="1:14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  <c r="N62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21" spans="1:14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  <c r="N62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22" spans="1:14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  <c r="N62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23" spans="1:14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  <c r="N62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24" spans="1:14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  <c r="N62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25" spans="1:14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  <c r="N62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26" spans="1:14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  <c r="N62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27" spans="1:14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  <c r="N62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28" spans="1:14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  <c r="N62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29" spans="1:14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  <c r="N62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30" spans="1:14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  <c r="N6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31" spans="1:14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  <c r="N63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32" spans="1:14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  <c r="N6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33" spans="1:14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  <c r="N63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34" spans="1:14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  <c r="N63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35" spans="1:14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  <c r="N63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36" spans="1:14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  <c r="N63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37" spans="1:14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  <c r="N63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38" spans="1:14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  <c r="N63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39" spans="1:14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  <c r="N63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40" spans="1:14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  <c r="N64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41" spans="1:14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  <c r="N64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42" spans="1:14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  <c r="N64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43" spans="1:14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  <c r="N64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44" spans="1:14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  <c r="N64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45" spans="1:14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  <c r="N64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46" spans="1:14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  <c r="N64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47" spans="1:14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  <c r="N6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48" spans="1:14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  <c r="N64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49" spans="1:14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  <c r="N64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50" spans="1:14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  <c r="N65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51" spans="1:14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  <c r="N65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52" spans="1:14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  <c r="N65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53" spans="1:14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  <c r="N65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54" spans="1:14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  <c r="N65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55" spans="1:14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  <c r="N65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56" spans="1:14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  <c r="N65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57" spans="1:14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  <c r="N65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58" spans="1:14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  <c r="N65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59" spans="1:14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  <c r="N65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60" spans="1:14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  <c r="N66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61" spans="1:14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  <c r="N66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62" spans="1:14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  <c r="N66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63" spans="1:14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  <c r="N66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64" spans="1:14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  <c r="N66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65" spans="1:14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  <c r="N66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66" spans="1:14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  <c r="N66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67" spans="1:14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  <c r="N66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68" spans="1:14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  <c r="N66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69" spans="1:14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  <c r="N66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70" spans="1:14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  <c r="N67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71" spans="1:14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  <c r="N67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72" spans="1:14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  <c r="N67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73" spans="1:14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  <c r="N67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74" spans="1:14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  <c r="N67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75" spans="1:14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  <c r="N67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76" spans="1:14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  <c r="N67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77" spans="1:14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  <c r="N67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78" spans="1:14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  <c r="N67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79" spans="1:14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  <c r="N67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80" spans="1:14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  <c r="N68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81" spans="1:14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  <c r="N68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82" spans="1:14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  <c r="N68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83" spans="1:14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  <c r="N68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84" spans="1:14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  <c r="N68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85" spans="1:14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  <c r="N68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86" spans="1:14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  <c r="N68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87" spans="1:14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  <c r="N68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88" spans="1:14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  <c r="N68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689" spans="1:14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  <c r="N68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90" spans="1:14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  <c r="N69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91" spans="1:14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  <c r="N69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92" spans="1:14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  <c r="N69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93" spans="1:14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  <c r="N69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94" spans="1:14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  <c r="N69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95" spans="1:14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  <c r="N69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96" spans="1:14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  <c r="N69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697" spans="1:14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  <c r="N6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698" spans="1:14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  <c r="N69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699" spans="1:14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  <c r="N69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00" spans="1:14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  <c r="N70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01" spans="1:14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  <c r="N70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02" spans="1:14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  <c r="N70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03" spans="1:14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  <c r="N70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04" spans="1:14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  <c r="N70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05" spans="1:14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  <c r="N70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06" spans="1:14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  <c r="N70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07" spans="1:14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  <c r="N70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08" spans="1:14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  <c r="N70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09" spans="1:14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  <c r="N70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10" spans="1:14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  <c r="N71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11" spans="1:14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  <c r="N71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12" spans="1:14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  <c r="N71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13" spans="1:14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  <c r="N71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14" spans="1:14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  <c r="N71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15" spans="1:14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  <c r="N71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16" spans="1:14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  <c r="N71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17" spans="1:14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  <c r="N71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18" spans="1:14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  <c r="N71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19" spans="1:14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  <c r="N71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20" spans="1:14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  <c r="N72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21" spans="1:14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  <c r="N72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22" spans="1:14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  <c r="N72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23" spans="1:14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  <c r="N72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24" spans="1:14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  <c r="N72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25" spans="1:14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  <c r="N72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26" spans="1:14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  <c r="N72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27" spans="1:14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  <c r="N72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28" spans="1:14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  <c r="N72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29" spans="1:14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  <c r="N72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30" spans="1:14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  <c r="N73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31" spans="1:14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  <c r="N73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32" spans="1:14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  <c r="N73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33" spans="1:14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  <c r="N73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34" spans="1:14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  <c r="N73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35" spans="1:14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  <c r="N73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36" spans="1:14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  <c r="N73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37" spans="1:14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  <c r="N73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38" spans="1:14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  <c r="N73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39" spans="1:14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  <c r="N73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40" spans="1:14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  <c r="N74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41" spans="1:14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  <c r="N74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42" spans="1:14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  <c r="N74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43" spans="1:14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  <c r="N74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44" spans="1:14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  <c r="N74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45" spans="1:14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  <c r="N74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46" spans="1:14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  <c r="N74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47" spans="1:14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  <c r="N7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48" spans="1:14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  <c r="N74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49" spans="1:14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  <c r="N74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50" spans="1:14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  <c r="N75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51" spans="1:14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  <c r="N75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52" spans="1:14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  <c r="N75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53" spans="1:14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  <c r="N75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54" spans="1:14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  <c r="N75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55" spans="1:14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  <c r="N75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56" spans="1:14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  <c r="N75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57" spans="1:14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  <c r="N75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58" spans="1:14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  <c r="N75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59" spans="1:14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  <c r="N75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60" spans="1:14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  <c r="N76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61" spans="1:14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  <c r="N76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62" spans="1:14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  <c r="N76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63" spans="1:14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  <c r="N76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64" spans="1:14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  <c r="N76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65" spans="1:14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  <c r="N76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66" spans="1:14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  <c r="N76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67" spans="1:14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  <c r="N76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68" spans="1:14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  <c r="N7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69" spans="1:14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  <c r="N76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70" spans="1:14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  <c r="N77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71" spans="1:14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  <c r="N77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72" spans="1:14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  <c r="N77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73" spans="1:14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  <c r="N77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74" spans="1:14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  <c r="N77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75" spans="1:14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  <c r="N77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76" spans="1:14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  <c r="N77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77" spans="1:14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  <c r="N77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78" spans="1:14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  <c r="N77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79" spans="1:14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  <c r="N77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80" spans="1:14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  <c r="N78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81" spans="1:14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  <c r="N78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82" spans="1:14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  <c r="N78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83" spans="1:14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  <c r="N78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84" spans="1:14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  <c r="N78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85" spans="1:14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  <c r="N78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86" spans="1:14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  <c r="N78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87" spans="1:14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  <c r="N78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88" spans="1:14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  <c r="N78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89" spans="1:14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  <c r="N78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90" spans="1:14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  <c r="N79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91" spans="1:14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  <c r="N79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92" spans="1:14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  <c r="N79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93" spans="1:14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  <c r="N79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794" spans="1:14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  <c r="N79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795" spans="1:14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  <c r="N79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96" spans="1:14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  <c r="N79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97" spans="1:14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  <c r="N79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798" spans="1:14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  <c r="N79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799" spans="1:14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  <c r="N79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00" spans="1:14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  <c r="N80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01" spans="1:14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  <c r="N80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02" spans="1:14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  <c r="N80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03" spans="1:14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  <c r="N80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04" spans="1:14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  <c r="N80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05" spans="1:14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  <c r="N80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06" spans="1:14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  <c r="N80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07" spans="1:14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  <c r="N80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08" spans="1:14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  <c r="N80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09" spans="1:14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  <c r="N80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10" spans="1:14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  <c r="N81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11" spans="1:14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  <c r="N81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12" spans="1:14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  <c r="N81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13" spans="1:14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  <c r="N81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14" spans="1:14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  <c r="N81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15" spans="1:14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  <c r="N81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16" spans="1:14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  <c r="N81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17" spans="1:14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  <c r="N81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18" spans="1:14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  <c r="N81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19" spans="1:14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  <c r="N81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20" spans="1:14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  <c r="N82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21" spans="1:14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  <c r="N82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22" spans="1:14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  <c r="N82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23" spans="1:14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  <c r="N82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24" spans="1:14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  <c r="N82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25" spans="1:14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  <c r="N82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26" spans="1:14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  <c r="N82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27" spans="1:14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  <c r="N82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28" spans="1:14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  <c r="N82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29" spans="1:14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  <c r="N8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30" spans="1:14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  <c r="N83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31" spans="1:14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  <c r="N83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32" spans="1:14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  <c r="N8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33" spans="1:14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  <c r="N83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34" spans="1:14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  <c r="N83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35" spans="1:14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  <c r="N83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36" spans="1:14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  <c r="N83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37" spans="1:14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  <c r="N83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38" spans="1:14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  <c r="N83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39" spans="1:14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  <c r="N83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40" spans="1:14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  <c r="N84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41" spans="1:14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  <c r="N84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42" spans="1:14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  <c r="N84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43" spans="1:14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  <c r="N84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44" spans="1:14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  <c r="N84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45" spans="1:14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  <c r="N84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46" spans="1:14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  <c r="N84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47" spans="1:14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  <c r="N84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48" spans="1:14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  <c r="N84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49" spans="1:14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  <c r="N84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50" spans="1:14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  <c r="N85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51" spans="1:14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  <c r="N85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52" spans="1:14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  <c r="N85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53" spans="1:14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  <c r="N85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54" spans="1:14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  <c r="N85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55" spans="1:14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  <c r="N85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56" spans="1:14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  <c r="N85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57" spans="1:14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  <c r="N85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58" spans="1:14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  <c r="N85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59" spans="1:14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  <c r="N85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60" spans="1:14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  <c r="N86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61" spans="1:14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  <c r="N86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62" spans="1:14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  <c r="N86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63" spans="1:14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  <c r="N86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64" spans="1:14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  <c r="N86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65" spans="1:14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  <c r="N86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66" spans="1:14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  <c r="N86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67" spans="1:14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  <c r="N86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68" spans="1:14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  <c r="N8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69" spans="1:14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  <c r="N86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70" spans="1:14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  <c r="N87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71" spans="1:14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  <c r="N87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72" spans="1:14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  <c r="N87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73" spans="1:14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  <c r="N87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74" spans="1:14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  <c r="N87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75" spans="1:14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  <c r="N87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76" spans="1:14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  <c r="N87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77" spans="1:14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  <c r="N87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78" spans="1:14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  <c r="N87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79" spans="1:14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  <c r="N87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80" spans="1:14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  <c r="N88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81" spans="1:14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  <c r="N88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82" spans="1:14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  <c r="N88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83" spans="1:14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  <c r="N88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84" spans="1:14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  <c r="N88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85" spans="1:14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  <c r="N88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86" spans="1:14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  <c r="N88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87" spans="1:14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  <c r="N88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88" spans="1:14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  <c r="N88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89" spans="1:14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  <c r="N88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90" spans="1:14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  <c r="N89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91" spans="1:14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  <c r="N8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892" spans="1:14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  <c r="N89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93" spans="1:14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  <c r="N89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94" spans="1:14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  <c r="N89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95" spans="1:14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  <c r="N89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96" spans="1:14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  <c r="N89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897" spans="1:14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  <c r="N8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898" spans="1:14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  <c r="N89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899" spans="1:14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  <c r="N89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00" spans="1:14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  <c r="N90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01" spans="1:14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  <c r="N90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02" spans="1:14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  <c r="N90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03" spans="1:14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  <c r="N90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04" spans="1:14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  <c r="N90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05" spans="1:14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  <c r="N90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06" spans="1:14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  <c r="N90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07" spans="1:14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  <c r="N90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08" spans="1:14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  <c r="N90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09" spans="1:14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  <c r="N90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10" spans="1:14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  <c r="N91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11" spans="1:14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  <c r="N91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12" spans="1:14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  <c r="N91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13" spans="1:14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  <c r="N91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14" spans="1:14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  <c r="N91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15" spans="1:14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  <c r="N91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16" spans="1:14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  <c r="N91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17" spans="1:14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  <c r="N91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18" spans="1:14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  <c r="N91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19" spans="1:14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  <c r="N91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20" spans="1:14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  <c r="N92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21" spans="1:14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  <c r="N92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22" spans="1:14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  <c r="N92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23" spans="1:14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  <c r="N92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24" spans="1:14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  <c r="N92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25" spans="1:14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  <c r="N92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26" spans="1:14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  <c r="N92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27" spans="1:14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  <c r="N92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28" spans="1:14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  <c r="N92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29" spans="1:14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  <c r="N9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30" spans="1:14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  <c r="N9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31" spans="1:14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  <c r="N93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32" spans="1:14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  <c r="N93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33" spans="1:14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  <c r="N93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34" spans="1:14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  <c r="N93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35" spans="1:14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  <c r="N93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36" spans="1:14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  <c r="N93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37" spans="1:14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  <c r="N93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38" spans="1:14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  <c r="N93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39" spans="1:14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  <c r="N93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40" spans="1:14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  <c r="N94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41" spans="1:14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  <c r="N94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42" spans="1:14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  <c r="N94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43" spans="1:14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  <c r="N94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44" spans="1:14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  <c r="N94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45" spans="1:14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  <c r="N94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46" spans="1:14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  <c r="N94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47" spans="1:14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  <c r="N94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48" spans="1:14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  <c r="N94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49" spans="1:14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  <c r="N94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50" spans="1:14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  <c r="N95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51" spans="1:14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  <c r="N95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52" spans="1:14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  <c r="N95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53" spans="1:14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  <c r="N95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54" spans="1:14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  <c r="N95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55" spans="1:14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  <c r="N95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56" spans="1:14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  <c r="N95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57" spans="1:14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  <c r="N95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58" spans="1:14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  <c r="N95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59" spans="1:14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  <c r="N95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60" spans="1:14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  <c r="N96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61" spans="1:14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  <c r="N96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62" spans="1:14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  <c r="N96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63" spans="1:14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  <c r="N96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64" spans="1:14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  <c r="N96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65" spans="1:14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  <c r="N96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66" spans="1:14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  <c r="N96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67" spans="1:14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  <c r="N96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68" spans="1:14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  <c r="N96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69" spans="1:14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  <c r="N96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70" spans="1:14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  <c r="N97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71" spans="1:14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  <c r="N97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72" spans="1:14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  <c r="N97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73" spans="1:14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  <c r="N97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74" spans="1:14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  <c r="N97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75" spans="1:14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  <c r="N97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76" spans="1:14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  <c r="N97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77" spans="1:14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  <c r="N97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78" spans="1:14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  <c r="N97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79" spans="1:14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  <c r="N97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80" spans="1:14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  <c r="N98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81" spans="1:14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  <c r="N98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82" spans="1:14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  <c r="N98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83" spans="1:14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  <c r="N98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84" spans="1:14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  <c r="N98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85" spans="1:14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  <c r="N98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86" spans="1:14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  <c r="N98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87" spans="1:14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  <c r="N98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88" spans="1:14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  <c r="N98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89" spans="1:14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  <c r="N98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990" spans="1:14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  <c r="N99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91" spans="1:14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  <c r="N99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92" spans="1:14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  <c r="N99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993" spans="1:14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  <c r="N99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994" spans="1:14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  <c r="N99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95" spans="1:14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  <c r="N99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96" spans="1:14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  <c r="N99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97" spans="1:14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  <c r="N99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98" spans="1:14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  <c r="N99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999" spans="1:14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  <c r="N99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00" spans="1:14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  <c r="N100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01" spans="1:14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  <c r="N100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02" spans="1:14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  <c r="N100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03" spans="1:14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  <c r="N100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04" spans="1:14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  <c r="N100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05" spans="1:14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  <c r="N100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06" spans="1:14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  <c r="N100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07" spans="1:14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  <c r="N100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08" spans="1:14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  <c r="N100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09" spans="1:14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  <c r="N100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10" spans="1:14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  <c r="N101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11" spans="1:14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  <c r="N101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12" spans="1:14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  <c r="N101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13" spans="1:14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  <c r="N101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14" spans="1:14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  <c r="N101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15" spans="1:14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  <c r="N101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16" spans="1:14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  <c r="N101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17" spans="1:14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  <c r="N101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18" spans="1:14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  <c r="N101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19" spans="1:14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  <c r="N101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20" spans="1:14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  <c r="N102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21" spans="1:14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  <c r="N102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22" spans="1:14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  <c r="N102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23" spans="1:14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  <c r="N102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24" spans="1:14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  <c r="N102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25" spans="1:14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  <c r="N102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26" spans="1:14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  <c r="N102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27" spans="1:14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  <c r="N102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28" spans="1:14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  <c r="N102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29" spans="1:14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  <c r="N102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30" spans="1:14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  <c r="N10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31" spans="1:14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  <c r="N103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32" spans="1:14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  <c r="N103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33" spans="1:14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  <c r="N103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34" spans="1:14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  <c r="N103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35" spans="1:14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  <c r="N103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36" spans="1:14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  <c r="N103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37" spans="1:14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  <c r="N103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38" spans="1:14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  <c r="N103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39" spans="1:14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  <c r="N103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40" spans="1:14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  <c r="N104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41" spans="1:14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  <c r="N104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42" spans="1:14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  <c r="N1042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43" spans="1:14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  <c r="N104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44" spans="1:14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  <c r="N104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45" spans="1:14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  <c r="N104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46" spans="1:14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  <c r="N104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47" spans="1:14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  <c r="N10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48" spans="1:14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  <c r="N104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49" spans="1:14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  <c r="N104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50" spans="1:14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  <c r="N105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51" spans="1:14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  <c r="N105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52" spans="1:14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  <c r="N105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53" spans="1:14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  <c r="N105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54" spans="1:14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  <c r="N105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55" spans="1:14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  <c r="N105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56" spans="1:14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  <c r="N105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57" spans="1:14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  <c r="N105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58" spans="1:14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  <c r="N105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59" spans="1:14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  <c r="N105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60" spans="1:14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  <c r="N106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61" spans="1:14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  <c r="N106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62" spans="1:14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  <c r="N106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63" spans="1:14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  <c r="N106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64" spans="1:14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  <c r="N106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65" spans="1:14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  <c r="N106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66" spans="1:14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  <c r="N106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67" spans="1:14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  <c r="N106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68" spans="1:14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  <c r="N106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69" spans="1:14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  <c r="N106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70" spans="1:14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  <c r="N107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71" spans="1:14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  <c r="N107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72" spans="1:14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  <c r="N107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3" spans="1:14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  <c r="N107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4" spans="1:14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  <c r="N107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5" spans="1:14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  <c r="N107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6" spans="1:14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  <c r="N107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7" spans="1:14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  <c r="N107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78" spans="1:14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  <c r="N107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79" spans="1:14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  <c r="N107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80" spans="1:14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  <c r="N108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81" spans="1:14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  <c r="N108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82" spans="1:14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  <c r="N108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83" spans="1:14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  <c r="N108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84" spans="1:14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  <c r="N108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85" spans="1:14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  <c r="N108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86" spans="1:14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  <c r="N108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87" spans="1:14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  <c r="N108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88" spans="1:14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  <c r="N108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89" spans="1:14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  <c r="N108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90" spans="1:14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  <c r="N109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91" spans="1:14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  <c r="N10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92" spans="1:14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  <c r="N109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93" spans="1:14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  <c r="N109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94" spans="1:14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  <c r="N109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95" spans="1:14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  <c r="N109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096" spans="1:14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  <c r="N109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097" spans="1:14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  <c r="N1097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098" spans="1:14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  <c r="N109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099" spans="1:14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  <c r="N109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00" spans="1:14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  <c r="N110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01" spans="1:14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  <c r="N110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02" spans="1:14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  <c r="N110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03" spans="1:14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  <c r="N110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04" spans="1:14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  <c r="N110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05" spans="1:14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  <c r="N110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06" spans="1:14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  <c r="N110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07" spans="1:14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  <c r="N110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08" spans="1:14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  <c r="N110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09" spans="1:14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  <c r="N110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0" spans="1:14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  <c r="N111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1" spans="1:14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  <c r="N111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12" spans="1:14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  <c r="N111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3" spans="1:14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  <c r="N111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14" spans="1:14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  <c r="N111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5" spans="1:14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  <c r="N111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6" spans="1:14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  <c r="N111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17" spans="1:14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  <c r="N111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18" spans="1:14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  <c r="N111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19" spans="1:14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  <c r="N111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0" spans="1:14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  <c r="N112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21" spans="1:14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  <c r="N112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2" spans="1:14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  <c r="N112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23" spans="1:14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  <c r="N112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4" spans="1:14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  <c r="N112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5" spans="1:14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  <c r="N112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6" spans="1:14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  <c r="N112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7" spans="1:14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  <c r="N112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28" spans="1:14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  <c r="N112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29" spans="1:14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  <c r="N112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30" spans="1:14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  <c r="N113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31" spans="1:14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  <c r="N113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32" spans="1:14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  <c r="N113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33" spans="1:14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  <c r="N113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34" spans="1:14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  <c r="N113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35" spans="1:14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  <c r="N113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36" spans="1:14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  <c r="N113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37" spans="1:14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  <c r="N113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38" spans="1:14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  <c r="N113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39" spans="1:14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  <c r="N113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40" spans="1:14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  <c r="N114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41" spans="1:14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  <c r="N114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42" spans="1:14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  <c r="N114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43" spans="1:14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  <c r="N1143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44" spans="1:14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  <c r="N1144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45" spans="1:14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  <c r="N114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46" spans="1:14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  <c r="N114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47" spans="1:14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  <c r="N114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48" spans="1:14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  <c r="N1148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49" spans="1:14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  <c r="N1149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50" spans="1:14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  <c r="N1150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51" spans="1:14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  <c r="N115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52" spans="1:14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  <c r="N115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53" spans="1:14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  <c r="N115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54" spans="1:14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  <c r="N115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55" spans="1:14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  <c r="N1155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56" spans="1:14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  <c r="N115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57" spans="1:14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  <c r="N1157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58" spans="1:14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  <c r="N115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59" spans="1:14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  <c r="N115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60" spans="1:14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  <c r="N116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61" spans="1:14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  <c r="N1161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62" spans="1:14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  <c r="N116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63" spans="1:14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  <c r="N116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64" spans="1:14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  <c r="N116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65" spans="1:14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  <c r="N116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66" spans="1:14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  <c r="N1166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67" spans="1:14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  <c r="N116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68" spans="1:14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  <c r="N116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69" spans="1:14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  <c r="N116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70" spans="1:14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  <c r="N117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71" spans="1:14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  <c r="N1171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72" spans="1:14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  <c r="N1172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73" spans="1:14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  <c r="N1173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74" spans="1:14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  <c r="N1174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75" spans="1:14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  <c r="N1175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76" spans="1:14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  <c r="N1176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77" spans="1:14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  <c r="N117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78" spans="1:14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  <c r="N1178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79" spans="1:14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  <c r="N1179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80" spans="1:14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  <c r="N1180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81" spans="1:14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  <c r="N1181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82" spans="1:14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  <c r="N1182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83" spans="1:14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  <c r="N1183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84" spans="1:14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  <c r="N1184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85" spans="1:14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  <c r="N1185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86" spans="1:14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  <c r="N1186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87" spans="1:14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  <c r="N1187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88" spans="1:14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  <c r="N1188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89" spans="1:14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  <c r="N1189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90" spans="1:14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  <c r="N1190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91" spans="1:14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  <c r="N1191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92" spans="1:14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  <c r="N1192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93" spans="1:14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  <c r="N1193" t="str">
        <f>IF(Teen_Mental_Health_Dataset[[#This Row],[age]]&lt;=14, "13-14", IF(Teen_Mental_Health_Dataset[[#This Row],[age]] &lt;=16, "15-16", IF(Teen_Mental_Health_Dataset[[#This Row],[age]]&lt;=18, "17-18","19")))</f>
        <v>19</v>
      </c>
    </row>
    <row r="1194" spans="1:14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  <c r="N1194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95" spans="1:14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  <c r="N1195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196" spans="1:14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  <c r="N1196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97" spans="1:14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  <c r="N1197" t="str">
        <f>IF(Teen_Mental_Health_Dataset[[#This Row],[age]]&lt;=14, "13-14", IF(Teen_Mental_Health_Dataset[[#This Row],[age]] &lt;=16, "15-16", IF(Teen_Mental_Health_Dataset[[#This Row],[age]]&lt;=18, "17-18","19")))</f>
        <v>17-18</v>
      </c>
    </row>
    <row r="1198" spans="1:14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  <c r="N1198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199" spans="1:14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  <c r="N1199" t="str">
        <f>IF(Teen_Mental_Health_Dataset[[#This Row],[age]]&lt;=14, "13-14", IF(Teen_Mental_Health_Dataset[[#This Row],[age]] &lt;=16, "15-16", IF(Teen_Mental_Health_Dataset[[#This Row],[age]]&lt;=18, "17-18","19")))</f>
        <v>13-14</v>
      </c>
    </row>
    <row r="1200" spans="1:14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  <c r="N1200" t="str">
        <f>IF(Teen_Mental_Health_Dataset[[#This Row],[age]]&lt;=14, "13-14", IF(Teen_Mental_Health_Dataset[[#This Row],[age]] &lt;=16, "15-16", IF(Teen_Mental_Health_Dataset[[#This Row],[age]]&lt;=18, "17-18","19")))</f>
        <v>15-16</v>
      </c>
    </row>
    <row r="1201" spans="1:14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  <c r="N1201" t="str">
        <f>IF(Teen_Mental_Health_Dataset[[#This Row],[age]]&lt;=14, "13-14", IF(Teen_Mental_Health_Dataset[[#This Row],[age]] &lt;=16, "15-16", IF(Teen_Mental_Health_Dataset[[#This Row],[age]]&lt;=18, "17-18","19")))</f>
        <v>15-16</v>
      </c>
    </row>
  </sheetData>
  <phoneticPr fontId="1" type="noConversion"/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7543B-EEB3-41D3-B5F0-17286805BF35}">
  <dimension ref="A3:D35"/>
  <sheetViews>
    <sheetView workbookViewId="0">
      <selection activeCell="L37" sqref="L37"/>
    </sheetView>
  </sheetViews>
  <sheetFormatPr defaultRowHeight="14.25"/>
  <cols>
    <col min="1" max="1" width="13.125" bestFit="1" customWidth="1"/>
    <col min="2" max="2" width="22.25" bestFit="1" customWidth="1"/>
    <col min="3" max="4" width="11.875" bestFit="1" customWidth="1"/>
  </cols>
  <sheetData>
    <row r="3" spans="1:4">
      <c r="A3" s="1" t="s">
        <v>31</v>
      </c>
      <c r="B3" s="1" t="s">
        <v>32</v>
      </c>
    </row>
    <row r="4" spans="1:4">
      <c r="A4" s="1" t="s">
        <v>29</v>
      </c>
      <c r="B4" t="s">
        <v>16</v>
      </c>
      <c r="C4" t="s">
        <v>13</v>
      </c>
      <c r="D4" t="s">
        <v>30</v>
      </c>
    </row>
    <row r="5" spans="1:4">
      <c r="A5" s="2" t="s">
        <v>20</v>
      </c>
      <c r="B5">
        <v>5.4550264550264549</v>
      </c>
      <c r="C5">
        <v>5.5346534653465342</v>
      </c>
      <c r="D5">
        <v>5.4961636828644505</v>
      </c>
    </row>
    <row r="6" spans="1:4">
      <c r="A6" s="2" t="s">
        <v>14</v>
      </c>
      <c r="B6">
        <v>5.4679802955665027</v>
      </c>
      <c r="C6">
        <v>5.6923076923076925</v>
      </c>
      <c r="D6">
        <v>5.5815085158150852</v>
      </c>
    </row>
    <row r="7" spans="1:4">
      <c r="A7" s="2" t="s">
        <v>17</v>
      </c>
      <c r="B7">
        <v>5.5336787564766841</v>
      </c>
      <c r="C7">
        <v>5.692682926829268</v>
      </c>
      <c r="D7">
        <v>5.6155778894472359</v>
      </c>
    </row>
    <row r="8" spans="1:4">
      <c r="A8" s="2" t="s">
        <v>30</v>
      </c>
      <c r="B8">
        <v>5.4854700854700855</v>
      </c>
      <c r="C8">
        <v>5.640650406504065</v>
      </c>
      <c r="D8">
        <v>5.5650000000000004</v>
      </c>
    </row>
    <row r="30" spans="1:2">
      <c r="A30" s="1" t="s">
        <v>29</v>
      </c>
      <c r="B30" t="s">
        <v>50</v>
      </c>
    </row>
    <row r="31" spans="1:2">
      <c r="A31" s="2" t="s">
        <v>46</v>
      </c>
      <c r="B31">
        <v>5.7705382436260626</v>
      </c>
    </row>
    <row r="32" spans="1:2">
      <c r="A32" s="2" t="s">
        <v>47</v>
      </c>
      <c r="B32">
        <v>5.2857142857142856</v>
      </c>
    </row>
    <row r="33" spans="1:2">
      <c r="A33" s="2" t="s">
        <v>48</v>
      </c>
      <c r="B33">
        <v>5.1871345029239766</v>
      </c>
    </row>
    <row r="34" spans="1:2">
      <c r="A34" s="2" t="s">
        <v>49</v>
      </c>
      <c r="B34">
        <v>5.6234567901234565</v>
      </c>
    </row>
    <row r="35" spans="1:2">
      <c r="A35" s="2" t="s">
        <v>30</v>
      </c>
      <c r="B35">
        <v>5.4458333333333337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D2724-523F-460A-BCD4-3F50F94A2D5D}">
  <dimension ref="A1:G16"/>
  <sheetViews>
    <sheetView tabSelected="1" zoomScale="160" zoomScaleNormal="160" workbookViewId="0">
      <selection activeCell="C12" sqref="C12"/>
    </sheetView>
  </sheetViews>
  <sheetFormatPr defaultRowHeight="14.25"/>
  <cols>
    <col min="1" max="1" width="12.625" customWidth="1"/>
    <col min="2" max="2" width="10.125" customWidth="1"/>
    <col min="3" max="3" width="12.625" bestFit="1" customWidth="1"/>
    <col min="5" max="5" width="12.625" bestFit="1" customWidth="1"/>
  </cols>
  <sheetData>
    <row r="1" spans="1:7">
      <c r="A1" t="s">
        <v>33</v>
      </c>
      <c r="B1" t="s">
        <v>22</v>
      </c>
      <c r="C1" t="s">
        <v>34</v>
      </c>
      <c r="F1" t="s">
        <v>22</v>
      </c>
      <c r="G1" t="s">
        <v>34</v>
      </c>
    </row>
    <row r="2" spans="1:7">
      <c r="A2">
        <v>1</v>
      </c>
      <c r="B2" t="s">
        <v>14</v>
      </c>
      <c r="C2" t="str">
        <f>_xlfn.XLOOKUP(Table4[[#This Row],[Platform]], Table6[Platform], Table6[Risk_Label])</f>
        <v>Moderate Risk</v>
      </c>
      <c r="F2" t="s">
        <v>14</v>
      </c>
      <c r="G2" t="s">
        <v>35</v>
      </c>
    </row>
    <row r="3" spans="1:7">
      <c r="A3">
        <v>2</v>
      </c>
      <c r="B3" t="s">
        <v>23</v>
      </c>
      <c r="C3" t="str">
        <f>_xlfn.XLOOKUP(Table4[[#This Row],[Platform]], Table6[Platform], Table6[Risk_Label])</f>
        <v>High Risk</v>
      </c>
      <c r="F3" t="s">
        <v>23</v>
      </c>
      <c r="G3" t="s">
        <v>36</v>
      </c>
    </row>
    <row r="4" spans="1:7">
      <c r="A4">
        <v>3</v>
      </c>
      <c r="B4" t="s">
        <v>20</v>
      </c>
      <c r="C4" t="str">
        <f>_xlfn.XLOOKUP(Table4[[#This Row],[Platform]], Table6[Platform], Table6[Risk_Label])</f>
        <v>Low Risk</v>
      </c>
      <c r="F4" t="s">
        <v>20</v>
      </c>
      <c r="G4" t="s">
        <v>37</v>
      </c>
    </row>
    <row r="5" spans="1:7">
      <c r="A5">
        <v>4</v>
      </c>
      <c r="B5" t="s">
        <v>14</v>
      </c>
      <c r="C5" t="str">
        <f>_xlfn.XLOOKUP(Table4[[#This Row],[Platform]], Table6[Platform], Table6[Risk_Label])</f>
        <v>Moderate Risk</v>
      </c>
    </row>
    <row r="6" spans="1:7">
      <c r="A6">
        <v>5</v>
      </c>
      <c r="B6" t="s">
        <v>23</v>
      </c>
      <c r="C6" t="str">
        <f>_xlfn.XLOOKUP(Table4[[#This Row],[Platform]], Table6[Platform], Table6[Risk_Label])</f>
        <v>High Risk</v>
      </c>
    </row>
    <row r="9" spans="1:7">
      <c r="A9" t="s">
        <v>33</v>
      </c>
      <c r="B9" t="s">
        <v>38</v>
      </c>
      <c r="C9" t="s">
        <v>39</v>
      </c>
      <c r="F9" t="s">
        <v>38</v>
      </c>
      <c r="G9" t="s">
        <v>39</v>
      </c>
    </row>
    <row r="10" spans="1:7">
      <c r="A10">
        <v>1</v>
      </c>
      <c r="B10">
        <v>13</v>
      </c>
      <c r="C10" t="str">
        <f>_xlfn.XLOOKUP(Table8[[#This Row],[Age]],$F$10:$F$16, $G$10:$G$16, "Out of Range")</f>
        <v>Early Teen</v>
      </c>
      <c r="F10">
        <v>13</v>
      </c>
      <c r="G10" t="s">
        <v>40</v>
      </c>
    </row>
    <row r="11" spans="1:7">
      <c r="A11">
        <v>2</v>
      </c>
      <c r="B11">
        <v>15</v>
      </c>
      <c r="C11" t="str">
        <f>_xlfn.XLOOKUP(Table8[[#This Row],[Age]],$F$10:$F$16, $G$10:$G$16, "Out of Range")</f>
        <v>Mid Teen</v>
      </c>
      <c r="F11">
        <v>14</v>
      </c>
      <c r="G11" t="s">
        <v>40</v>
      </c>
    </row>
    <row r="12" spans="1:7">
      <c r="A12">
        <v>3</v>
      </c>
      <c r="B12">
        <v>17</v>
      </c>
      <c r="C12" t="str">
        <f>_xlfn.XLOOKUP(Table8[[#This Row],[Age]],$F$10:$F$16, $G$10:$G$16, "Out of Range")</f>
        <v>Late Teen</v>
      </c>
      <c r="F12">
        <v>15</v>
      </c>
      <c r="G12" t="s">
        <v>41</v>
      </c>
    </row>
    <row r="13" spans="1:7">
      <c r="A13">
        <v>4</v>
      </c>
      <c r="B13">
        <v>19</v>
      </c>
      <c r="C13" t="str">
        <f>_xlfn.XLOOKUP(Table8[[#This Row],[Age]],$F$10:$F$16, $G$10:$G$16, "Out of Range")</f>
        <v>Late Teen</v>
      </c>
      <c r="F13">
        <v>16</v>
      </c>
      <c r="G13" t="s">
        <v>41</v>
      </c>
    </row>
    <row r="14" spans="1:7">
      <c r="A14">
        <v>5</v>
      </c>
      <c r="B14">
        <v>14</v>
      </c>
      <c r="C14" t="str">
        <f>_xlfn.XLOOKUP(Table8[[#This Row],[Age]],$F$10:$F$16, $G$10:$G$16, "Out of Range")</f>
        <v>Early Teen</v>
      </c>
      <c r="F14">
        <v>17</v>
      </c>
      <c r="G14" t="s">
        <v>42</v>
      </c>
    </row>
    <row r="15" spans="1:7">
      <c r="A15">
        <v>6</v>
      </c>
      <c r="B15">
        <v>25</v>
      </c>
      <c r="C15" t="str">
        <f>_xlfn.XLOOKUP(Table8[[#This Row],[Age]],$F$10:$F$16, $G$10:$G$16, "Out of Range")</f>
        <v>Out of Range</v>
      </c>
      <c r="F15">
        <v>18</v>
      </c>
      <c r="G15" t="s">
        <v>42</v>
      </c>
    </row>
    <row r="16" spans="1:7">
      <c r="A16">
        <v>7</v>
      </c>
      <c r="B16">
        <v>12</v>
      </c>
      <c r="C16" t="str">
        <f>_xlfn.XLOOKUP(Table8[[#This Row],[Age]],$F$10:$F$16, $G$10:$G$16, "Out of Range")</f>
        <v>Out of Range</v>
      </c>
      <c r="F16">
        <v>19</v>
      </c>
      <c r="G16" t="s">
        <v>42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B2B9-072A-4A0A-9137-FC4344104B65}">
  <dimension ref="A1:L38"/>
  <sheetViews>
    <sheetView showGridLines="0" zoomScale="85" zoomScaleNormal="85" workbookViewId="0">
      <selection activeCell="O23" sqref="O23"/>
    </sheetView>
  </sheetViews>
  <sheetFormatPr defaultRowHeight="14.25"/>
  <cols>
    <col min="1" max="1" width="12.25" customWidth="1"/>
    <col min="2" max="2" width="30" bestFit="1" customWidth="1"/>
    <col min="3" max="4" width="12.25" customWidth="1"/>
    <col min="5" max="5" width="41.375" bestFit="1" customWidth="1"/>
    <col min="6" max="7" width="12.25" customWidth="1"/>
    <col min="8" max="8" width="34.75" bestFit="1" customWidth="1"/>
    <col min="9" max="12" width="12.25" customWidth="1"/>
  </cols>
  <sheetData>
    <row r="1" spans="1:12" ht="37.5">
      <c r="A1" s="9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30">
      <c r="B3" s="4" t="s">
        <v>44</v>
      </c>
      <c r="C3" s="3"/>
      <c r="D3" s="3"/>
      <c r="E3" s="4" t="s">
        <v>45</v>
      </c>
      <c r="F3" s="3"/>
      <c r="G3" s="3"/>
      <c r="H3" s="4" t="s">
        <v>24</v>
      </c>
    </row>
    <row r="4" spans="1:12" ht="30">
      <c r="B4" s="5">
        <v>1200</v>
      </c>
      <c r="C4" s="3"/>
      <c r="D4" s="3"/>
      <c r="E4" s="6">
        <f>AVERAGE(Teen_Mental_Health_Dataset!L:L)</f>
        <v>5.5650000000000004</v>
      </c>
      <c r="F4" s="3"/>
      <c r="G4" s="3"/>
      <c r="H4" s="6">
        <f>AVERAGE(Teen_Mental_Health_Dataset!E:E)</f>
        <v>6.4494166666666679</v>
      </c>
    </row>
    <row r="32" spans="2:2" ht="20.25">
      <c r="B32" s="7" t="s">
        <v>51</v>
      </c>
    </row>
    <row r="34" spans="2:2" ht="18">
      <c r="B34" s="8" t="s">
        <v>52</v>
      </c>
    </row>
    <row r="35" spans="2:2" ht="18">
      <c r="B35" s="8" t="s">
        <v>53</v>
      </c>
    </row>
    <row r="36" spans="2:2" ht="18">
      <c r="B36" s="8" t="s">
        <v>54</v>
      </c>
    </row>
    <row r="37" spans="2:2" ht="18">
      <c r="B37" s="8" t="s">
        <v>55</v>
      </c>
    </row>
    <row r="38" spans="2:2" ht="18">
      <c r="B38" s="8" t="s">
        <v>56</v>
      </c>
    </row>
  </sheetData>
  <mergeCells count="1">
    <mergeCell ref="A1:L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8EB5D8-8A5F-4E8E-A8F1-01BFEF9F08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Teen_Mental_Health_Dataset</vt:lpstr>
      <vt:lpstr>Pivotchart</vt:lpstr>
      <vt:lpstr>Sheet2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Paolo Follante</dc:creator>
  <cp:lastModifiedBy>Adrian Paolo Follante</cp:lastModifiedBy>
  <dcterms:created xsi:type="dcterms:W3CDTF">2026-05-22T08:12:49Z</dcterms:created>
  <dcterms:modified xsi:type="dcterms:W3CDTF">2026-05-26T04:14:02Z</dcterms:modified>
</cp:coreProperties>
</file>