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OneDrive\Documents\Data Analyst Portfolio\"/>
    </mc:Choice>
  </mc:AlternateContent>
  <xr:revisionPtr revIDLastSave="0" documentId="13_ncr:1_{9CFB1C34-9209-453E-A2AA-C7E28865E418}" xr6:coauthVersionLast="47" xr6:coauthVersionMax="47" xr10:uidLastSave="{00000000-0000-0000-0000-000000000000}"/>
  <bookViews>
    <workbookView xWindow="-120" yWindow="-120" windowWidth="29040" windowHeight="15720" firstSheet="3" activeTab="5" xr2:uid="{4B974A3C-4444-424D-8088-AB883E590F50}"/>
  </bookViews>
  <sheets>
    <sheet name="Sheet2" sheetId="3" r:id="rId1"/>
    <sheet name="messy_clinic_appointments" sheetId="2" r:id="rId2"/>
    <sheet name="Data_Entry" sheetId="4" r:id="rId3"/>
    <sheet name="Sheet4" sheetId="5" r:id="rId4"/>
    <sheet name="Sheet1" sheetId="1" r:id="rId5"/>
    <sheet name="messy_clinic_appointments (2)" sheetId="7" r:id="rId6"/>
    <sheet name="Sheet5" sheetId="6" r:id="rId7"/>
  </sheets>
  <definedNames>
    <definedName name="_xlcn.WorksheetConnection_Book1messy_clinic_appointments1" hidden="1">messy_clinic_appointments[]</definedName>
    <definedName name="ExternalData_1" localSheetId="1" hidden="1">messy_clinic_appointments!$A$1:$K$1002</definedName>
    <definedName name="ExternalData_1" localSheetId="5" hidden="1">'messy_clinic_appointments (2)'!$A$1:$J$1002</definedName>
  </definedNames>
  <calcPr calcId="191029"/>
  <pivotCaches>
    <pivotCache cacheId="13" r:id="rId8"/>
    <pivotCache cacheId="18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ssy_clinic_appointments" name="messy_clinic_appointments" connection="WorksheetConnection_Book1!messy_clinic_appointmen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L10" i="2"/>
  <c r="L11" i="2"/>
  <c r="L12" i="2"/>
  <c r="L13" i="2"/>
  <c r="L14" i="2"/>
  <c r="L15" i="2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L26" i="2"/>
  <c r="L27" i="2"/>
  <c r="L28" i="2"/>
  <c r="L29" i="2"/>
  <c r="L30" i="2"/>
  <c r="L31" i="2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L42" i="2"/>
  <c r="L43" i="2"/>
  <c r="L44" i="2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L58" i="2"/>
  <c r="L59" i="2"/>
  <c r="L60" i="2"/>
  <c r="L61" i="2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L74" i="2"/>
  <c r="L75" i="2"/>
  <c r="L76" i="2"/>
  <c r="L77" i="2"/>
  <c r="L78" i="2"/>
  <c r="L79" i="2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L90" i="2"/>
  <c r="L91" i="2"/>
  <c r="L92" i="2"/>
  <c r="L93" i="2"/>
  <c r="L94" i="2"/>
  <c r="L95" i="2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L106" i="2"/>
  <c r="L107" i="2"/>
  <c r="L108" i="2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L122" i="2"/>
  <c r="L123" i="2"/>
  <c r="L124" i="2"/>
  <c r="L125" i="2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L138" i="2"/>
  <c r="L139" i="2"/>
  <c r="L140" i="2"/>
  <c r="L141" i="2"/>
  <c r="L142" i="2"/>
  <c r="L143" i="2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L154" i="2"/>
  <c r="L155" i="2"/>
  <c r="L156" i="2"/>
  <c r="L157" i="2"/>
  <c r="L158" i="2"/>
  <c r="L159" i="2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L170" i="2"/>
  <c r="L171" i="2"/>
  <c r="L172" i="2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L186" i="2"/>
  <c r="L187" i="2"/>
  <c r="L188" i="2"/>
  <c r="L189" i="2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L202" i="2"/>
  <c r="L203" i="2"/>
  <c r="L204" i="2"/>
  <c r="L205" i="2"/>
  <c r="L206" i="2"/>
  <c r="L207" i="2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L218" i="2"/>
  <c r="L219" i="2"/>
  <c r="L220" i="2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L234" i="2"/>
  <c r="L235" i="2"/>
  <c r="L236" i="2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L250" i="2"/>
  <c r="L251" i="2"/>
  <c r="L252" i="2"/>
  <c r="L253" i="2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L266" i="2"/>
  <c r="L267" i="2"/>
  <c r="L268" i="2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L282" i="2"/>
  <c r="L283" i="2"/>
  <c r="L284" i="2"/>
  <c r="L285" i="2"/>
  <c r="L286" i="2"/>
  <c r="L287" i="2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L298" i="2"/>
  <c r="L299" i="2"/>
  <c r="L300" i="2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L314" i="2"/>
  <c r="L315" i="2"/>
  <c r="L316" i="2"/>
  <c r="L317" i="2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L330" i="2"/>
  <c r="L331" i="2"/>
  <c r="L332" i="2"/>
  <c r="L333" i="2"/>
  <c r="L334" i="2"/>
  <c r="L335" i="2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L346" i="2"/>
  <c r="L347" i="2"/>
  <c r="L348" i="2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L362" i="2"/>
  <c r="L363" i="2"/>
  <c r="L364" i="2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L378" i="2"/>
  <c r="L379" i="2"/>
  <c r="L380" i="2"/>
  <c r="L381" i="2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L394" i="2"/>
  <c r="L395" i="2"/>
  <c r="L396" i="2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L410" i="2"/>
  <c r="L411" i="2"/>
  <c r="L412" i="2"/>
  <c r="L413" i="2"/>
  <c r="L414" i="2"/>
  <c r="L415" i="2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L426" i="2"/>
  <c r="L427" i="2"/>
  <c r="L428" i="2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L442" i="2"/>
  <c r="L443" i="2"/>
  <c r="L444" i="2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L458" i="2"/>
  <c r="L459" i="2"/>
  <c r="L460" i="2"/>
  <c r="L461" i="2"/>
  <c r="L462" i="2"/>
  <c r="L463" i="2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L474" i="2"/>
  <c r="L475" i="2"/>
  <c r="L476" i="2"/>
  <c r="L477" i="2"/>
  <c r="L478" i="2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L490" i="2"/>
  <c r="L491" i="2"/>
  <c r="L492" i="2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L506" i="2"/>
  <c r="L507" i="2"/>
  <c r="L508" i="2"/>
  <c r="L509" i="2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L522" i="2"/>
  <c r="L523" i="2"/>
  <c r="L524" i="2"/>
  <c r="L525" i="2"/>
  <c r="L526" i="2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L538" i="2"/>
  <c r="L539" i="2"/>
  <c r="L540" i="2"/>
  <c r="L541" i="2"/>
  <c r="L542" i="2"/>
  <c r="L543" i="2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L554" i="2"/>
  <c r="L555" i="2"/>
  <c r="L556" i="2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L570" i="2"/>
  <c r="L571" i="2"/>
  <c r="L572" i="2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L586" i="2"/>
  <c r="L587" i="2"/>
  <c r="L588" i="2"/>
  <c r="L589" i="2"/>
  <c r="L590" i="2"/>
  <c r="L591" i="2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L602" i="2"/>
  <c r="L603" i="2"/>
  <c r="L604" i="2"/>
  <c r="L605" i="2"/>
  <c r="L606" i="2"/>
  <c r="L607" i="2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L618" i="2"/>
  <c r="L619" i="2"/>
  <c r="L620" i="2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L634" i="2"/>
  <c r="L635" i="2"/>
  <c r="L636" i="2"/>
  <c r="L637" i="2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L650" i="2"/>
  <c r="L651" i="2"/>
  <c r="L652" i="2"/>
  <c r="L653" i="2"/>
  <c r="L654" i="2"/>
  <c r="L655" i="2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L666" i="2"/>
  <c r="L667" i="2"/>
  <c r="L668" i="2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L682" i="2"/>
  <c r="L683" i="2"/>
  <c r="L684" i="2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L698" i="2"/>
  <c r="L699" i="2"/>
  <c r="L700" i="2"/>
  <c r="L701" i="2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L714" i="2"/>
  <c r="L715" i="2"/>
  <c r="L716" i="2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L730" i="2"/>
  <c r="L731" i="2"/>
  <c r="L732" i="2"/>
  <c r="L733" i="2"/>
  <c r="L734" i="2"/>
  <c r="L735" i="2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L746" i="2"/>
  <c r="L747" i="2"/>
  <c r="L748" i="2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L762" i="2"/>
  <c r="L763" i="2"/>
  <c r="L764" i="2"/>
  <c r="L765" i="2"/>
  <c r="L766" i="2"/>
  <c r="M766" i="2" s="1"/>
  <c r="L767" i="2"/>
  <c r="M767" i="2" s="1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 s="1"/>
  <c r="L776" i="2"/>
  <c r="M776" i="2" s="1"/>
  <c r="L777" i="2"/>
  <c r="L778" i="2"/>
  <c r="L779" i="2"/>
  <c r="L780" i="2"/>
  <c r="L781" i="2"/>
  <c r="L782" i="2"/>
  <c r="L783" i="2"/>
  <c r="L784" i="2"/>
  <c r="M784" i="2" s="1"/>
  <c r="L785" i="2"/>
  <c r="M785" i="2" s="1"/>
  <c r="L786" i="2"/>
  <c r="M786" i="2" s="1"/>
  <c r="L787" i="2"/>
  <c r="M787" i="2" s="1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L794" i="2"/>
  <c r="L795" i="2"/>
  <c r="L796" i="2"/>
  <c r="L797" i="2"/>
  <c r="M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L810" i="2"/>
  <c r="L811" i="2"/>
  <c r="L812" i="2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L826" i="2"/>
  <c r="L827" i="2"/>
  <c r="L828" i="2"/>
  <c r="L829" i="2"/>
  <c r="L830" i="2"/>
  <c r="M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L838" i="2"/>
  <c r="M838" i="2" s="1"/>
  <c r="L839" i="2"/>
  <c r="M839" i="2" s="1"/>
  <c r="L840" i="2"/>
  <c r="M840" i="2" s="1"/>
  <c r="L841" i="2"/>
  <c r="L842" i="2"/>
  <c r="L843" i="2"/>
  <c r="L844" i="2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L858" i="2"/>
  <c r="L859" i="2"/>
  <c r="L860" i="2"/>
  <c r="L861" i="2"/>
  <c r="L862" i="2"/>
  <c r="L863" i="2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M869" i="2" s="1"/>
  <c r="L870" i="2"/>
  <c r="M870" i="2" s="1"/>
  <c r="L871" i="2"/>
  <c r="M871" i="2" s="1"/>
  <c r="L872" i="2"/>
  <c r="M872" i="2" s="1"/>
  <c r="L873" i="2"/>
  <c r="L874" i="2"/>
  <c r="L875" i="2"/>
  <c r="L876" i="2"/>
  <c r="L877" i="2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L887" i="2"/>
  <c r="M887" i="2" s="1"/>
  <c r="L888" i="2"/>
  <c r="M888" i="2" s="1"/>
  <c r="L889" i="2"/>
  <c r="L890" i="2"/>
  <c r="L891" i="2"/>
  <c r="L892" i="2"/>
  <c r="L893" i="2"/>
  <c r="M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L906" i="2"/>
  <c r="L907" i="2"/>
  <c r="L908" i="2"/>
  <c r="L909" i="2"/>
  <c r="L910" i="2"/>
  <c r="L911" i="2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M917" i="2" s="1"/>
  <c r="L918" i="2"/>
  <c r="M918" i="2" s="1"/>
  <c r="L919" i="2"/>
  <c r="M919" i="2" s="1"/>
  <c r="L920" i="2"/>
  <c r="M920" i="2" s="1"/>
  <c r="L921" i="2"/>
  <c r="L922" i="2"/>
  <c r="L923" i="2"/>
  <c r="L924" i="2"/>
  <c r="L925" i="2"/>
  <c r="L926" i="2"/>
  <c r="L927" i="2"/>
  <c r="L928" i="2"/>
  <c r="M928" i="2" s="1"/>
  <c r="L929" i="2"/>
  <c r="M929" i="2" s="1"/>
  <c r="L930" i="2"/>
  <c r="M930" i="2" s="1"/>
  <c r="L931" i="2"/>
  <c r="M931" i="2" s="1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L938" i="2"/>
  <c r="L939" i="2"/>
  <c r="L940" i="2"/>
  <c r="L941" i="2"/>
  <c r="L942" i="2"/>
  <c r="L943" i="2"/>
  <c r="L944" i="2"/>
  <c r="M944" i="2" s="1"/>
  <c r="L945" i="2"/>
  <c r="M945" i="2" s="1"/>
  <c r="L946" i="2"/>
  <c r="M946" i="2" s="1"/>
  <c r="L947" i="2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L954" i="2"/>
  <c r="L955" i="2"/>
  <c r="L956" i="2"/>
  <c r="L957" i="2"/>
  <c r="M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L970" i="2"/>
  <c r="L971" i="2"/>
  <c r="L972" i="2"/>
  <c r="L973" i="2"/>
  <c r="M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L985" i="2"/>
  <c r="L986" i="2"/>
  <c r="L987" i="2"/>
  <c r="L988" i="2"/>
  <c r="L989" i="2"/>
  <c r="L990" i="2"/>
  <c r="L991" i="2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L1002" i="2"/>
  <c r="M9" i="2"/>
  <c r="M10" i="2"/>
  <c r="M11" i="2"/>
  <c r="M12" i="2"/>
  <c r="M13" i="2"/>
  <c r="M14" i="2"/>
  <c r="M15" i="2"/>
  <c r="M25" i="2"/>
  <c r="M26" i="2"/>
  <c r="M27" i="2"/>
  <c r="M28" i="2"/>
  <c r="M29" i="2"/>
  <c r="M30" i="2"/>
  <c r="M31" i="2"/>
  <c r="M41" i="2"/>
  <c r="M42" i="2"/>
  <c r="M43" i="2"/>
  <c r="M44" i="2"/>
  <c r="M57" i="2"/>
  <c r="M58" i="2"/>
  <c r="M59" i="2"/>
  <c r="M60" i="2"/>
  <c r="M61" i="2"/>
  <c r="M73" i="2"/>
  <c r="M74" i="2"/>
  <c r="M75" i="2"/>
  <c r="M76" i="2"/>
  <c r="M77" i="2"/>
  <c r="M78" i="2"/>
  <c r="M79" i="2"/>
  <c r="M89" i="2"/>
  <c r="M90" i="2"/>
  <c r="M91" i="2"/>
  <c r="M92" i="2"/>
  <c r="M93" i="2"/>
  <c r="M94" i="2"/>
  <c r="M95" i="2"/>
  <c r="M105" i="2"/>
  <c r="M106" i="2"/>
  <c r="M107" i="2"/>
  <c r="M108" i="2"/>
  <c r="M121" i="2"/>
  <c r="M122" i="2"/>
  <c r="M123" i="2"/>
  <c r="M124" i="2"/>
  <c r="M125" i="2"/>
  <c r="M137" i="2"/>
  <c r="M138" i="2"/>
  <c r="M139" i="2"/>
  <c r="M140" i="2"/>
  <c r="M141" i="2"/>
  <c r="M142" i="2"/>
  <c r="M143" i="2"/>
  <c r="M153" i="2"/>
  <c r="M154" i="2"/>
  <c r="M155" i="2"/>
  <c r="M156" i="2"/>
  <c r="M157" i="2"/>
  <c r="M158" i="2"/>
  <c r="M159" i="2"/>
  <c r="M169" i="2"/>
  <c r="M170" i="2"/>
  <c r="M171" i="2"/>
  <c r="M172" i="2"/>
  <c r="M185" i="2"/>
  <c r="M186" i="2"/>
  <c r="M187" i="2"/>
  <c r="M188" i="2"/>
  <c r="M189" i="2"/>
  <c r="M201" i="2"/>
  <c r="M202" i="2"/>
  <c r="M203" i="2"/>
  <c r="M204" i="2"/>
  <c r="M205" i="2"/>
  <c r="M206" i="2"/>
  <c r="M207" i="2"/>
  <c r="M217" i="2"/>
  <c r="M218" i="2"/>
  <c r="M219" i="2"/>
  <c r="M220" i="2"/>
  <c r="M233" i="2"/>
  <c r="M234" i="2"/>
  <c r="M235" i="2"/>
  <c r="M236" i="2"/>
  <c r="M249" i="2"/>
  <c r="M250" i="2"/>
  <c r="M251" i="2"/>
  <c r="M252" i="2"/>
  <c r="M253" i="2"/>
  <c r="M265" i="2"/>
  <c r="M266" i="2"/>
  <c r="M267" i="2"/>
  <c r="M268" i="2"/>
  <c r="M281" i="2"/>
  <c r="M282" i="2"/>
  <c r="M283" i="2"/>
  <c r="M284" i="2"/>
  <c r="M285" i="2"/>
  <c r="M286" i="2"/>
  <c r="M287" i="2"/>
  <c r="M297" i="2"/>
  <c r="M298" i="2"/>
  <c r="M299" i="2"/>
  <c r="M300" i="2"/>
  <c r="M313" i="2"/>
  <c r="M314" i="2"/>
  <c r="M315" i="2"/>
  <c r="M316" i="2"/>
  <c r="M317" i="2"/>
  <c r="M329" i="2"/>
  <c r="M330" i="2"/>
  <c r="M331" i="2"/>
  <c r="M332" i="2"/>
  <c r="M333" i="2"/>
  <c r="M334" i="2"/>
  <c r="M335" i="2"/>
  <c r="M345" i="2"/>
  <c r="M346" i="2"/>
  <c r="M347" i="2"/>
  <c r="M348" i="2"/>
  <c r="M361" i="2"/>
  <c r="M362" i="2"/>
  <c r="M363" i="2"/>
  <c r="M364" i="2"/>
  <c r="M377" i="2"/>
  <c r="M378" i="2"/>
  <c r="M379" i="2"/>
  <c r="M380" i="2"/>
  <c r="M381" i="2"/>
  <c r="M393" i="2"/>
  <c r="M394" i="2"/>
  <c r="M395" i="2"/>
  <c r="M396" i="2"/>
  <c r="M409" i="2"/>
  <c r="M410" i="2"/>
  <c r="M411" i="2"/>
  <c r="M412" i="2"/>
  <c r="M413" i="2"/>
  <c r="M414" i="2"/>
  <c r="M415" i="2"/>
  <c r="M425" i="2"/>
  <c r="M426" i="2"/>
  <c r="M427" i="2"/>
  <c r="M428" i="2"/>
  <c r="M441" i="2"/>
  <c r="M442" i="2"/>
  <c r="M443" i="2"/>
  <c r="M444" i="2"/>
  <c r="M457" i="2"/>
  <c r="M458" i="2"/>
  <c r="M459" i="2"/>
  <c r="M460" i="2"/>
  <c r="M461" i="2"/>
  <c r="M462" i="2"/>
  <c r="M463" i="2"/>
  <c r="M473" i="2"/>
  <c r="M474" i="2"/>
  <c r="M475" i="2"/>
  <c r="M476" i="2"/>
  <c r="M477" i="2"/>
  <c r="M478" i="2"/>
  <c r="M489" i="2"/>
  <c r="M490" i="2"/>
  <c r="M491" i="2"/>
  <c r="M492" i="2"/>
  <c r="M505" i="2"/>
  <c r="M506" i="2"/>
  <c r="M507" i="2"/>
  <c r="M508" i="2"/>
  <c r="M509" i="2"/>
  <c r="M521" i="2"/>
  <c r="M522" i="2"/>
  <c r="M523" i="2"/>
  <c r="M524" i="2"/>
  <c r="M525" i="2"/>
  <c r="M526" i="2"/>
  <c r="M537" i="2"/>
  <c r="M538" i="2"/>
  <c r="M539" i="2"/>
  <c r="M540" i="2"/>
  <c r="M541" i="2"/>
  <c r="M542" i="2"/>
  <c r="M543" i="2"/>
  <c r="M553" i="2"/>
  <c r="M554" i="2"/>
  <c r="M555" i="2"/>
  <c r="M556" i="2"/>
  <c r="M569" i="2"/>
  <c r="M570" i="2"/>
  <c r="M571" i="2"/>
  <c r="M572" i="2"/>
  <c r="M585" i="2"/>
  <c r="M586" i="2"/>
  <c r="M587" i="2"/>
  <c r="M588" i="2"/>
  <c r="M589" i="2"/>
  <c r="M590" i="2"/>
  <c r="M591" i="2"/>
  <c r="M601" i="2"/>
  <c r="M602" i="2"/>
  <c r="M603" i="2"/>
  <c r="M604" i="2"/>
  <c r="M605" i="2"/>
  <c r="M606" i="2"/>
  <c r="M607" i="2"/>
  <c r="M617" i="2"/>
  <c r="M618" i="2"/>
  <c r="M619" i="2"/>
  <c r="M620" i="2"/>
  <c r="M633" i="2"/>
  <c r="M634" i="2"/>
  <c r="M635" i="2"/>
  <c r="M636" i="2"/>
  <c r="M637" i="2"/>
  <c r="M649" i="2"/>
  <c r="M650" i="2"/>
  <c r="M651" i="2"/>
  <c r="M652" i="2"/>
  <c r="M653" i="2"/>
  <c r="M654" i="2"/>
  <c r="M655" i="2"/>
  <c r="M665" i="2"/>
  <c r="M666" i="2"/>
  <c r="M667" i="2"/>
  <c r="M668" i="2"/>
  <c r="M681" i="2"/>
  <c r="M682" i="2"/>
  <c r="M683" i="2"/>
  <c r="M684" i="2"/>
  <c r="M697" i="2"/>
  <c r="M698" i="2"/>
  <c r="M699" i="2"/>
  <c r="M700" i="2"/>
  <c r="M701" i="2"/>
  <c r="M713" i="2"/>
  <c r="M714" i="2"/>
  <c r="M715" i="2"/>
  <c r="M716" i="2"/>
  <c r="M729" i="2"/>
  <c r="M730" i="2"/>
  <c r="M731" i="2"/>
  <c r="M732" i="2"/>
  <c r="M733" i="2"/>
  <c r="M734" i="2"/>
  <c r="M735" i="2"/>
  <c r="M745" i="2"/>
  <c r="M746" i="2"/>
  <c r="M747" i="2"/>
  <c r="M748" i="2"/>
  <c r="M761" i="2"/>
  <c r="M762" i="2"/>
  <c r="M763" i="2"/>
  <c r="M764" i="2"/>
  <c r="M765" i="2"/>
  <c r="M777" i="2"/>
  <c r="M778" i="2"/>
  <c r="M779" i="2"/>
  <c r="M780" i="2"/>
  <c r="M781" i="2"/>
  <c r="M782" i="2"/>
  <c r="M783" i="2"/>
  <c r="M793" i="2"/>
  <c r="M794" i="2"/>
  <c r="M795" i="2"/>
  <c r="M796" i="2"/>
  <c r="M809" i="2"/>
  <c r="M810" i="2"/>
  <c r="M811" i="2"/>
  <c r="M812" i="2"/>
  <c r="M825" i="2"/>
  <c r="M826" i="2"/>
  <c r="M827" i="2"/>
  <c r="M828" i="2"/>
  <c r="M829" i="2"/>
  <c r="M841" i="2"/>
  <c r="M842" i="2"/>
  <c r="M843" i="2"/>
  <c r="M844" i="2"/>
  <c r="M857" i="2"/>
  <c r="M858" i="2"/>
  <c r="M859" i="2"/>
  <c r="M860" i="2"/>
  <c r="M861" i="2"/>
  <c r="M862" i="2"/>
  <c r="M863" i="2"/>
  <c r="M873" i="2"/>
  <c r="M874" i="2"/>
  <c r="M875" i="2"/>
  <c r="M876" i="2"/>
  <c r="M877" i="2"/>
  <c r="M889" i="2"/>
  <c r="M890" i="2"/>
  <c r="M891" i="2"/>
  <c r="M892" i="2"/>
  <c r="M905" i="2"/>
  <c r="M906" i="2"/>
  <c r="M907" i="2"/>
  <c r="M908" i="2"/>
  <c r="M909" i="2"/>
  <c r="M910" i="2"/>
  <c r="M911" i="2"/>
  <c r="M921" i="2"/>
  <c r="M922" i="2"/>
  <c r="M923" i="2"/>
  <c r="M924" i="2"/>
  <c r="M925" i="2"/>
  <c r="M926" i="2"/>
  <c r="M927" i="2"/>
  <c r="M937" i="2"/>
  <c r="M938" i="2"/>
  <c r="M939" i="2"/>
  <c r="M940" i="2"/>
  <c r="M941" i="2"/>
  <c r="M942" i="2"/>
  <c r="M943" i="2"/>
  <c r="M947" i="2"/>
  <c r="M953" i="2"/>
  <c r="M954" i="2"/>
  <c r="M955" i="2"/>
  <c r="M956" i="2"/>
  <c r="M969" i="2"/>
  <c r="M970" i="2"/>
  <c r="M971" i="2"/>
  <c r="M972" i="2"/>
  <c r="M985" i="2"/>
  <c r="M986" i="2"/>
  <c r="M987" i="2"/>
  <c r="M988" i="2"/>
  <c r="M989" i="2"/>
  <c r="M990" i="2"/>
  <c r="M991" i="2"/>
  <c r="M1001" i="2"/>
  <c r="M1002" i="2"/>
  <c r="B9" i="5"/>
  <c r="B10" i="5"/>
  <c r="B11" i="5"/>
  <c r="B12" i="5"/>
  <c r="B13" i="5"/>
  <c r="G3" i="5"/>
  <c r="G2" i="5"/>
  <c r="C3" i="5"/>
  <c r="C4" i="5"/>
  <c r="C5" i="5"/>
  <c r="C2" i="5"/>
  <c r="C6" i="1"/>
  <c r="O6" i="1"/>
  <c r="I6" i="1"/>
  <c r="I36" i="3"/>
  <c r="I37" i="3"/>
  <c r="I38" i="3"/>
  <c r="I3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D32FEF-0AAB-4521-B908-4756B6AE30D2}" keepAlive="1" name="Query - messy_clinic_appointments" description="Connection to the 'messy_clinic_appointments' query in the workbook." type="5" refreshedVersion="8" background="1" saveData="1">
    <dbPr connection="Provider=Microsoft.Mashup.OleDb.1;Data Source=$Workbook$;Location=messy_clinic_appointments;Extended Properties=&quot;&quot;" command="SELECT * FROM [messy_clinic_appointments]"/>
  </connection>
  <connection id="2" xr16:uid="{70F9F0B8-E4B9-4F1D-B62B-76A85FA54CCF}" keepAlive="1" name="Query - messy_clinic_appointments (2)" description="Connection to the 'messy_clinic_appointments (2)' query in the workbook." type="5" refreshedVersion="8" background="1" saveData="1">
    <dbPr connection="Provider=Microsoft.Mashup.OleDb.1;Data Source=$Workbook$;Location=&quot;messy_clinic_appointments (2)&quot;;Extended Properties=&quot;&quot;" command="SELECT * FROM [messy_clinic_appointments (2)]"/>
  </connection>
  <connection id="3" xr16:uid="{3B600EAD-D006-46A0-ACFD-4ED3227FE1A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52AD694-8ABE-4A9B-9C38-EB95A77EBD1E}" name="WorksheetConnection_Book1!messy_clinic_appointments" type="102" refreshedVersion="8" minRefreshableVersion="5">
    <extLst>
      <ext xmlns:x15="http://schemas.microsoft.com/office/spreadsheetml/2010/11/main" uri="{DE250136-89BD-433C-8126-D09CA5730AF9}">
        <x15:connection id="messy_clinic_appointments" autoDelete="1">
          <x15:rangePr sourceName="_xlcn.WorksheetConnection_Book1messy_clinic_appointments1"/>
        </x15:connection>
      </ext>
    </extLst>
  </connection>
</connections>
</file>

<file path=xl/sharedStrings.xml><?xml version="1.0" encoding="utf-8"?>
<sst xmlns="http://schemas.openxmlformats.org/spreadsheetml/2006/main" count="11101" uniqueCount="2968">
  <si>
    <t>patient_id</t>
  </si>
  <si>
    <t>patient_name</t>
  </si>
  <si>
    <t>age</t>
  </si>
  <si>
    <t>gender</t>
  </si>
  <si>
    <t>appointment_date</t>
  </si>
  <si>
    <t>booking_date</t>
  </si>
  <si>
    <t>doctor</t>
  </si>
  <si>
    <t>department</t>
  </si>
  <si>
    <t>billing_amount</t>
  </si>
  <si>
    <t>follow_up_required</t>
  </si>
  <si>
    <t>Tammy Williams</t>
  </si>
  <si>
    <t>Christopher Graham</t>
  </si>
  <si>
    <t>Cardiology</t>
  </si>
  <si>
    <t>Megan Strickland</t>
  </si>
  <si>
    <t>Brandon Lewis</t>
  </si>
  <si>
    <t>Orthopedics</t>
  </si>
  <si>
    <t>Amanda Schroeder</t>
  </si>
  <si>
    <t>Deanna Edwards</t>
  </si>
  <si>
    <t>Neurology</t>
  </si>
  <si>
    <t>Anthony Mcpherson</t>
  </si>
  <si>
    <t>Karen Parsons</t>
  </si>
  <si>
    <t>General</t>
  </si>
  <si>
    <t>No</t>
  </si>
  <si>
    <t>Benjamin Brown</t>
  </si>
  <si>
    <t/>
  </si>
  <si>
    <t>Andrea Hernandez</t>
  </si>
  <si>
    <t>Joe Sharp</t>
  </si>
  <si>
    <t>Kimberly Fields</t>
  </si>
  <si>
    <t>Yes</t>
  </si>
  <si>
    <t>Alexander Harris</t>
  </si>
  <si>
    <t>Female</t>
  </si>
  <si>
    <t>Jim Jones</t>
  </si>
  <si>
    <t>Raymond Williams</t>
  </si>
  <si>
    <t>James Brooks</t>
  </si>
  <si>
    <t>Dustin Willis</t>
  </si>
  <si>
    <t>Jamie Hill</t>
  </si>
  <si>
    <t>Tina Gallagher</t>
  </si>
  <si>
    <t>Robert Guerrero</t>
  </si>
  <si>
    <t>Shane Brown</t>
  </si>
  <si>
    <t>Karen Walker</t>
  </si>
  <si>
    <t>Natalie White</t>
  </si>
  <si>
    <t>Chris Rice</t>
  </si>
  <si>
    <t>Amy Olson</t>
  </si>
  <si>
    <t>Michael Mack</t>
  </si>
  <si>
    <t>John Larsen II</t>
  </si>
  <si>
    <t>Andrea Hubbard</t>
  </si>
  <si>
    <t>Andrea Gates</t>
  </si>
  <si>
    <t>Brian Jones</t>
  </si>
  <si>
    <t>Robert Navarro</t>
  </si>
  <si>
    <t>Kelly Olsen</t>
  </si>
  <si>
    <t>Male</t>
  </si>
  <si>
    <t>Christopher Bryant</t>
  </si>
  <si>
    <t>Andrew Oconnor</t>
  </si>
  <si>
    <t>Christina Hill</t>
  </si>
  <si>
    <t>Dennis Hurley</t>
  </si>
  <si>
    <t>Daniel Jacobson</t>
  </si>
  <si>
    <t>Paul Brock</t>
  </si>
  <si>
    <t>Kayla Savage</t>
  </si>
  <si>
    <t>Jennifer Aguirre</t>
  </si>
  <si>
    <t>Richard Huang</t>
  </si>
  <si>
    <t>Todd Wilson</t>
  </si>
  <si>
    <t>Rebecca Harrington</t>
  </si>
  <si>
    <t>Jeremiah Cole</t>
  </si>
  <si>
    <t>Louis Turner</t>
  </si>
  <si>
    <t>Vincent Brown</t>
  </si>
  <si>
    <t>Brianna Garcia</t>
  </si>
  <si>
    <t>Tracy Mcdonald</t>
  </si>
  <si>
    <t>Daniel Gutierrez</t>
  </si>
  <si>
    <t>Phillip Simpson</t>
  </si>
  <si>
    <t>Darren Brooks</t>
  </si>
  <si>
    <t>Penny Friedman</t>
  </si>
  <si>
    <t>Janice Taylor</t>
  </si>
  <si>
    <t>Cynthia Hensley</t>
  </si>
  <si>
    <t>David Robles</t>
  </si>
  <si>
    <t>Cassandra Gardner</t>
  </si>
  <si>
    <t>Gregory Kirk</t>
  </si>
  <si>
    <t>Patrick Saunders</t>
  </si>
  <si>
    <t>Casey Wagner</t>
  </si>
  <si>
    <t>Angel Kelly</t>
  </si>
  <si>
    <t>Stephanie Taylor</t>
  </si>
  <si>
    <t>Heather Baker</t>
  </si>
  <si>
    <t>Andrew Thomas</t>
  </si>
  <si>
    <t>Stacy Cunningham</t>
  </si>
  <si>
    <t>Laura Klein</t>
  </si>
  <si>
    <t>Nicole Shaw</t>
  </si>
  <si>
    <t>Mr. Brian Morton</t>
  </si>
  <si>
    <t>Michele Park</t>
  </si>
  <si>
    <t>Robert Sparks</t>
  </si>
  <si>
    <t>Leslie Silva</t>
  </si>
  <si>
    <t>Thomas Brandt</t>
  </si>
  <si>
    <t>Katelyn Smith</t>
  </si>
  <si>
    <t>Robert Henry</t>
  </si>
  <si>
    <t>John Yang</t>
  </si>
  <si>
    <t>Anthony Jensen</t>
  </si>
  <si>
    <t>Judy Blair</t>
  </si>
  <si>
    <t>Kevin Benton</t>
  </si>
  <si>
    <t>Jennifer Long</t>
  </si>
  <si>
    <t>Thomas Hernandez</t>
  </si>
  <si>
    <t>Melanie Gibson</t>
  </si>
  <si>
    <t>Alison Stanton</t>
  </si>
  <si>
    <t>Amanda Jones</t>
  </si>
  <si>
    <t>Christopher Morris</t>
  </si>
  <si>
    <t>Donna West</t>
  </si>
  <si>
    <t>Troy Hill</t>
  </si>
  <si>
    <t>Edward Sanders</t>
  </si>
  <si>
    <t>Steven Bailey</t>
  </si>
  <si>
    <t>Michael Levine</t>
  </si>
  <si>
    <t>Janet Ray</t>
  </si>
  <si>
    <t>Loretta Richardson</t>
  </si>
  <si>
    <t>Shane Jackson</t>
  </si>
  <si>
    <t>Kathleen Jones</t>
  </si>
  <si>
    <t>Diana Baker</t>
  </si>
  <si>
    <t>Michael Allen</t>
  </si>
  <si>
    <t>Kari Jackson</t>
  </si>
  <si>
    <t>Jeremiah Rose</t>
  </si>
  <si>
    <t>Kim Allen</t>
  </si>
  <si>
    <t>Regina Wilson</t>
  </si>
  <si>
    <t>Jenny Zuniga</t>
  </si>
  <si>
    <t>Samantha Mosley</t>
  </si>
  <si>
    <t>Thomas Thomas</t>
  </si>
  <si>
    <t>Kathleen Porter</t>
  </si>
  <si>
    <t>Christine Calhoun</t>
  </si>
  <si>
    <t>Cheryl Michael</t>
  </si>
  <si>
    <t>Thomas Bennett</t>
  </si>
  <si>
    <t>Lawrence Rios</t>
  </si>
  <si>
    <t>Christopher Lee</t>
  </si>
  <si>
    <t>Vanessa Jones</t>
  </si>
  <si>
    <t>Courtney Knight</t>
  </si>
  <si>
    <t>Tiffany Burke</t>
  </si>
  <si>
    <t>Charles Lopez</t>
  </si>
  <si>
    <t>Joseph Church</t>
  </si>
  <si>
    <t>Ricky Velazquez</t>
  </si>
  <si>
    <t>Heather Jackson</t>
  </si>
  <si>
    <t>Todd Silva</t>
  </si>
  <si>
    <t>Adam Sanders</t>
  </si>
  <si>
    <t>Patrick Floyd</t>
  </si>
  <si>
    <t>Edward Perry</t>
  </si>
  <si>
    <t>James Miller</t>
  </si>
  <si>
    <t>Bonnie Boone</t>
  </si>
  <si>
    <t>Lorraine Figueroa</t>
  </si>
  <si>
    <t>Robert Brown</t>
  </si>
  <si>
    <t>Jamie Sosa</t>
  </si>
  <si>
    <t>Matthew Cross</t>
  </si>
  <si>
    <t>Connie Wood</t>
  </si>
  <si>
    <t>Jennifer Stark</t>
  </si>
  <si>
    <t>Jason Williams</t>
  </si>
  <si>
    <t>Jordan Camacho Jr.</t>
  </si>
  <si>
    <t>Alexis Carter</t>
  </si>
  <si>
    <t>Elizabeth Bryant</t>
  </si>
  <si>
    <t>Rebecca Kim</t>
  </si>
  <si>
    <t>Matthew Valdez</t>
  </si>
  <si>
    <t>Rachel Terry</t>
  </si>
  <si>
    <t>Richard Woodard</t>
  </si>
  <si>
    <t>Whitney Hoffman</t>
  </si>
  <si>
    <t>Chad Reed</t>
  </si>
  <si>
    <t>Jennifer Adams</t>
  </si>
  <si>
    <t>Jessica Heath</t>
  </si>
  <si>
    <t>Sherri Long</t>
  </si>
  <si>
    <t>Clayton Williamson</t>
  </si>
  <si>
    <t>Glen Diaz</t>
  </si>
  <si>
    <t>Timothy Walter</t>
  </si>
  <si>
    <t>Miss Julie Rodriguez</t>
  </si>
  <si>
    <t>Katelyn Miller</t>
  </si>
  <si>
    <t>Andrea Cruz</t>
  </si>
  <si>
    <t>Elizabeth Decker</t>
  </si>
  <si>
    <t>Brandi Hale</t>
  </si>
  <si>
    <t>Jessica Smith</t>
  </si>
  <si>
    <t>Crystal Mack</t>
  </si>
  <si>
    <t>James Johnston</t>
  </si>
  <si>
    <t>Drew Bartlett</t>
  </si>
  <si>
    <t>Christine Price</t>
  </si>
  <si>
    <t>Susan Brown</t>
  </si>
  <si>
    <t>Amy Mayer</t>
  </si>
  <si>
    <t>Jim Patterson</t>
  </si>
  <si>
    <t>Samuel Moore</t>
  </si>
  <si>
    <t>Heather Everett</t>
  </si>
  <si>
    <t>Jamie Mcclure</t>
  </si>
  <si>
    <t>Katherine Sanders</t>
  </si>
  <si>
    <t>Luke Price</t>
  </si>
  <si>
    <t>Virginia Lang</t>
  </si>
  <si>
    <t>Luis Rodriguez</t>
  </si>
  <si>
    <t>Pamela Brown</t>
  </si>
  <si>
    <t>Melinda Duncan</t>
  </si>
  <si>
    <t>Craig Nixon</t>
  </si>
  <si>
    <t>William Key</t>
  </si>
  <si>
    <t>Justin Caldwell</t>
  </si>
  <si>
    <t>Ronnie Miller</t>
  </si>
  <si>
    <t>Cassandra Collins</t>
  </si>
  <si>
    <t>Mark Lutz</t>
  </si>
  <si>
    <t>Adam Torres</t>
  </si>
  <si>
    <t>Daniel Le</t>
  </si>
  <si>
    <t>Carol Foster</t>
  </si>
  <si>
    <t>Bryan Mann</t>
  </si>
  <si>
    <t>Chelsey Moore</t>
  </si>
  <si>
    <t>Randy Garrett</t>
  </si>
  <si>
    <t>John Hensley</t>
  </si>
  <si>
    <t>Paul Tate</t>
  </si>
  <si>
    <t>Chelsea Burns</t>
  </si>
  <si>
    <t>Michael Morales</t>
  </si>
  <si>
    <t>Ryan Miller</t>
  </si>
  <si>
    <t>Alexa Peterson</t>
  </si>
  <si>
    <t>Jared Green</t>
  </si>
  <si>
    <t>Brenda Castro</t>
  </si>
  <si>
    <t>Traci Chandler</t>
  </si>
  <si>
    <t>Tyler Carter</t>
  </si>
  <si>
    <t>Kenneth Graham</t>
  </si>
  <si>
    <t>Wayne Graham</t>
  </si>
  <si>
    <t>Angela Watkins</t>
  </si>
  <si>
    <t>Kyle Russell</t>
  </si>
  <si>
    <t>Keith Becker</t>
  </si>
  <si>
    <t>Kristopher Collier</t>
  </si>
  <si>
    <t>Nicole Hoffman</t>
  </si>
  <si>
    <t>Robert Mitchell</t>
  </si>
  <si>
    <t>Hannah Perez</t>
  </si>
  <si>
    <t>Rita Smith</t>
  </si>
  <si>
    <t>Amanda Fuller</t>
  </si>
  <si>
    <t>Anthony Cruz</t>
  </si>
  <si>
    <t>Tina Lewis</t>
  </si>
  <si>
    <t>Derrick Salazar</t>
  </si>
  <si>
    <t>Sarah Hahn</t>
  </si>
  <si>
    <t>Theresa Lee</t>
  </si>
  <si>
    <t>Destiny Martin</t>
  </si>
  <si>
    <t>Lynn Jones</t>
  </si>
  <si>
    <t>Megan Mitchell</t>
  </si>
  <si>
    <t>Desiree Giles</t>
  </si>
  <si>
    <t>Benjamin Hughes</t>
  </si>
  <si>
    <t>Nicholas Mcneil</t>
  </si>
  <si>
    <t>John Anderson</t>
  </si>
  <si>
    <t>Paul Blackburn</t>
  </si>
  <si>
    <t>Chelsea Matthews</t>
  </si>
  <si>
    <t>Elizabeth Obrien</t>
  </si>
  <si>
    <t>Monica Horton</t>
  </si>
  <si>
    <t>Kayla Stein</t>
  </si>
  <si>
    <t>Joanna Tucker</t>
  </si>
  <si>
    <t>Andrew Gray</t>
  </si>
  <si>
    <t>Dr. Peggy Mendoza</t>
  </si>
  <si>
    <t>Ashley Flowers</t>
  </si>
  <si>
    <t>Victoria Gomez</t>
  </si>
  <si>
    <t>Nicole Chandler</t>
  </si>
  <si>
    <t>Daniel Rivera</t>
  </si>
  <si>
    <t>Morgan Green</t>
  </si>
  <si>
    <t>Harry Wallace</t>
  </si>
  <si>
    <t>Nancy Hernandez</t>
  </si>
  <si>
    <t>Alicia Scott</t>
  </si>
  <si>
    <t>William Cochran</t>
  </si>
  <si>
    <t>Melissa Lane</t>
  </si>
  <si>
    <t>Vanessa Pittman</t>
  </si>
  <si>
    <t>Olivia Lambert</t>
  </si>
  <si>
    <t>Melanie Blanchard</t>
  </si>
  <si>
    <t>Russell Taylor</t>
  </si>
  <si>
    <t>Breanna Gray</t>
  </si>
  <si>
    <t>Joshua Sanchez DDS</t>
  </si>
  <si>
    <t>George Flores</t>
  </si>
  <si>
    <t>Kayla Drake</t>
  </si>
  <si>
    <t>Jennifer Long DDS</t>
  </si>
  <si>
    <t>Karen Carter</t>
  </si>
  <si>
    <t>Chase Clark</t>
  </si>
  <si>
    <t>Andrew Baker</t>
  </si>
  <si>
    <t>Michael Gillespie</t>
  </si>
  <si>
    <t>Richard Hernandez</t>
  </si>
  <si>
    <t>Daniel Bradley</t>
  </si>
  <si>
    <t>Matthew Rivera</t>
  </si>
  <si>
    <t>Theodore Bean</t>
  </si>
  <si>
    <t>Benjamin Jenkins</t>
  </si>
  <si>
    <t>Michael Bond</t>
  </si>
  <si>
    <t>John Johnson</t>
  </si>
  <si>
    <t>Steve Bush</t>
  </si>
  <si>
    <t>Martha Zavala</t>
  </si>
  <si>
    <t>Penny Freeman</t>
  </si>
  <si>
    <t>Daniel Ballard</t>
  </si>
  <si>
    <t>Willie Williams</t>
  </si>
  <si>
    <t>Mariah Davis</t>
  </si>
  <si>
    <t>Douglas Ford</t>
  </si>
  <si>
    <t>Timothy Osborne</t>
  </si>
  <si>
    <t>Christopher Ferguson</t>
  </si>
  <si>
    <t>Kelsey Collins</t>
  </si>
  <si>
    <t>Gabrielle Collins</t>
  </si>
  <si>
    <t>David Kramer</t>
  </si>
  <si>
    <t>Anne Watkins</t>
  </si>
  <si>
    <t>Patricia King</t>
  </si>
  <si>
    <t>Sheri Kline</t>
  </si>
  <si>
    <t>Jennifer Russell</t>
  </si>
  <si>
    <t>Troy White</t>
  </si>
  <si>
    <t>Cindy Cox</t>
  </si>
  <si>
    <t>David Young</t>
  </si>
  <si>
    <t>Amy Williams</t>
  </si>
  <si>
    <t>Tim Flowers</t>
  </si>
  <si>
    <t>Kimberly Henson</t>
  </si>
  <si>
    <t>Gregory Garcia</t>
  </si>
  <si>
    <t>Megan Jensen</t>
  </si>
  <si>
    <t>Max Martinez</t>
  </si>
  <si>
    <t>Joshua Sellers</t>
  </si>
  <si>
    <t>Paul Hinton</t>
  </si>
  <si>
    <t>Lindsey Fitzpatrick</t>
  </si>
  <si>
    <t>Thomas Landry</t>
  </si>
  <si>
    <t>Brandon Moore</t>
  </si>
  <si>
    <t>Alexander Le</t>
  </si>
  <si>
    <t>Cynthia Booker</t>
  </si>
  <si>
    <t>Joseph Irwin</t>
  </si>
  <si>
    <t>Jacob Kerr</t>
  </si>
  <si>
    <t>Corey Smith</t>
  </si>
  <si>
    <t>Luke Williams</t>
  </si>
  <si>
    <t>Brandon Baker</t>
  </si>
  <si>
    <t>Alison Walters</t>
  </si>
  <si>
    <t>John Campbell</t>
  </si>
  <si>
    <t>Tanya Baxter</t>
  </si>
  <si>
    <t>Craig Hunt</t>
  </si>
  <si>
    <t>Cynthia Brown</t>
  </si>
  <si>
    <t>Lisa Cameron</t>
  </si>
  <si>
    <t>Karen Hunt</t>
  </si>
  <si>
    <t>Nathaniel Wood</t>
  </si>
  <si>
    <t>Alec Hill</t>
  </si>
  <si>
    <t>Dr. Lindsey Arias DDS</t>
  </si>
  <si>
    <t>Colton Williams</t>
  </si>
  <si>
    <t>Timothy Matthews</t>
  </si>
  <si>
    <t>Brandy Sutton</t>
  </si>
  <si>
    <t>Katelyn Byrd</t>
  </si>
  <si>
    <t>Barbara Chavez</t>
  </si>
  <si>
    <t>Jeffrey Bates</t>
  </si>
  <si>
    <t>Lisa Ho</t>
  </si>
  <si>
    <t>Kevin Johnson</t>
  </si>
  <si>
    <t>Lance Smith</t>
  </si>
  <si>
    <t>Kelly Mcknight</t>
  </si>
  <si>
    <t>Jerry Lopez</t>
  </si>
  <si>
    <t>Jamie Wright</t>
  </si>
  <si>
    <t>Lori Hall</t>
  </si>
  <si>
    <t>Kimberly Conner</t>
  </si>
  <si>
    <t>Steven Holland</t>
  </si>
  <si>
    <t>Kelli Page</t>
  </si>
  <si>
    <t>Stephanie Wall</t>
  </si>
  <si>
    <t>Deanna Abbott</t>
  </si>
  <si>
    <t>Damon Hayes</t>
  </si>
  <si>
    <t>Lindsay Rodriguez</t>
  </si>
  <si>
    <t>Troy Lynch</t>
  </si>
  <si>
    <t>Christopher Singleton</t>
  </si>
  <si>
    <t>Brandy Graves</t>
  </si>
  <si>
    <t>Michael Walsh</t>
  </si>
  <si>
    <t>Tammy Watts</t>
  </si>
  <si>
    <t>Caroline Reed</t>
  </si>
  <si>
    <t>Eric Kelly</t>
  </si>
  <si>
    <t>Jennifer Wells</t>
  </si>
  <si>
    <t>David Cole</t>
  </si>
  <si>
    <t>Gary Walker</t>
  </si>
  <si>
    <t>Matthew Lopez</t>
  </si>
  <si>
    <t>Michelle Johnson</t>
  </si>
  <si>
    <t>Jennifer Brooks</t>
  </si>
  <si>
    <t>Malik Robinson</t>
  </si>
  <si>
    <t>Amber Little</t>
  </si>
  <si>
    <t>Michael Glenn</t>
  </si>
  <si>
    <t>Robert Martinez</t>
  </si>
  <si>
    <t>Anthony Cortez</t>
  </si>
  <si>
    <t>Derrick Cook</t>
  </si>
  <si>
    <t>Daniel Cole</t>
  </si>
  <si>
    <t>Dustin Jones</t>
  </si>
  <si>
    <t>Matthew Lloyd</t>
  </si>
  <si>
    <t>Timothy Morgan</t>
  </si>
  <si>
    <t>Jason Hicks</t>
  </si>
  <si>
    <t>Stacey Garcia</t>
  </si>
  <si>
    <t>Stephanie Cisneros</t>
  </si>
  <si>
    <t>Rachel Richards</t>
  </si>
  <si>
    <t>Troy Taylor</t>
  </si>
  <si>
    <t>Jason Gill</t>
  </si>
  <si>
    <t>Charles Cruz</t>
  </si>
  <si>
    <t>Jessica Sawyer</t>
  </si>
  <si>
    <t>Brenda Ward</t>
  </si>
  <si>
    <t>Tonya Smith</t>
  </si>
  <si>
    <t>David Martinez</t>
  </si>
  <si>
    <t>Amber Braun</t>
  </si>
  <si>
    <t>Alex Webster</t>
  </si>
  <si>
    <t>Lorraine Schroeder</t>
  </si>
  <si>
    <t>Carl Sanchez</t>
  </si>
  <si>
    <t>Christina Price</t>
  </si>
  <si>
    <t>Lucas Ray</t>
  </si>
  <si>
    <t>Carrie Larsen</t>
  </si>
  <si>
    <t>Cynthia Wells</t>
  </si>
  <si>
    <t>Ashlee Romero</t>
  </si>
  <si>
    <t>Dwayne Clarke</t>
  </si>
  <si>
    <t>Andrew Meadows</t>
  </si>
  <si>
    <t>James Jimenez</t>
  </si>
  <si>
    <t>Ryan Marsh</t>
  </si>
  <si>
    <t>Dr. Michele Copeland</t>
  </si>
  <si>
    <t>Debra Castillo</t>
  </si>
  <si>
    <t>Karen White</t>
  </si>
  <si>
    <t>Bradley Fuller</t>
  </si>
  <si>
    <t>Miss Crystal Davis DDS</t>
  </si>
  <si>
    <t>Christopher Hayes</t>
  </si>
  <si>
    <t>Kara White</t>
  </si>
  <si>
    <t>Kyle Dawson</t>
  </si>
  <si>
    <t>Briana Guerrero</t>
  </si>
  <si>
    <t>Molly Warner</t>
  </si>
  <si>
    <t>Judy Nguyen</t>
  </si>
  <si>
    <t>Michelle Ortega</t>
  </si>
  <si>
    <t>Sandra Murphy</t>
  </si>
  <si>
    <t>Shelby Brown</t>
  </si>
  <si>
    <t>Debra Ford</t>
  </si>
  <si>
    <t>Allison Smith</t>
  </si>
  <si>
    <t>Michelle Harris</t>
  </si>
  <si>
    <t>Matthew Garrett</t>
  </si>
  <si>
    <t>Ariel Davis</t>
  </si>
  <si>
    <t>Jason Gallagher</t>
  </si>
  <si>
    <t>Anna Garrett</t>
  </si>
  <si>
    <t>Alice Lucas</t>
  </si>
  <si>
    <t>Kimberly Guzman</t>
  </si>
  <si>
    <t>Kristin Reeves</t>
  </si>
  <si>
    <t>Terry Miller</t>
  </si>
  <si>
    <t>John Lyons</t>
  </si>
  <si>
    <t>Marissa Davidson</t>
  </si>
  <si>
    <t>Philip Davis</t>
  </si>
  <si>
    <t>Emma Martin</t>
  </si>
  <si>
    <t>Charles Mcmillan</t>
  </si>
  <si>
    <t>William Lewis</t>
  </si>
  <si>
    <t>Wesley Johnson</t>
  </si>
  <si>
    <t>Robert Mclaughlin</t>
  </si>
  <si>
    <t>Shannon Mejia</t>
  </si>
  <si>
    <t>William Sparks</t>
  </si>
  <si>
    <t>Jeffrey Ashley Jr.</t>
  </si>
  <si>
    <t>David Kidd</t>
  </si>
  <si>
    <t>Kathy Thompson</t>
  </si>
  <si>
    <t>Brandon Martin</t>
  </si>
  <si>
    <t>John Miller</t>
  </si>
  <si>
    <t>Amanda Martinez</t>
  </si>
  <si>
    <t>Gary Bowman</t>
  </si>
  <si>
    <t>Nancy Barry</t>
  </si>
  <si>
    <t>Katherine Espinoza</t>
  </si>
  <si>
    <t>Clinton Estrada</t>
  </si>
  <si>
    <t>Jacob Bender</t>
  </si>
  <si>
    <t>Maria Douglas</t>
  </si>
  <si>
    <t>Daniel Evans</t>
  </si>
  <si>
    <t>Walter Webb</t>
  </si>
  <si>
    <t>Dale Herrera</t>
  </si>
  <si>
    <t>Megan Avery</t>
  </si>
  <si>
    <t>Michael Arroyo Jr.</t>
  </si>
  <si>
    <t>Brianna Morris</t>
  </si>
  <si>
    <t>Gregory West DDS</t>
  </si>
  <si>
    <t>Judy Avila</t>
  </si>
  <si>
    <t>Morgan Ramos</t>
  </si>
  <si>
    <t>Erika Davis</t>
  </si>
  <si>
    <t>Allison Parker</t>
  </si>
  <si>
    <t>Jeffrey Solis</t>
  </si>
  <si>
    <t>William Nichols</t>
  </si>
  <si>
    <t>Scott Graves</t>
  </si>
  <si>
    <t>Marie Clark</t>
  </si>
  <si>
    <t>Ellen Fitzpatrick</t>
  </si>
  <si>
    <t>Grant Parker</t>
  </si>
  <si>
    <t>Mark Harrison</t>
  </si>
  <si>
    <t>Jennifer Hernandez</t>
  </si>
  <si>
    <t>Daniel Barajas</t>
  </si>
  <si>
    <t>Joshua Burnett</t>
  </si>
  <si>
    <t>Christine Murphy</t>
  </si>
  <si>
    <t>Amanda Mendoza</t>
  </si>
  <si>
    <t>Richard Wagner</t>
  </si>
  <si>
    <t>Christopher Sherman</t>
  </si>
  <si>
    <t>Eric Coffey</t>
  </si>
  <si>
    <t>Jeffrey Burns</t>
  </si>
  <si>
    <t>Tony Gibbs</t>
  </si>
  <si>
    <t>Brandon Morris</t>
  </si>
  <si>
    <t>Stephanie Bryant</t>
  </si>
  <si>
    <t>Sara Booth</t>
  </si>
  <si>
    <t>Eric Allen</t>
  </si>
  <si>
    <t>Amanda Mclaughlin</t>
  </si>
  <si>
    <t>Robert Jimenez</t>
  </si>
  <si>
    <t>Tony Randall</t>
  </si>
  <si>
    <t>Chris Wells</t>
  </si>
  <si>
    <t>Crystal Medina</t>
  </si>
  <si>
    <t>Danny Gray</t>
  </si>
  <si>
    <t>Patricia Carpenter</t>
  </si>
  <si>
    <t>Alicia Davis</t>
  </si>
  <si>
    <t>John Gonzalez</t>
  </si>
  <si>
    <t>Dr. John Hernandez</t>
  </si>
  <si>
    <t>Michelle Austin</t>
  </si>
  <si>
    <t>Andres Mills</t>
  </si>
  <si>
    <t>Paul Weaver</t>
  </si>
  <si>
    <t>Vanessa Allen</t>
  </si>
  <si>
    <t>Amy Chavez</t>
  </si>
  <si>
    <t>Virginia Flores</t>
  </si>
  <si>
    <t>Leonard Macias</t>
  </si>
  <si>
    <t>Mackenzie Walker</t>
  </si>
  <si>
    <t>Jenny Wright</t>
  </si>
  <si>
    <t>Kayla Berger</t>
  </si>
  <si>
    <t>Todd Oconnor</t>
  </si>
  <si>
    <t>Brian White</t>
  </si>
  <si>
    <t>Rachel Howell</t>
  </si>
  <si>
    <t>Dale Fisher</t>
  </si>
  <si>
    <t>Dr. Heidi Johnson</t>
  </si>
  <si>
    <t>Brian Griffith</t>
  </si>
  <si>
    <t>Robert Stanley</t>
  </si>
  <si>
    <t>Theresa Sanchez</t>
  </si>
  <si>
    <t>Amber Sullivan</t>
  </si>
  <si>
    <t>Kimberly Watson</t>
  </si>
  <si>
    <t>Joseph Meyers</t>
  </si>
  <si>
    <t>Christopher Miller</t>
  </si>
  <si>
    <t>Christine Arnold</t>
  </si>
  <si>
    <t>Brian Davis</t>
  </si>
  <si>
    <t>Michelle Smith</t>
  </si>
  <si>
    <t>Deborah Wagner</t>
  </si>
  <si>
    <t>Cesar Sanchez</t>
  </si>
  <si>
    <t>Christine Vega</t>
  </si>
  <si>
    <t>Jordan Cole</t>
  </si>
  <si>
    <t>Zachary Jones</t>
  </si>
  <si>
    <t>Alexander Lee</t>
  </si>
  <si>
    <t>Stephen Hicks</t>
  </si>
  <si>
    <t>Christopher Underwood</t>
  </si>
  <si>
    <t>Haley Taylor</t>
  </si>
  <si>
    <t>Christopher Wolfe</t>
  </si>
  <si>
    <t>Melissa Miranda</t>
  </si>
  <si>
    <t>Jennifer Jones</t>
  </si>
  <si>
    <t>Linda Nicholson</t>
  </si>
  <si>
    <t>Melissa Daniels</t>
  </si>
  <si>
    <t>Whitney Bradley</t>
  </si>
  <si>
    <t>Ryan White</t>
  </si>
  <si>
    <t>Carolyn Jacobson</t>
  </si>
  <si>
    <t>Katrina Johnston</t>
  </si>
  <si>
    <t>Jordan Hudson</t>
  </si>
  <si>
    <t>Linda Martin</t>
  </si>
  <si>
    <t>Joseph Banks</t>
  </si>
  <si>
    <t>Susan Kelley</t>
  </si>
  <si>
    <t>Brad West</t>
  </si>
  <si>
    <t>Samuel Stone</t>
  </si>
  <si>
    <t>Kelsey Johnson</t>
  </si>
  <si>
    <t>Mallory Torres</t>
  </si>
  <si>
    <t>Jared Parrish</t>
  </si>
  <si>
    <t>Wendy Herrera</t>
  </si>
  <si>
    <t>Megan Murphy</t>
  </si>
  <si>
    <t>Kevin Coleman</t>
  </si>
  <si>
    <t>Laura Lopez</t>
  </si>
  <si>
    <t>Julie Phillips</t>
  </si>
  <si>
    <t>Joshua Sanford</t>
  </si>
  <si>
    <t>Tara Montoya</t>
  </si>
  <si>
    <t>Mark Bowers</t>
  </si>
  <si>
    <t>Antonio Bryant</t>
  </si>
  <si>
    <t>Nicole West</t>
  </si>
  <si>
    <t>Marissa Jacobs</t>
  </si>
  <si>
    <t>Amy Wood</t>
  </si>
  <si>
    <t>John Shannon</t>
  </si>
  <si>
    <t>Robert Montoya</t>
  </si>
  <si>
    <t>Gregg Bennett</t>
  </si>
  <si>
    <t>Robert Torres</t>
  </si>
  <si>
    <t>Kyle Phillips</t>
  </si>
  <si>
    <t>Mason Morgan</t>
  </si>
  <si>
    <t>James Cobb</t>
  </si>
  <si>
    <t>Jeffrey Hart</t>
  </si>
  <si>
    <t>Jacob Townsend</t>
  </si>
  <si>
    <t>Jessica Pitts</t>
  </si>
  <si>
    <t>Miguel Hayes</t>
  </si>
  <si>
    <t>Amy King</t>
  </si>
  <si>
    <t>Peter Wells</t>
  </si>
  <si>
    <t>Lisa Fisher</t>
  </si>
  <si>
    <t>Karen Martin</t>
  </si>
  <si>
    <t>Donna Jenkins</t>
  </si>
  <si>
    <t>Rachel Allen</t>
  </si>
  <si>
    <t>Matthew Cox</t>
  </si>
  <si>
    <t>Alexander Horton</t>
  </si>
  <si>
    <t>Kathryn Hooper</t>
  </si>
  <si>
    <t>Zachary Frazier</t>
  </si>
  <si>
    <t>Tamara Thompson</t>
  </si>
  <si>
    <t>Jose Bryant</t>
  </si>
  <si>
    <t>Ryan Lopez</t>
  </si>
  <si>
    <t>Thomas Smith</t>
  </si>
  <si>
    <t>Kenneth Turner</t>
  </si>
  <si>
    <t>Jason Harrington</t>
  </si>
  <si>
    <t>Stacey Miller</t>
  </si>
  <si>
    <t>Autumn Griffin</t>
  </si>
  <si>
    <t>Isabel Harris</t>
  </si>
  <si>
    <t>Adam Shelton</t>
  </si>
  <si>
    <t>Mary Thompson</t>
  </si>
  <si>
    <t>Amber Trevino</t>
  </si>
  <si>
    <t>Sarah Holder</t>
  </si>
  <si>
    <t>Jamie Aguilar</t>
  </si>
  <si>
    <t>Michael Duke</t>
  </si>
  <si>
    <t>Alyssa Lucas</t>
  </si>
  <si>
    <t>Daniel Ryan</t>
  </si>
  <si>
    <t>Theresa Young</t>
  </si>
  <si>
    <t>Brenda Booth</t>
  </si>
  <si>
    <t>Donna Clark</t>
  </si>
  <si>
    <t>Joanne Adams</t>
  </si>
  <si>
    <t>Michael White</t>
  </si>
  <si>
    <t>Seth Ramirez</t>
  </si>
  <si>
    <t>Jessica Johnson</t>
  </si>
  <si>
    <t>Kevin Weaver</t>
  </si>
  <si>
    <t>Dr. William Terry</t>
  </si>
  <si>
    <t>Jodi Floyd</t>
  </si>
  <si>
    <t>Brett Arnold</t>
  </si>
  <si>
    <t>Bradley Leach</t>
  </si>
  <si>
    <t>Amanda Flores</t>
  </si>
  <si>
    <t>Stephen Butler</t>
  </si>
  <si>
    <t>Shannon Martinez</t>
  </si>
  <si>
    <t>Jennifer Martin</t>
  </si>
  <si>
    <t>Jeffery Smith</t>
  </si>
  <si>
    <t>Janet Gordon</t>
  </si>
  <si>
    <t>Susan Bautista</t>
  </si>
  <si>
    <t>Michael Schmidt</t>
  </si>
  <si>
    <t>Steve Ramirez</t>
  </si>
  <si>
    <t>Michelle Jones</t>
  </si>
  <si>
    <t>Kristine Logan</t>
  </si>
  <si>
    <t>Regina Cox</t>
  </si>
  <si>
    <t>Janet Lewis</t>
  </si>
  <si>
    <t>Gregory Neal</t>
  </si>
  <si>
    <t>Phillip Blevins</t>
  </si>
  <si>
    <t>Darryl Garcia</t>
  </si>
  <si>
    <t>Robert Mason</t>
  </si>
  <si>
    <t>Steven Mercer</t>
  </si>
  <si>
    <t>Rachel Nguyen</t>
  </si>
  <si>
    <t>John Wolf</t>
  </si>
  <si>
    <t>John Nguyen</t>
  </si>
  <si>
    <t>David Robertson</t>
  </si>
  <si>
    <t>Jennifer Stevens</t>
  </si>
  <si>
    <t>Joseph Park</t>
  </si>
  <si>
    <t>Matthew Davis</t>
  </si>
  <si>
    <t>Megan Lopez</t>
  </si>
  <si>
    <t>Ashley Daniels</t>
  </si>
  <si>
    <t>Robert Davies</t>
  </si>
  <si>
    <t>Dana Park</t>
  </si>
  <si>
    <t>Christopher Garrett</t>
  </si>
  <si>
    <t>Michael Short</t>
  </si>
  <si>
    <t>Charles Hess</t>
  </si>
  <si>
    <t>Anthony Mitchell</t>
  </si>
  <si>
    <t>Theresa Osborne</t>
  </si>
  <si>
    <t>Jamie Peck</t>
  </si>
  <si>
    <t>Lisa Garcia</t>
  </si>
  <si>
    <t>Kelsey Kelly</t>
  </si>
  <si>
    <t>Denise Hall</t>
  </si>
  <si>
    <t>Allison Mcgrath</t>
  </si>
  <si>
    <t>Morgan Mccoy</t>
  </si>
  <si>
    <t>Denise Anderson</t>
  </si>
  <si>
    <t>Timothy Beasley</t>
  </si>
  <si>
    <t>Louis Thomas</t>
  </si>
  <si>
    <t>Michelle Carter</t>
  </si>
  <si>
    <t>Sarah Taylor</t>
  </si>
  <si>
    <t>Christopher Sexton</t>
  </si>
  <si>
    <t>Dustin Perry</t>
  </si>
  <si>
    <t>Adam Moore</t>
  </si>
  <si>
    <t>Shawn Tucker</t>
  </si>
  <si>
    <t>Melissa Schmidt</t>
  </si>
  <si>
    <t>Rachel Russo</t>
  </si>
  <si>
    <t>Christine Wilson</t>
  </si>
  <si>
    <t>Dana Martinez</t>
  </si>
  <si>
    <t>Barry Bennett</t>
  </si>
  <si>
    <t>Shane Fowler</t>
  </si>
  <si>
    <t>Kimberly Douglas</t>
  </si>
  <si>
    <t>Kimberly Robinson</t>
  </si>
  <si>
    <t>Michael Wright</t>
  </si>
  <si>
    <t>Robert Rodriguez</t>
  </si>
  <si>
    <t>Stephanie Douglas</t>
  </si>
  <si>
    <t>Rita Joyce</t>
  </si>
  <si>
    <t>Diana Neal</t>
  </si>
  <si>
    <t>Kimberly Meyer</t>
  </si>
  <si>
    <t>Christopher Perez</t>
  </si>
  <si>
    <t>Kelly Morris</t>
  </si>
  <si>
    <t>Matthew Mccann</t>
  </si>
  <si>
    <t>Kevin Thompson</t>
  </si>
  <si>
    <t>Lynn Cruz</t>
  </si>
  <si>
    <t>April Braun</t>
  </si>
  <si>
    <t>Jacob Mendoza</t>
  </si>
  <si>
    <t>Alejandro Lopez</t>
  </si>
  <si>
    <t>Brian Bowman</t>
  </si>
  <si>
    <t>Scott Bishop</t>
  </si>
  <si>
    <t>Dylan Gibson</t>
  </si>
  <si>
    <t>Steven Baldwin</t>
  </si>
  <si>
    <t>Lori Reid</t>
  </si>
  <si>
    <t>Randy Austin</t>
  </si>
  <si>
    <t>Dr. Deborah Fitzgerald</t>
  </si>
  <si>
    <t>Anthony Martin</t>
  </si>
  <si>
    <t>Alex Richards</t>
  </si>
  <si>
    <t>Patricia Ramsey</t>
  </si>
  <si>
    <t>Jennifer Tanner</t>
  </si>
  <si>
    <t>Lauren Gardner</t>
  </si>
  <si>
    <t>Alison Castro</t>
  </si>
  <si>
    <t>Daniel Willis</t>
  </si>
  <si>
    <t>Megan Austin</t>
  </si>
  <si>
    <t>Shawn Moore</t>
  </si>
  <si>
    <t>Rebecca Ward</t>
  </si>
  <si>
    <t>Sherry Wilson</t>
  </si>
  <si>
    <t>Pamela Wiley</t>
  </si>
  <si>
    <t>Teresa Peters</t>
  </si>
  <si>
    <t>Tracey Johnson</t>
  </si>
  <si>
    <t>Nicole Evans</t>
  </si>
  <si>
    <t>Ashley Cuevas</t>
  </si>
  <si>
    <t>Brandon Sanders</t>
  </si>
  <si>
    <t>Amy Dunlap</t>
  </si>
  <si>
    <t>Samantha Wallace</t>
  </si>
  <si>
    <t>Charles Jackson</t>
  </si>
  <si>
    <t>Jared Butler</t>
  </si>
  <si>
    <t>Jason Morales</t>
  </si>
  <si>
    <t>Tracey Beck</t>
  </si>
  <si>
    <t>Logan Cooper</t>
  </si>
  <si>
    <t>Brianna Mcpherson</t>
  </si>
  <si>
    <t>Nathaniel Thompson</t>
  </si>
  <si>
    <t>Ray Mcbride</t>
  </si>
  <si>
    <t>Natalie Turner</t>
  </si>
  <si>
    <t>Tammy Thomas</t>
  </si>
  <si>
    <t>Kurt Cain</t>
  </si>
  <si>
    <t>Kelly Mason</t>
  </si>
  <si>
    <t>Laura Edwards</t>
  </si>
  <si>
    <t>Nicholas Kelly</t>
  </si>
  <si>
    <t>Paula Freeman</t>
  </si>
  <si>
    <t>Linda French</t>
  </si>
  <si>
    <t>Andrea Mendez</t>
  </si>
  <si>
    <t>Joshua Reed</t>
  </si>
  <si>
    <t>Jennifer Schwartz</t>
  </si>
  <si>
    <t>Mrs. Michelle Ramsey</t>
  </si>
  <si>
    <t>Zachary Cross</t>
  </si>
  <si>
    <t>Toni Rodriguez</t>
  </si>
  <si>
    <t>Andrea Murray</t>
  </si>
  <si>
    <t>Alexa Martin</t>
  </si>
  <si>
    <t>Michele Green</t>
  </si>
  <si>
    <t>Summer Bishop</t>
  </si>
  <si>
    <t>Cynthia Green</t>
  </si>
  <si>
    <t>Daniel Braun</t>
  </si>
  <si>
    <t>Tonya Kennedy</t>
  </si>
  <si>
    <t>Kyle Jones</t>
  </si>
  <si>
    <t>Cheryl Mullins</t>
  </si>
  <si>
    <t>Erin Baker</t>
  </si>
  <si>
    <t>Carla King</t>
  </si>
  <si>
    <t>Cheryl Calderon</t>
  </si>
  <si>
    <t>Michael Adams</t>
  </si>
  <si>
    <t>Andrea Mcbride</t>
  </si>
  <si>
    <t>Laura Newman</t>
  </si>
  <si>
    <t>Danielle Barrett</t>
  </si>
  <si>
    <t>Gregory Griffin</t>
  </si>
  <si>
    <t>Madison Wilson</t>
  </si>
  <si>
    <t>Ryan Steele</t>
  </si>
  <si>
    <t>Thomas Crawford</t>
  </si>
  <si>
    <t>Ashley Shaw</t>
  </si>
  <si>
    <t>Sheila Thomas</t>
  </si>
  <si>
    <t>Catherine Gamble</t>
  </si>
  <si>
    <t>Daniel Long</t>
  </si>
  <si>
    <t>Jean Lawson DDS</t>
  </si>
  <si>
    <t>James Fox</t>
  </si>
  <si>
    <t>Victoria Osborne</t>
  </si>
  <si>
    <t>Evan Price</t>
  </si>
  <si>
    <t>Brooke Ramos</t>
  </si>
  <si>
    <t>Vanessa Graves</t>
  </si>
  <si>
    <t>Leslie Smith</t>
  </si>
  <si>
    <t>Barbara Drake</t>
  </si>
  <si>
    <t>Julie Jacobs</t>
  </si>
  <si>
    <t>Logan Gonzalez</t>
  </si>
  <si>
    <t>Brittney Gonzales</t>
  </si>
  <si>
    <t>Kimberly Caldwell</t>
  </si>
  <si>
    <t>Nichole Phillips</t>
  </si>
  <si>
    <t>Michael Jackson</t>
  </si>
  <si>
    <t>James Wise</t>
  </si>
  <si>
    <t>Karen Schmidt</t>
  </si>
  <si>
    <t>Logan Sampson</t>
  </si>
  <si>
    <t>Tiffany Melendez</t>
  </si>
  <si>
    <t>Emily Mcintosh</t>
  </si>
  <si>
    <t>Sheryl Lopez</t>
  </si>
  <si>
    <t>Barbara Alvarado</t>
  </si>
  <si>
    <t>Shannon Ramos</t>
  </si>
  <si>
    <t>James Huber</t>
  </si>
  <si>
    <t>Daniel Vazquez</t>
  </si>
  <si>
    <t>Lisa Fry</t>
  </si>
  <si>
    <t>Kimberly Heath</t>
  </si>
  <si>
    <t>Amber Avila</t>
  </si>
  <si>
    <t>Tammy Yates</t>
  </si>
  <si>
    <t>Nancy Luna</t>
  </si>
  <si>
    <t>Alison Wolfe</t>
  </si>
  <si>
    <t>Michelle Thomas</t>
  </si>
  <si>
    <t>Natalie Miller</t>
  </si>
  <si>
    <t>Derrick Glass</t>
  </si>
  <si>
    <t>Kara Schneider</t>
  </si>
  <si>
    <t>Ivan Russo</t>
  </si>
  <si>
    <t>Kevin Jackson</t>
  </si>
  <si>
    <t>David Love</t>
  </si>
  <si>
    <t>Mary Werner</t>
  </si>
  <si>
    <t>Bonnie Walker</t>
  </si>
  <si>
    <t>Jennifer Barber</t>
  </si>
  <si>
    <t>Christopher Smith</t>
  </si>
  <si>
    <t>Emily Miller</t>
  </si>
  <si>
    <t>Nicole Bates</t>
  </si>
  <si>
    <t>Christine Lane</t>
  </si>
  <si>
    <t>Kimberly Long</t>
  </si>
  <si>
    <t>Gabriela Pope</t>
  </si>
  <si>
    <t>Melissa Brown</t>
  </si>
  <si>
    <t>Alexa Landry</t>
  </si>
  <si>
    <t>Larry Delgado</t>
  </si>
  <si>
    <t>Erica Thompson</t>
  </si>
  <si>
    <t>Jill Kelley</t>
  </si>
  <si>
    <t>James Noble</t>
  </si>
  <si>
    <t>Dylan George</t>
  </si>
  <si>
    <t>Sandra Russo</t>
  </si>
  <si>
    <t>Michael Alexander</t>
  </si>
  <si>
    <t>Robert Hampton</t>
  </si>
  <si>
    <t>Kevin Wilkinson</t>
  </si>
  <si>
    <t>Rachel Simmons</t>
  </si>
  <si>
    <t>Robert Sanchez</t>
  </si>
  <si>
    <t>Eduardo Martinez</t>
  </si>
  <si>
    <t>Craig Kelly</t>
  </si>
  <si>
    <t>Edward Taylor</t>
  </si>
  <si>
    <t>Yvette Johnson</t>
  </si>
  <si>
    <t>Ashley Martinez</t>
  </si>
  <si>
    <t>Spencer Torres</t>
  </si>
  <si>
    <t>Megan Edwards</t>
  </si>
  <si>
    <t>Eric Arellano</t>
  </si>
  <si>
    <t>Mr. Phillip Baxter</t>
  </si>
  <si>
    <t>Tricia Hunt</t>
  </si>
  <si>
    <t>Diana Schroeder</t>
  </si>
  <si>
    <t>Alexandra Lee</t>
  </si>
  <si>
    <t>Justin Chen</t>
  </si>
  <si>
    <t>Brian Garrett</t>
  </si>
  <si>
    <t>Tamara Williams</t>
  </si>
  <si>
    <t>Aaron Clay</t>
  </si>
  <si>
    <t>Timothy Barker</t>
  </si>
  <si>
    <t>Brian Bolton</t>
  </si>
  <si>
    <t>Natalie Patrick</t>
  </si>
  <si>
    <t>Karla Bush</t>
  </si>
  <si>
    <t>Victor Hernandez</t>
  </si>
  <si>
    <t>Michelle Edwards</t>
  </si>
  <si>
    <t>Charles Harvey</t>
  </si>
  <si>
    <t>Jack Sutton</t>
  </si>
  <si>
    <t>Paul Giles</t>
  </si>
  <si>
    <t>Joseph Hart</t>
  </si>
  <si>
    <t>Ralph Fernandez</t>
  </si>
  <si>
    <t>Rachel Carlson</t>
  </si>
  <si>
    <t>Paul Martinez</t>
  </si>
  <si>
    <t>Miss Stacey Weaver</t>
  </si>
  <si>
    <t>Rachel Wilson</t>
  </si>
  <si>
    <t>Steven Giles</t>
  </si>
  <si>
    <t>Kevin Vaughan</t>
  </si>
  <si>
    <t>Trevor Taylor</t>
  </si>
  <si>
    <t>William Schneider</t>
  </si>
  <si>
    <t>Erica Robbins</t>
  </si>
  <si>
    <t>Matthew Carlson</t>
  </si>
  <si>
    <t>Alexander Rios</t>
  </si>
  <si>
    <t>Bryan Parker</t>
  </si>
  <si>
    <t>Jennifer Reese</t>
  </si>
  <si>
    <t>James Aguilar</t>
  </si>
  <si>
    <t>Daniel Valenzuela</t>
  </si>
  <si>
    <t>Karen Brewer</t>
  </si>
  <si>
    <t>Alexander Jones</t>
  </si>
  <si>
    <t>Mary Ward</t>
  </si>
  <si>
    <t>Robert Myers DDS</t>
  </si>
  <si>
    <t>Luis Smith</t>
  </si>
  <si>
    <t>Jennifer Sims</t>
  </si>
  <si>
    <t>Janet Coffey</t>
  </si>
  <si>
    <t>Jenna Williams</t>
  </si>
  <si>
    <t>Ryan Mitchell</t>
  </si>
  <si>
    <t>Jamie Nixon</t>
  </si>
  <si>
    <t>Scott Allen</t>
  </si>
  <si>
    <t>Maria Harris</t>
  </si>
  <si>
    <t>Henry Hall</t>
  </si>
  <si>
    <t>Angela Davis</t>
  </si>
  <si>
    <t>Danielle Meyer</t>
  </si>
  <si>
    <t>Alex Burns</t>
  </si>
  <si>
    <t>Raymond Bond</t>
  </si>
  <si>
    <t>Thomas Banks</t>
  </si>
  <si>
    <t>George Stevens</t>
  </si>
  <si>
    <t>Courtney Everett</t>
  </si>
  <si>
    <t>Ryan Chavez</t>
  </si>
  <si>
    <t>Lori Montgomery</t>
  </si>
  <si>
    <t>Christy Fisher</t>
  </si>
  <si>
    <t>Sarah Fuller</t>
  </si>
  <si>
    <t>Cody Ortega</t>
  </si>
  <si>
    <t>Julia Mckenzie</t>
  </si>
  <si>
    <t>Sarah Scott</t>
  </si>
  <si>
    <t>Eric Kim</t>
  </si>
  <si>
    <t>Arthur Harris</t>
  </si>
  <si>
    <t>Anne Jacobs</t>
  </si>
  <si>
    <t>Lauren Clark</t>
  </si>
  <si>
    <t>Brandy Navarro</t>
  </si>
  <si>
    <t>Matthew Nichols</t>
  </si>
  <si>
    <t>Jennifer Lowery</t>
  </si>
  <si>
    <t>Tracy Johnson</t>
  </si>
  <si>
    <t>Thomas Nash</t>
  </si>
  <si>
    <t>Justin Flores</t>
  </si>
  <si>
    <t>Yolanda Thomas</t>
  </si>
  <si>
    <t>Keith Lee</t>
  </si>
  <si>
    <t>Victor Simmons</t>
  </si>
  <si>
    <t>Christopher Nelson</t>
  </si>
  <si>
    <t>Edward Holland</t>
  </si>
  <si>
    <t>Joe Rodriguez</t>
  </si>
  <si>
    <t>Mary Foster</t>
  </si>
  <si>
    <t>Terry Welch</t>
  </si>
  <si>
    <t>Michael Sullivan</t>
  </si>
  <si>
    <t>Angela Thomas</t>
  </si>
  <si>
    <t>Brandon Garcia</t>
  </si>
  <si>
    <t>Melissa Ramirez</t>
  </si>
  <si>
    <t>Amber Clayton</t>
  </si>
  <si>
    <t>Rachel Baker</t>
  </si>
  <si>
    <t>Maria Gentry</t>
  </si>
  <si>
    <t>Penny West</t>
  </si>
  <si>
    <t>Heather Ortiz</t>
  </si>
  <si>
    <t>Michelle Mcclain</t>
  </si>
  <si>
    <t>Mrs. Amy Miller</t>
  </si>
  <si>
    <t>Jennifer Davis</t>
  </si>
  <si>
    <t>Michael Bryant</t>
  </si>
  <si>
    <t>Kimberly Lee</t>
  </si>
  <si>
    <t>Vanessa Ramirez</t>
  </si>
  <si>
    <t>Paul Perez</t>
  </si>
  <si>
    <t>Nancy Young</t>
  </si>
  <si>
    <t>Tyler Smith</t>
  </si>
  <si>
    <t>Melinda Smith</t>
  </si>
  <si>
    <t>Anthony Boyd</t>
  </si>
  <si>
    <t>Bradley Gibson</t>
  </si>
  <si>
    <t>Henry Snyder</t>
  </si>
  <si>
    <t>Theresa Simon</t>
  </si>
  <si>
    <t>Sabrina Wade</t>
  </si>
  <si>
    <t>Randy Vargas</t>
  </si>
  <si>
    <t>Cody Scott</t>
  </si>
  <si>
    <t>Larry Cohen</t>
  </si>
  <si>
    <t>David Mcdonald</t>
  </si>
  <si>
    <t>Donald Garcia</t>
  </si>
  <si>
    <t>Sherri Guzman</t>
  </si>
  <si>
    <t>Carlos Morton</t>
  </si>
  <si>
    <t>Mr. Brian Anderson</t>
  </si>
  <si>
    <t>Adrienne Roberts</t>
  </si>
  <si>
    <t>Kayla Mccormick</t>
  </si>
  <si>
    <t>Robert Burton</t>
  </si>
  <si>
    <t>Mark Reeves</t>
  </si>
  <si>
    <t>Mark Hill</t>
  </si>
  <si>
    <t>Debra Short</t>
  </si>
  <si>
    <t>Karla Baker</t>
  </si>
  <si>
    <t>Melissa Richmond</t>
  </si>
  <si>
    <t>Jasmin Holmes</t>
  </si>
  <si>
    <t>Linda Murphy</t>
  </si>
  <si>
    <t>Margaret Montoya</t>
  </si>
  <si>
    <t>Michael Gonzales</t>
  </si>
  <si>
    <t>Richard Torres</t>
  </si>
  <si>
    <t>Samantha Garner</t>
  </si>
  <si>
    <t>Jacob Hobbs</t>
  </si>
  <si>
    <t>David Reeves</t>
  </si>
  <si>
    <t>Marc Copeland</t>
  </si>
  <si>
    <t>Tamara Smith</t>
  </si>
  <si>
    <t>William Conley</t>
  </si>
  <si>
    <t>Thomas Wallace</t>
  </si>
  <si>
    <t>Kelly Ayers</t>
  </si>
  <si>
    <t>Justin Taylor</t>
  </si>
  <si>
    <t>James Perry</t>
  </si>
  <si>
    <t>Leonard Campbell</t>
  </si>
  <si>
    <t>Steven Phelps</t>
  </si>
  <si>
    <t>Darren Williams</t>
  </si>
  <si>
    <t>Mark Daniels</t>
  </si>
  <si>
    <t>Kimberly Pierce</t>
  </si>
  <si>
    <t>Zachary Williams</t>
  </si>
  <si>
    <t>Selena Brown</t>
  </si>
  <si>
    <t>Carly Ford</t>
  </si>
  <si>
    <t>Scott Tran</t>
  </si>
  <si>
    <t>Elaine Williams</t>
  </si>
  <si>
    <t>Daniel Carlson</t>
  </si>
  <si>
    <t>Randy Wright</t>
  </si>
  <si>
    <t>Jennifer Banks</t>
  </si>
  <si>
    <t>Charles Foley</t>
  </si>
  <si>
    <t>Richard Arias</t>
  </si>
  <si>
    <t>Ryan Kennedy</t>
  </si>
  <si>
    <t>Scott Shannon</t>
  </si>
  <si>
    <t>Stephen Cox</t>
  </si>
  <si>
    <t>Joseph King</t>
  </si>
  <si>
    <t>Jennifer Jackson</t>
  </si>
  <si>
    <t>Frank Harrell</t>
  </si>
  <si>
    <t>Jessica Wilson</t>
  </si>
  <si>
    <t>Sharon Nash</t>
  </si>
  <si>
    <t>Brittany Wall</t>
  </si>
  <si>
    <t>Willie Dean</t>
  </si>
  <si>
    <t>Diane Adams</t>
  </si>
  <si>
    <t>Andrew Carroll</t>
  </si>
  <si>
    <t>Shawn Moon</t>
  </si>
  <si>
    <t>Sheila Williams</t>
  </si>
  <si>
    <t>Sharon Lopez</t>
  </si>
  <si>
    <t>Yolanda Richardson</t>
  </si>
  <si>
    <t>Timothy Ramirez</t>
  </si>
  <si>
    <t>Tiffany Shepherd</t>
  </si>
  <si>
    <t>Daniel Marshall</t>
  </si>
  <si>
    <t>Lisa Taylor</t>
  </si>
  <si>
    <t>Andre Pitts</t>
  </si>
  <si>
    <t>Donna Sandoval</t>
  </si>
  <si>
    <t>Mary Garcia</t>
  </si>
  <si>
    <t>Brianna Ortega</t>
  </si>
  <si>
    <t>Lawrence Ford</t>
  </si>
  <si>
    <t>Randall Watts</t>
  </si>
  <si>
    <t>Monica Mcclure</t>
  </si>
  <si>
    <t>Martha Byrd</t>
  </si>
  <si>
    <t>Troy Richards</t>
  </si>
  <si>
    <t>Thomas Baker</t>
  </si>
  <si>
    <t>Anna Rowe</t>
  </si>
  <si>
    <t>Judith Preston</t>
  </si>
  <si>
    <t>Michael Espinoza</t>
  </si>
  <si>
    <t>Amber King</t>
  </si>
  <si>
    <t>Kenneth Dixon</t>
  </si>
  <si>
    <t>Sandra Sloan</t>
  </si>
  <si>
    <t>Justin Ortiz</t>
  </si>
  <si>
    <t>Russell Myers</t>
  </si>
  <si>
    <t>Melissa Wagner</t>
  </si>
  <si>
    <t>Megan Garcia</t>
  </si>
  <si>
    <t>Jamie Miller</t>
  </si>
  <si>
    <t>Gloria Perez</t>
  </si>
  <si>
    <t>Cynthia Jones</t>
  </si>
  <si>
    <t>Eugene Little</t>
  </si>
  <si>
    <t>Henry Quinn</t>
  </si>
  <si>
    <t>Audrey Hansen</t>
  </si>
  <si>
    <t>Jake Robinson</t>
  </si>
  <si>
    <t>Nathan Quinn</t>
  </si>
  <si>
    <t>Kimberly Morrison</t>
  </si>
  <si>
    <t>Brian Young</t>
  </si>
  <si>
    <t>Ricardo White</t>
  </si>
  <si>
    <t>Tanya Barker</t>
  </si>
  <si>
    <t>Cynthia Richard</t>
  </si>
  <si>
    <t>Scott King</t>
  </si>
  <si>
    <t>David Thompson</t>
  </si>
  <si>
    <t>Derek Velazquez</t>
  </si>
  <si>
    <t>Mary Moon</t>
  </si>
  <si>
    <t>Ernest Rodriguez</t>
  </si>
  <si>
    <t>John Gallagher</t>
  </si>
  <si>
    <t>Kara Austin</t>
  </si>
  <si>
    <t>Benjamin Allen</t>
  </si>
  <si>
    <t>Richard Johnson</t>
  </si>
  <si>
    <t>Abigail Holt</t>
  </si>
  <si>
    <t>Jacob Mays</t>
  </si>
  <si>
    <t>Katherine Rogers</t>
  </si>
  <si>
    <t>Morgan Edwards</t>
  </si>
  <si>
    <t>Jason Larson</t>
  </si>
  <si>
    <t>Helen Davis</t>
  </si>
  <si>
    <t>Jesse Robertson</t>
  </si>
  <si>
    <t>Rebecca Gross</t>
  </si>
  <si>
    <t>Tyler Trujillo</t>
  </si>
  <si>
    <t>Andrea Walsh</t>
  </si>
  <si>
    <t>Travis Rodriguez</t>
  </si>
  <si>
    <t>Darren Alvarado</t>
  </si>
  <si>
    <t>Spencer Booth</t>
  </si>
  <si>
    <t>Troy Marshall</t>
  </si>
  <si>
    <t>Benjamin Robinson</t>
  </si>
  <si>
    <t>Corey Turner</t>
  </si>
  <si>
    <t>Heidi Baker</t>
  </si>
  <si>
    <t>Ashley Wright</t>
  </si>
  <si>
    <t>Kristen Lopez</t>
  </si>
  <si>
    <t>Jose Bauer</t>
  </si>
  <si>
    <t>Reginald Barrett</t>
  </si>
  <si>
    <t>Jared Lester</t>
  </si>
  <si>
    <t>David Espinoza</t>
  </si>
  <si>
    <t>Jeffrey Martinez</t>
  </si>
  <si>
    <t>Michael Ross</t>
  </si>
  <si>
    <t>Christopher Massey</t>
  </si>
  <si>
    <t>William Moore</t>
  </si>
  <si>
    <t>Erin Small</t>
  </si>
  <si>
    <t>Jeff Lane</t>
  </si>
  <si>
    <t>Pamela Dalton</t>
  </si>
  <si>
    <t>Christopher Jones</t>
  </si>
  <si>
    <t>Rebecca Parrish</t>
  </si>
  <si>
    <t>Jordan Shelton</t>
  </si>
  <si>
    <t>Dominic Bell</t>
  </si>
  <si>
    <t>April Castillo</t>
  </si>
  <si>
    <t>Gregory Arellano</t>
  </si>
  <si>
    <t>Natalie Smith</t>
  </si>
  <si>
    <t>Laura Chan</t>
  </si>
  <si>
    <t>Reginald Miller</t>
  </si>
  <si>
    <t>Michael Watkins</t>
  </si>
  <si>
    <t>Brian Deleon</t>
  </si>
  <si>
    <t>Daniel Garrett</t>
  </si>
  <si>
    <t>Francisco Steele</t>
  </si>
  <si>
    <t>Ronald Gonzalez</t>
  </si>
  <si>
    <t>Crystal Mueller</t>
  </si>
  <si>
    <t>Charles Green</t>
  </si>
  <si>
    <t>Lisa Hoffman</t>
  </si>
  <si>
    <t>Allison Ramos</t>
  </si>
  <si>
    <t>Chase Ford</t>
  </si>
  <si>
    <t>Christopher Brown</t>
  </si>
  <si>
    <t>Henry Moore</t>
  </si>
  <si>
    <t>Barbara Holland</t>
  </si>
  <si>
    <t>Chelsea Aguirre</t>
  </si>
  <si>
    <t>Matthew Herrera</t>
  </si>
  <si>
    <t>Cody Murray</t>
  </si>
  <si>
    <t>Valerie Vaughn</t>
  </si>
  <si>
    <t>Felicia Warner</t>
  </si>
  <si>
    <t>Tiffany Miller</t>
  </si>
  <si>
    <t>Melissa Bradley</t>
  </si>
  <si>
    <t>Cassandra Cain</t>
  </si>
  <si>
    <t>Jessica Williams</t>
  </si>
  <si>
    <t>Glen Arroyo</t>
  </si>
  <si>
    <t>Christopher Schneider</t>
  </si>
  <si>
    <t>Kimberly Hill</t>
  </si>
  <si>
    <t>Kenneth Long</t>
  </si>
  <si>
    <t>Erik Martinez</t>
  </si>
  <si>
    <t>Jennifer Carroll</t>
  </si>
  <si>
    <t>Michael Bradley</t>
  </si>
  <si>
    <t>Carl Gomez</t>
  </si>
  <si>
    <t>Rebecca Carey DDS</t>
  </si>
  <si>
    <t>David Carter</t>
  </si>
  <si>
    <t>Tammy Nelson</t>
  </si>
  <si>
    <t>Angel Aguilar</t>
  </si>
  <si>
    <t>Heidi Alvarez</t>
  </si>
  <si>
    <t>Jeremy Wilson</t>
  </si>
  <si>
    <t>Robert Edwards</t>
  </si>
  <si>
    <t>Ashley Gonzalez</t>
  </si>
  <si>
    <t>Bryan Fritz</t>
  </si>
  <si>
    <t>Kelsey Hernandez</t>
  </si>
  <si>
    <t>Donald Reed</t>
  </si>
  <si>
    <t>Danny Webster</t>
  </si>
  <si>
    <t>Alejandra Perkins</t>
  </si>
  <si>
    <t>Daniel Dickerson</t>
  </si>
  <si>
    <t>Jonathan Drake</t>
  </si>
  <si>
    <t>Andrew Johnson</t>
  </si>
  <si>
    <t>Sandra Wood</t>
  </si>
  <si>
    <t>Brian Armstrong</t>
  </si>
  <si>
    <t>Alexis Moody</t>
  </si>
  <si>
    <t>Jennifer Reyes</t>
  </si>
  <si>
    <t>Carol Williams</t>
  </si>
  <si>
    <t>Joshua Gomez</t>
  </si>
  <si>
    <t>Kimberly Adkins</t>
  </si>
  <si>
    <t>Tamara Rivera</t>
  </si>
  <si>
    <t>Tracie Jefferson</t>
  </si>
  <si>
    <t>Margaret Robinson</t>
  </si>
  <si>
    <t>Aaron Young</t>
  </si>
  <si>
    <t>Wendy Cochran</t>
  </si>
  <si>
    <t>Terry Dennis</t>
  </si>
  <si>
    <t>Kelsey Scott</t>
  </si>
  <si>
    <t>Ronald Santos</t>
  </si>
  <si>
    <t>Kristin Terry</t>
  </si>
  <si>
    <t>Michael Brown</t>
  </si>
  <si>
    <t>Nicole Green</t>
  </si>
  <si>
    <t>Charles Owens</t>
  </si>
  <si>
    <t>Tina Cook</t>
  </si>
  <si>
    <t>Paul Allen</t>
  </si>
  <si>
    <t>Robin Donovan</t>
  </si>
  <si>
    <t>Brian Brown</t>
  </si>
  <si>
    <t>Bryan Meyers</t>
  </si>
  <si>
    <t>Michael Trevino</t>
  </si>
  <si>
    <t>Deanna Manning</t>
  </si>
  <si>
    <t>Austin Stout</t>
  </si>
  <si>
    <t>Linda Miller</t>
  </si>
  <si>
    <t>Patricia White</t>
  </si>
  <si>
    <t>Kathryn Bell</t>
  </si>
  <si>
    <t>Andre Carter</t>
  </si>
  <si>
    <t>Patrick Ewing</t>
  </si>
  <si>
    <t>Alexander Jackson</t>
  </si>
  <si>
    <t>Steven Henderson</t>
  </si>
  <si>
    <t>Nicole Martinez</t>
  </si>
  <si>
    <t>Michael Marquez</t>
  </si>
  <si>
    <t>Mr. Curtis Ortiz</t>
  </si>
  <si>
    <t>Brittany Thompson</t>
  </si>
  <si>
    <t>Wendy Davis</t>
  </si>
  <si>
    <t>Tracy Perez</t>
  </si>
  <si>
    <t>Lauren Rosario</t>
  </si>
  <si>
    <t>Morgan Torres</t>
  </si>
  <si>
    <t>April Lyons</t>
  </si>
  <si>
    <t>Jessica Price</t>
  </si>
  <si>
    <t>Justin Rice</t>
  </si>
  <si>
    <t>Kayla Williams</t>
  </si>
  <si>
    <t>Aaron Cooper</t>
  </si>
  <si>
    <t>Victoria Young</t>
  </si>
  <si>
    <t>Lauren Whitaker</t>
  </si>
  <si>
    <t>Roger Hatfield</t>
  </si>
  <si>
    <t>Victoria Lopez</t>
  </si>
  <si>
    <t>Robert Lewis</t>
  </si>
  <si>
    <t>Samantha Cameron</t>
  </si>
  <si>
    <t>Jeremiah Perez</t>
  </si>
  <si>
    <t>Michael Black</t>
  </si>
  <si>
    <t>Haley Mcintosh</t>
  </si>
  <si>
    <t>Amanda Boyd</t>
  </si>
  <si>
    <t>Kathy Rhodes</t>
  </si>
  <si>
    <t>Rachel Bright</t>
  </si>
  <si>
    <t>Louis Craig</t>
  </si>
  <si>
    <t>Rachel Wood</t>
  </si>
  <si>
    <t>Jenny Black</t>
  </si>
  <si>
    <t>Jamie Nunez</t>
  </si>
  <si>
    <t>Sarah Davis</t>
  </si>
  <si>
    <t>Rebecca Thompson</t>
  </si>
  <si>
    <t>Heidi Sosa</t>
  </si>
  <si>
    <t>Nancy Wilson</t>
  </si>
  <si>
    <t>Dalton Rodriguez</t>
  </si>
  <si>
    <t>Erica Sanchez</t>
  </si>
  <si>
    <t>Jacqueline West</t>
  </si>
  <si>
    <t>Steven Walker</t>
  </si>
  <si>
    <t>Sherri Barry</t>
  </si>
  <si>
    <t>Janet Schultz</t>
  </si>
  <si>
    <t>Lydia Russell</t>
  </si>
  <si>
    <t>Matthew Clark</t>
  </si>
  <si>
    <t>Alexander Hammond</t>
  </si>
  <si>
    <t>Tara Moore</t>
  </si>
  <si>
    <t>Nichole Anderson</t>
  </si>
  <si>
    <t>Richard Vega</t>
  </si>
  <si>
    <t>Jacqueline Peters</t>
  </si>
  <si>
    <t>Adam Jensen</t>
  </si>
  <si>
    <t>Kelly Hodge</t>
  </si>
  <si>
    <t>Terry Jones</t>
  </si>
  <si>
    <t>Brandi Boyd</t>
  </si>
  <si>
    <t>Mary Jacobson</t>
  </si>
  <si>
    <t>David Jones</t>
  </si>
  <si>
    <t>Dakota Fleming</t>
  </si>
  <si>
    <t>Zachary Lewis</t>
  </si>
  <si>
    <t>Gary Washington</t>
  </si>
  <si>
    <t>Andrea Anderson</t>
  </si>
  <si>
    <t>Mary Burgess</t>
  </si>
  <si>
    <t>Shawn Castillo</t>
  </si>
  <si>
    <t>Jerry Holmes</t>
  </si>
  <si>
    <t>Kim Daniels</t>
  </si>
  <si>
    <t>Kimberly Diaz</t>
  </si>
  <si>
    <t>David Guzman</t>
  </si>
  <si>
    <t>Katherine Olson</t>
  </si>
  <si>
    <t>Larry Roberts</t>
  </si>
  <si>
    <t>Nathaniel White</t>
  </si>
  <si>
    <t>Andrew Clark</t>
  </si>
  <si>
    <t>Robert Garcia</t>
  </si>
  <si>
    <t>Eric Lewis</t>
  </si>
  <si>
    <t>Richard Medina</t>
  </si>
  <si>
    <t>Peter Pierce</t>
  </si>
  <si>
    <t>Deborah Snyder</t>
  </si>
  <si>
    <t>Elizabeth Russo</t>
  </si>
  <si>
    <t>Connie Martinez</t>
  </si>
  <si>
    <t>Jacqueline Collins</t>
  </si>
  <si>
    <t>Paul Parker</t>
  </si>
  <si>
    <t>Mckenzie Mccarty</t>
  </si>
  <si>
    <t>Larry Smith</t>
  </si>
  <si>
    <t>Samuel Thomas</t>
  </si>
  <si>
    <t>Donna Johnson</t>
  </si>
  <si>
    <t>Robert Williams</t>
  </si>
  <si>
    <t>Jessica Chandler</t>
  </si>
  <si>
    <t>Brent Thompson</t>
  </si>
  <si>
    <t>Pamela Cunningham</t>
  </si>
  <si>
    <t>Ms. Kristen Johnson</t>
  </si>
  <si>
    <t>Susan Griffin</t>
  </si>
  <si>
    <t>Darlene Clark</t>
  </si>
  <si>
    <t>Thomas Williams</t>
  </si>
  <si>
    <t>Corey King</t>
  </si>
  <si>
    <t>Lauren Burns</t>
  </si>
  <si>
    <t>Amy Baxter</t>
  </si>
  <si>
    <t>Jesse Wood</t>
  </si>
  <si>
    <t>Deborah Vasquez</t>
  </si>
  <si>
    <t>James Price</t>
  </si>
  <si>
    <t>Jessica Garcia</t>
  </si>
  <si>
    <t>Darryl Murphy</t>
  </si>
  <si>
    <t>Christian Chapman</t>
  </si>
  <si>
    <t>Maria Boyd</t>
  </si>
  <si>
    <t>Mike Miller</t>
  </si>
  <si>
    <t>Jacqueline Howell</t>
  </si>
  <si>
    <t>Felicia Smith</t>
  </si>
  <si>
    <t>Tracy Smith</t>
  </si>
  <si>
    <t>Amber Baxter</t>
  </si>
  <si>
    <t>Victoria Perry</t>
  </si>
  <si>
    <t>Heather Garcia</t>
  </si>
  <si>
    <t>Pamela Davis</t>
  </si>
  <si>
    <t>Antonio Galloway</t>
  </si>
  <si>
    <t>Stephanie Carr</t>
  </si>
  <si>
    <t>David Colon</t>
  </si>
  <si>
    <t>Carrie Davis</t>
  </si>
  <si>
    <t>Michael Jones</t>
  </si>
  <si>
    <t>Pamela Young</t>
  </si>
  <si>
    <t>Yvonne Richardson</t>
  </si>
  <si>
    <t>Leonard Clark</t>
  </si>
  <si>
    <t>Robert Foster</t>
  </si>
  <si>
    <t>Michele Perry</t>
  </si>
  <si>
    <t>Leslie Gomez</t>
  </si>
  <si>
    <t>Ryan Tucker</t>
  </si>
  <si>
    <t>Barbara Owens</t>
  </si>
  <si>
    <t>Kelsey Rice</t>
  </si>
  <si>
    <t>Darren Jensen</t>
  </si>
  <si>
    <t>Monique Daniels</t>
  </si>
  <si>
    <t>Alexander Brown</t>
  </si>
  <si>
    <t>Joseph Mcmillan</t>
  </si>
  <si>
    <t>Frederick Nielsen</t>
  </si>
  <si>
    <t>Miss Christine Lopez</t>
  </si>
  <si>
    <t>Cynthia Turner</t>
  </si>
  <si>
    <t>Christy Nunez</t>
  </si>
  <si>
    <t>Theresa Parker</t>
  </si>
  <si>
    <t>Jeff Lynch</t>
  </si>
  <si>
    <t>Joseph Gibbs</t>
  </si>
  <si>
    <t>James Mendez</t>
  </si>
  <si>
    <t>Jackie Brooks</t>
  </si>
  <si>
    <t>Kelly Hess</t>
  </si>
  <si>
    <t>Seth Benson</t>
  </si>
  <si>
    <t>Sandra Wilson</t>
  </si>
  <si>
    <t>Cheryl Adams</t>
  </si>
  <si>
    <t>Jennifer Williams</t>
  </si>
  <si>
    <t>Emily Barnes</t>
  </si>
  <si>
    <t>Kathryn Green</t>
  </si>
  <si>
    <t>Robert Moreno</t>
  </si>
  <si>
    <t>Holly Potter</t>
  </si>
  <si>
    <t>Christina Mitchell</t>
  </si>
  <si>
    <t>Catherine Stein</t>
  </si>
  <si>
    <t>Donald Jacobson</t>
  </si>
  <si>
    <t>Wendy Andrews</t>
  </si>
  <si>
    <t>Kimberly Wilcox</t>
  </si>
  <si>
    <t>Richard Alexander</t>
  </si>
  <si>
    <t>Monica Torres</t>
  </si>
  <si>
    <t>Javier Hawkins</t>
  </si>
  <si>
    <t>Debra Fields</t>
  </si>
  <si>
    <t>Sonya Wheeler</t>
  </si>
  <si>
    <t>Adam Carlson</t>
  </si>
  <si>
    <t>Jessica Castillo</t>
  </si>
  <si>
    <t>Bryan Newton</t>
  </si>
  <si>
    <t>Courtney Powell</t>
  </si>
  <si>
    <t>Kelly Hardin</t>
  </si>
  <si>
    <t>Crystal Oneal</t>
  </si>
  <si>
    <t>Harold Gray</t>
  </si>
  <si>
    <t>Alison Robinson</t>
  </si>
  <si>
    <t>Jose Thomas</t>
  </si>
  <si>
    <t>Justin White</t>
  </si>
  <si>
    <t>Jose Jackson</t>
  </si>
  <si>
    <t>Linda Ryan</t>
  </si>
  <si>
    <t>Sandra Johns</t>
  </si>
  <si>
    <t>Meghan Evans</t>
  </si>
  <si>
    <t>Courtney Yang</t>
  </si>
  <si>
    <t>Tiffany Stone</t>
  </si>
  <si>
    <t>Henry Kelley</t>
  </si>
  <si>
    <t>Melanie Hernandez</t>
  </si>
  <si>
    <t>Adam Anderson</t>
  </si>
  <si>
    <t>Gabriel Yang</t>
  </si>
  <si>
    <t>Justin Thomas</t>
  </si>
  <si>
    <t>Nicole Garcia</t>
  </si>
  <si>
    <t>Guy Vaughn</t>
  </si>
  <si>
    <t>Jenny Martin</t>
  </si>
  <si>
    <t>Andrew Terry</t>
  </si>
  <si>
    <t>Audrey Irwin</t>
  </si>
  <si>
    <t>Michael Murphy</t>
  </si>
  <si>
    <t>Bryan Armstrong</t>
  </si>
  <si>
    <t>Robert Escobar</t>
  </si>
  <si>
    <t>Lisa Hill</t>
  </si>
  <si>
    <t>Mia Boyd</t>
  </si>
  <si>
    <t>Susan Delgado</t>
  </si>
  <si>
    <t>Paula Mann</t>
  </si>
  <si>
    <t>Bradley Myers</t>
  </si>
  <si>
    <t>Mark Barrett</t>
  </si>
  <si>
    <t>Derek Smith</t>
  </si>
  <si>
    <t>Jeremy Burton</t>
  </si>
  <si>
    <t>Taylor Farley</t>
  </si>
  <si>
    <t>Christy Lewis</t>
  </si>
  <si>
    <t>Richard Richardson</t>
  </si>
  <si>
    <t>Robin Hebert</t>
  </si>
  <si>
    <t>Ryan Rodriguez</t>
  </si>
  <si>
    <t>Eric Kennedy</t>
  </si>
  <si>
    <t>Jeremy Coleman</t>
  </si>
  <si>
    <t>David Riley</t>
  </si>
  <si>
    <t>Alexander Williams</t>
  </si>
  <si>
    <t>Erin Chandler</t>
  </si>
  <si>
    <t>Steven Richards</t>
  </si>
  <si>
    <t>Zachary Hamilton</t>
  </si>
  <si>
    <t>Toni Morris DDS</t>
  </si>
  <si>
    <t>Robin Medina</t>
  </si>
  <si>
    <t>Zachary Allen</t>
  </si>
  <si>
    <t>Justin Smith</t>
  </si>
  <si>
    <t>Mary Wilson</t>
  </si>
  <si>
    <t>Misty Higgins</t>
  </si>
  <si>
    <t>Nicole Shepard</t>
  </si>
  <si>
    <t>Mr. Ricky Le</t>
  </si>
  <si>
    <t>Trevor Anderson</t>
  </si>
  <si>
    <t>Kenneth Johnson</t>
  </si>
  <si>
    <t>Robert Wade</t>
  </si>
  <si>
    <t>Phillip Shelton</t>
  </si>
  <si>
    <t>Oscar Luna</t>
  </si>
  <si>
    <t>John Stewart</t>
  </si>
  <si>
    <t>Lance Hobbs</t>
  </si>
  <si>
    <t>Mr. James Brown</t>
  </si>
  <si>
    <t>Misty Wells</t>
  </si>
  <si>
    <t>Debra Booker</t>
  </si>
  <si>
    <t>Adam Mcdonald</t>
  </si>
  <si>
    <t>David Schmidt</t>
  </si>
  <si>
    <t>David Mann</t>
  </si>
  <si>
    <t>Donald Ferguson</t>
  </si>
  <si>
    <t>Daniel White</t>
  </si>
  <si>
    <t>Chad Johnson</t>
  </si>
  <si>
    <t>Steven Gonzalez</t>
  </si>
  <si>
    <t>Jonathan Daniels</t>
  </si>
  <si>
    <t>Samuel Harrison</t>
  </si>
  <si>
    <t>Hunter Powell</t>
  </si>
  <si>
    <t>Bethany Williams</t>
  </si>
  <si>
    <t>Kayla Woods</t>
  </si>
  <si>
    <t>Eddie Tate</t>
  </si>
  <si>
    <t>Paul Johnson</t>
  </si>
  <si>
    <t>Christopher Trujillo</t>
  </si>
  <si>
    <t>Keith Smith</t>
  </si>
  <si>
    <t>Sarah Thompson</t>
  </si>
  <si>
    <t>Ruth Shaw</t>
  </si>
  <si>
    <t>Bradley Jones</t>
  </si>
  <si>
    <t>Douglas Patton</t>
  </si>
  <si>
    <t>Emma Ferrell</t>
  </si>
  <si>
    <t>David Bradford</t>
  </si>
  <si>
    <t>Michael Garcia</t>
  </si>
  <si>
    <t>Barbara Mack</t>
  </si>
  <si>
    <t>Darlene Hodge</t>
  </si>
  <si>
    <t>Amanda Cruz</t>
  </si>
  <si>
    <t>Katherine Rios</t>
  </si>
  <si>
    <t>Elizabeth Foster</t>
  </si>
  <si>
    <t>Jennifer Shaffer</t>
  </si>
  <si>
    <t>Brittany Watson</t>
  </si>
  <si>
    <t>Leslie Newman</t>
  </si>
  <si>
    <t>Lindsey Mendoza</t>
  </si>
  <si>
    <t>Alejandro Romero</t>
  </si>
  <si>
    <t>Karen Hancock</t>
  </si>
  <si>
    <t>Ashley Peterson</t>
  </si>
  <si>
    <t>Kyle Mcintyre</t>
  </si>
  <si>
    <t>Steven Wallace</t>
  </si>
  <si>
    <t>Katherine Martin</t>
  </si>
  <si>
    <t>David Barnett</t>
  </si>
  <si>
    <t>William Wilson</t>
  </si>
  <si>
    <t>Jacob Bernard</t>
  </si>
  <si>
    <t>Kenneth Cox</t>
  </si>
  <si>
    <t>Brian Walker</t>
  </si>
  <si>
    <t>Susan Winters</t>
  </si>
  <si>
    <t>Christopher Simpson</t>
  </si>
  <si>
    <t>Marissa Randall</t>
  </si>
  <si>
    <t>Kent Cannon</t>
  </si>
  <si>
    <t>Lydia Davis</t>
  </si>
  <si>
    <t>Brian Rodriguez</t>
  </si>
  <si>
    <t>Jason Kennedy</t>
  </si>
  <si>
    <t>Robert Fowler</t>
  </si>
  <si>
    <t>Bill Brown</t>
  </si>
  <si>
    <t>Shannon Vargas</t>
  </si>
  <si>
    <t>Brian Caldwell</t>
  </si>
  <si>
    <t>Jennifer Dorsey</t>
  </si>
  <si>
    <t>Michael Stanley</t>
  </si>
  <si>
    <t>Gary Simpson</t>
  </si>
  <si>
    <t>Veronica Chen</t>
  </si>
  <si>
    <t>Nicole Adams</t>
  </si>
  <si>
    <t>Krystal Krueger</t>
  </si>
  <si>
    <t>Gary Ramos</t>
  </si>
  <si>
    <t>Gregory Riley</t>
  </si>
  <si>
    <t>Veronica Shaw</t>
  </si>
  <si>
    <t>Michael Franco</t>
  </si>
  <si>
    <t>Lisa Smith</t>
  </si>
  <si>
    <t>Daniel Beck</t>
  </si>
  <si>
    <t>Eric Lawson</t>
  </si>
  <si>
    <t>Andrew Webb</t>
  </si>
  <si>
    <t>Vanessa Wright</t>
  </si>
  <si>
    <t>Virginia Sharp</t>
  </si>
  <si>
    <t>Edward Thomas</t>
  </si>
  <si>
    <t>Teresa Medina</t>
  </si>
  <si>
    <t>Cassandra Peterson</t>
  </si>
  <si>
    <t>Mary Sanchez</t>
  </si>
  <si>
    <t>Ellen Stevens</t>
  </si>
  <si>
    <t>Charles Wells</t>
  </si>
  <si>
    <t>Shawn Mendoza</t>
  </si>
  <si>
    <t>Erin Walton</t>
  </si>
  <si>
    <t>Sandra Hill</t>
  </si>
  <si>
    <t>Julie May</t>
  </si>
  <si>
    <t>Oscar Hunt</t>
  </si>
  <si>
    <t>Michael Mason</t>
  </si>
  <si>
    <t>Tristan Booth</t>
  </si>
  <si>
    <t>Alicia Hall</t>
  </si>
  <si>
    <t>Ashlee Warren</t>
  </si>
  <si>
    <t>Cynthia Cruz</t>
  </si>
  <si>
    <t>Alexander Vega</t>
  </si>
  <si>
    <t>Karen Gomez</t>
  </si>
  <si>
    <t>Breanna Lewis</t>
  </si>
  <si>
    <t>Jerry Tucker</t>
  </si>
  <si>
    <t>Jackie Lane</t>
  </si>
  <si>
    <t>Jackie Harper</t>
  </si>
  <si>
    <t>Shawn Cordova</t>
  </si>
  <si>
    <t>Wendy Mcguire</t>
  </si>
  <si>
    <t>Christina Macdonald</t>
  </si>
  <si>
    <t>Samuel Ramirez</t>
  </si>
  <si>
    <t>Dylan Jones</t>
  </si>
  <si>
    <t>Katherine Small</t>
  </si>
  <si>
    <t>Christine Herring</t>
  </si>
  <si>
    <t>Kristin Hartman</t>
  </si>
  <si>
    <t>Brandon Carter</t>
  </si>
  <si>
    <t>Lori Dean</t>
  </si>
  <si>
    <t>Theresa Williams</t>
  </si>
  <si>
    <t>Deborah Robinson</t>
  </si>
  <si>
    <t>Joseph Bell</t>
  </si>
  <si>
    <t>Jason Tate</t>
  </si>
  <si>
    <t>Kimberly Young</t>
  </si>
  <si>
    <t>Jill Mcconnell</t>
  </si>
  <si>
    <t>Jessica Miller</t>
  </si>
  <si>
    <t>Kyle Barnes Jr.</t>
  </si>
  <si>
    <t>Donna Peters</t>
  </si>
  <si>
    <t>Regina Smith</t>
  </si>
  <si>
    <t>Donna Orr</t>
  </si>
  <si>
    <t>Jeffrey Warren</t>
  </si>
  <si>
    <t>Mrs. Michelle Reed</t>
  </si>
  <si>
    <t>Andre Crosby</t>
  </si>
  <si>
    <t>Douglas Smith</t>
  </si>
  <si>
    <t>Jessica Maldonado DDS</t>
  </si>
  <si>
    <t>Kelly Thomas</t>
  </si>
  <si>
    <t>Ian Bush</t>
  </si>
  <si>
    <t>Steven Welch</t>
  </si>
  <si>
    <t>Nicole Warren</t>
  </si>
  <si>
    <t>Kimberly Beck</t>
  </si>
  <si>
    <t>Dennis Jacobs</t>
  </si>
  <si>
    <t>Katherine Long</t>
  </si>
  <si>
    <t>Edward Black</t>
  </si>
  <si>
    <t>Nathan Summers</t>
  </si>
  <si>
    <t>Suzanne Jenkins</t>
  </si>
  <si>
    <t>Maureen Jacobson</t>
  </si>
  <si>
    <t>Lindsey Green</t>
  </si>
  <si>
    <t>James Fleming</t>
  </si>
  <si>
    <t>Sarah Hernandez</t>
  </si>
  <si>
    <t>Jeremy Mclaughlin</t>
  </si>
  <si>
    <t>Christina Eaton</t>
  </si>
  <si>
    <t>Angela Rogers</t>
  </si>
  <si>
    <t>Dr. Brian Smith</t>
  </si>
  <si>
    <t>Molly Hayden</t>
  </si>
  <si>
    <t>Brian Chambers</t>
  </si>
  <si>
    <t>Brian Clarke</t>
  </si>
  <si>
    <t>Amanda Hoffman</t>
  </si>
  <si>
    <t>Steven Morgan</t>
  </si>
  <si>
    <t>Donna Adkins</t>
  </si>
  <si>
    <t>Sara Morse</t>
  </si>
  <si>
    <t>Mrs. Jennifer Ingram</t>
  </si>
  <si>
    <t>Troy Torres</t>
  </si>
  <si>
    <t>Matthew Carney</t>
  </si>
  <si>
    <t>Stephanie Moss</t>
  </si>
  <si>
    <t>Jason Bray</t>
  </si>
  <si>
    <t>Amber Waters</t>
  </si>
  <si>
    <t>Pamela Johnson</t>
  </si>
  <si>
    <t>Crystal Garza</t>
  </si>
  <si>
    <t>Glenn Wall</t>
  </si>
  <si>
    <t>Sarah Peterson</t>
  </si>
  <si>
    <t>Christopher Beard</t>
  </si>
  <si>
    <t>Jerry Torres</t>
  </si>
  <si>
    <t>Darin Caldwell</t>
  </si>
  <si>
    <t>Danielle Pacheco</t>
  </si>
  <si>
    <t>Henry Henderson</t>
  </si>
  <si>
    <t>James Love</t>
  </si>
  <si>
    <t>Regina Giles</t>
  </si>
  <si>
    <t>Kimberly Foster</t>
  </si>
  <si>
    <t>Curtis Cooke</t>
  </si>
  <si>
    <t>John Hancock</t>
  </si>
  <si>
    <t>Joel Marshall</t>
  </si>
  <si>
    <t>Victoria Garcia</t>
  </si>
  <si>
    <t>Peter Schaefer</t>
  </si>
  <si>
    <t>Carlos Spence</t>
  </si>
  <si>
    <t>Andrew Cross</t>
  </si>
  <si>
    <t>Victor Warner</t>
  </si>
  <si>
    <t>Jonathan Fernandez</t>
  </si>
  <si>
    <t>Luis Nolan</t>
  </si>
  <si>
    <t>Rebecca Gould</t>
  </si>
  <si>
    <t>Xavier Richardson</t>
  </si>
  <si>
    <t>Anthony Nash</t>
  </si>
  <si>
    <t>Brianna Shea</t>
  </si>
  <si>
    <t>Kimberly Fitzpatrick</t>
  </si>
  <si>
    <t>Mark Moore</t>
  </si>
  <si>
    <t>Elizabeth Duke</t>
  </si>
  <si>
    <t>Michael Rogers</t>
  </si>
  <si>
    <t>Richard Griffin</t>
  </si>
  <si>
    <t>Tina Gonzalez</t>
  </si>
  <si>
    <t>Erica Jimenez</t>
  </si>
  <si>
    <t>Bethany Mcpherson</t>
  </si>
  <si>
    <t>Melissa Allen</t>
  </si>
  <si>
    <t>Rodney Lopez</t>
  </si>
  <si>
    <t>Manuel Becker</t>
  </si>
  <si>
    <t>Jacob Patel</t>
  </si>
  <si>
    <t>Jamie Andrews</t>
  </si>
  <si>
    <t>Shannon Flores</t>
  </si>
  <si>
    <t>Scott Washington</t>
  </si>
  <si>
    <t>Tara Garrison</t>
  </si>
  <si>
    <t>Stacy Hartman</t>
  </si>
  <si>
    <t>Kevin Fields</t>
  </si>
  <si>
    <t>Sandra Terry</t>
  </si>
  <si>
    <t>Debra Buchanan</t>
  </si>
  <si>
    <t>Steven Miller</t>
  </si>
  <si>
    <t>Bob Shaw</t>
  </si>
  <si>
    <t>Haley King</t>
  </si>
  <si>
    <t>Erin Carr</t>
  </si>
  <si>
    <t>Jonathan Wood</t>
  </si>
  <si>
    <t>Jon Duarte</t>
  </si>
  <si>
    <t>Jessica Ali</t>
  </si>
  <si>
    <t>Willie Rose</t>
  </si>
  <si>
    <t>Bridget Cooley</t>
  </si>
  <si>
    <t>Ashley Edwards</t>
  </si>
  <si>
    <t>Brad Hill</t>
  </si>
  <si>
    <t>Emily Joseph</t>
  </si>
  <si>
    <t>Nathan Murphy</t>
  </si>
  <si>
    <t>Kerry Rowe</t>
  </si>
  <si>
    <t>Darrell Mendez</t>
  </si>
  <si>
    <t>Henry Carlson</t>
  </si>
  <si>
    <t>Michael Evans</t>
  </si>
  <si>
    <t>Manuel Vargas</t>
  </si>
  <si>
    <t>Heidi Hamilton</t>
  </si>
  <si>
    <t>Jeremiah Cruz</t>
  </si>
  <si>
    <t>Matthew Pratt</t>
  </si>
  <si>
    <t>Nicholas Vasquez</t>
  </si>
  <si>
    <t>Jennifer Anderson</t>
  </si>
  <si>
    <t>Cheryl Smith</t>
  </si>
  <si>
    <t>Sarah Harper DDS</t>
  </si>
  <si>
    <t>Matthew Moore</t>
  </si>
  <si>
    <t>Erica Riley</t>
  </si>
  <si>
    <t>Katherine Wilson</t>
  </si>
  <si>
    <t>Mitchell Sims</t>
  </si>
  <si>
    <t>Dawn Collins</t>
  </si>
  <si>
    <t>John Rich</t>
  </si>
  <si>
    <t>Jennifer Johnston</t>
  </si>
  <si>
    <t>Kathleen Oneal</t>
  </si>
  <si>
    <t>Jacob Andrade</t>
  </si>
  <si>
    <t>Courtney Hunt</t>
  </si>
  <si>
    <t>Mrs. Kayla Peterson</t>
  </si>
  <si>
    <t>Steven Wilson</t>
  </si>
  <si>
    <t>Hannah Herrera</t>
  </si>
  <si>
    <t>Meghan Sanchez</t>
  </si>
  <si>
    <t>Judith Watson</t>
  </si>
  <si>
    <t>Amanda Johnston</t>
  </si>
  <si>
    <t>Angela Burton</t>
  </si>
  <si>
    <t>Richard Jones</t>
  </si>
  <si>
    <t>Stephen Cooper</t>
  </si>
  <si>
    <t>Lindsay Harris</t>
  </si>
  <si>
    <t>Ryan Hughes</t>
  </si>
  <si>
    <t>Kathy Banks</t>
  </si>
  <si>
    <t>Anna Yoder</t>
  </si>
  <si>
    <t>Beth Murphy</t>
  </si>
  <si>
    <t>Adam Davis</t>
  </si>
  <si>
    <t>Barbara Johnston</t>
  </si>
  <si>
    <t>April Hood</t>
  </si>
  <si>
    <t>Patrick Perez</t>
  </si>
  <si>
    <t>Jesse Edwards</t>
  </si>
  <si>
    <t>Sonia Moss</t>
  </si>
  <si>
    <t>Joy Armstrong</t>
  </si>
  <si>
    <t>Dana Mcclure</t>
  </si>
  <si>
    <t>Mark Norton</t>
  </si>
  <si>
    <t>Ryan Williams</t>
  </si>
  <si>
    <t>Veronica Fry</t>
  </si>
  <si>
    <t>Amy Baird</t>
  </si>
  <si>
    <t>Diana Jones</t>
  </si>
  <si>
    <t>Frank Castaneda</t>
  </si>
  <si>
    <t>Christopher Chen</t>
  </si>
  <si>
    <t>Benjamin Ramirez</t>
  </si>
  <si>
    <t>Matthew Buckley</t>
  </si>
  <si>
    <t>Ryan Collins</t>
  </si>
  <si>
    <t>Kimberly Goodman</t>
  </si>
  <si>
    <t>Luis Kim</t>
  </si>
  <si>
    <t>Brandi Osborn</t>
  </si>
  <si>
    <t>Daisy Rodriguez</t>
  </si>
  <si>
    <t>Christopher Lopez</t>
  </si>
  <si>
    <t>Caleb Kennedy</t>
  </si>
  <si>
    <t>Ronnie Roach</t>
  </si>
  <si>
    <t>Jason Houston</t>
  </si>
  <si>
    <t>Gary Taylor</t>
  </si>
  <si>
    <t>Lauren Medina</t>
  </si>
  <si>
    <t>Rodney Gonzalez</t>
  </si>
  <si>
    <t>Patrick Roach</t>
  </si>
  <si>
    <t>Karen Duke</t>
  </si>
  <si>
    <t>Sandra Rojas</t>
  </si>
  <si>
    <t>Donna Stone</t>
  </si>
  <si>
    <t>Daniel Bender</t>
  </si>
  <si>
    <t>Erik Davis</t>
  </si>
  <si>
    <t>Amanda White</t>
  </si>
  <si>
    <t>Brian Patel</t>
  </si>
  <si>
    <t>Tracy Harris</t>
  </si>
  <si>
    <t>George Houston</t>
  </si>
  <si>
    <t>Brian Vincent</t>
  </si>
  <si>
    <t>Mrs. Katherine Huber PhD</t>
  </si>
  <si>
    <t>Kathryn Young</t>
  </si>
  <si>
    <t>Edward Russell</t>
  </si>
  <si>
    <t>Connor Brown</t>
  </si>
  <si>
    <t>Thomas Fleming</t>
  </si>
  <si>
    <t>Kimberly Mcdonald</t>
  </si>
  <si>
    <t>Savannah Butler</t>
  </si>
  <si>
    <t>James Nguyen</t>
  </si>
  <si>
    <t>David Wilson</t>
  </si>
  <si>
    <t>Matthew Wilson</t>
  </si>
  <si>
    <t>Jacob Price</t>
  </si>
  <si>
    <t>Kimberly Rangel</t>
  </si>
  <si>
    <t>Brian Mitchell</t>
  </si>
  <si>
    <t>Kendra Jones</t>
  </si>
  <si>
    <t>Karen Grimes</t>
  </si>
  <si>
    <t>Anthony Medina</t>
  </si>
  <si>
    <t>Richard Walker</t>
  </si>
  <si>
    <t>Desiree Wilkins</t>
  </si>
  <si>
    <t>Jamie Ford</t>
  </si>
  <si>
    <t>Ashley Cunningham</t>
  </si>
  <si>
    <t>Sarah Montgomery</t>
  </si>
  <si>
    <t>Abigail Townsend</t>
  </si>
  <si>
    <t>Allison Salazar</t>
  </si>
  <si>
    <t>Diana Collins</t>
  </si>
  <si>
    <t>Glenn Bond</t>
  </si>
  <si>
    <t>William Roberts Jr.</t>
  </si>
  <si>
    <t>Savannah Beltran</t>
  </si>
  <si>
    <t>Sean Bailey</t>
  </si>
  <si>
    <t>Erika Turner</t>
  </si>
  <si>
    <t>Adrian Vincent</t>
  </si>
  <si>
    <t>John Walsh</t>
  </si>
  <si>
    <t>Wanda Cox</t>
  </si>
  <si>
    <t>Christopher Johnson</t>
  </si>
  <si>
    <t>Susan Stanton</t>
  </si>
  <si>
    <t>Roger Holmes</t>
  </si>
  <si>
    <t>Paula Stone</t>
  </si>
  <si>
    <t>Michael Hamilton</t>
  </si>
  <si>
    <t>Angie Smith</t>
  </si>
  <si>
    <t>Courtney Gonzales</t>
  </si>
  <si>
    <t>Kayla Norris</t>
  </si>
  <si>
    <t>Leslie Medina</t>
  </si>
  <si>
    <t>Matthew Morse</t>
  </si>
  <si>
    <t>Frank Fields</t>
  </si>
  <si>
    <t>Heather Diaz</t>
  </si>
  <si>
    <t>Darren Douglas</t>
  </si>
  <si>
    <t>Andrew Gordon</t>
  </si>
  <si>
    <t>Jerry Jones</t>
  </si>
  <si>
    <t>Ashley Gomez</t>
  </si>
  <si>
    <t>Sheila Barrett</t>
  </si>
  <si>
    <t>John Wallace</t>
  </si>
  <si>
    <t>Kim Morris</t>
  </si>
  <si>
    <t>Michael Morris</t>
  </si>
  <si>
    <t>Sarah Rivas</t>
  </si>
  <si>
    <t>Scott Vega</t>
  </si>
  <si>
    <t>Adam Lane</t>
  </si>
  <si>
    <t>Lynn Dorsey</t>
  </si>
  <si>
    <t>Ronald Taylor</t>
  </si>
  <si>
    <t>Vanessa Jackson</t>
  </si>
  <si>
    <t>Angela Smith</t>
  </si>
  <si>
    <t>Nicholas Jones</t>
  </si>
  <si>
    <t>Chad Tyler</t>
  </si>
  <si>
    <t>Tiffany Sullivan</t>
  </si>
  <si>
    <t>Mary Manning</t>
  </si>
  <si>
    <t>William Harris</t>
  </si>
  <si>
    <t>Samantha Hoffman</t>
  </si>
  <si>
    <t>Julie Smith</t>
  </si>
  <si>
    <t>Shawn Juarez</t>
  </si>
  <si>
    <t>Patrick Morrison</t>
  </si>
  <si>
    <t>Dave Summers</t>
  </si>
  <si>
    <t>Traci Hopkins</t>
  </si>
  <si>
    <t>Luke Brady</t>
  </si>
  <si>
    <t>Adam Hall</t>
  </si>
  <si>
    <t>Christian Guerrero</t>
  </si>
  <si>
    <t>Jennifer Perez</t>
  </si>
  <si>
    <t>Terrence Long</t>
  </si>
  <si>
    <t>Natalie Rodriguez</t>
  </si>
  <si>
    <t>Victor Everett</t>
  </si>
  <si>
    <t>Jacob Diaz</t>
  </si>
  <si>
    <t>Amanda Stevenson</t>
  </si>
  <si>
    <t>Tyler Cunningham</t>
  </si>
  <si>
    <t>Vanessa Perkins</t>
  </si>
  <si>
    <t>Megan Smith</t>
  </si>
  <si>
    <t>Michael Davis</t>
  </si>
  <si>
    <t>Karen Griffin</t>
  </si>
  <si>
    <t>Amy Pierce</t>
  </si>
  <si>
    <t>Ian Castillo</t>
  </si>
  <si>
    <t>Dakota Kelly</t>
  </si>
  <si>
    <t>Andre Jones</t>
  </si>
  <si>
    <t>Erin Williams</t>
  </si>
  <si>
    <t>Sean Hernandez</t>
  </si>
  <si>
    <t>Tiffany Cooper</t>
  </si>
  <si>
    <t>Katrina Jones</t>
  </si>
  <si>
    <t>Jerry White</t>
  </si>
  <si>
    <t>Steven Scott</t>
  </si>
  <si>
    <t>Joseph Pace</t>
  </si>
  <si>
    <t>Lydia Baker</t>
  </si>
  <si>
    <t>Jean Kramer</t>
  </si>
  <si>
    <t>Donald Clark</t>
  </si>
  <si>
    <t>David Rose</t>
  </si>
  <si>
    <t>Dana Ewing</t>
  </si>
  <si>
    <t>Kevin Pearson</t>
  </si>
  <si>
    <t>James Gibbs</t>
  </si>
  <si>
    <t>Lisa Norris</t>
  </si>
  <si>
    <t>Lori Henderson</t>
  </si>
  <si>
    <t>Terri Stewart</t>
  </si>
  <si>
    <t>Benjamin Lewis</t>
  </si>
  <si>
    <t>Taylor Hicks</t>
  </si>
  <si>
    <t>Matthew Johnson</t>
  </si>
  <si>
    <t>John Moran</t>
  </si>
  <si>
    <t>Karen Myers</t>
  </si>
  <si>
    <t>David Wright</t>
  </si>
  <si>
    <t>Shelly Chavez</t>
  </si>
  <si>
    <t>Megan Morales</t>
  </si>
  <si>
    <t>Maria Williams</t>
  </si>
  <si>
    <t>Brandi Thomas</t>
  </si>
  <si>
    <t>Robert Humphrey</t>
  </si>
  <si>
    <t>Vanessa Brown</t>
  </si>
  <si>
    <t>Matthew Gutierrez</t>
  </si>
  <si>
    <t>Rebecca Banks</t>
  </si>
  <si>
    <t>April Randall DDS</t>
  </si>
  <si>
    <t>Ashley Rodriguez</t>
  </si>
  <si>
    <t>Russell Zimmerman</t>
  </si>
  <si>
    <t>Laura Ford</t>
  </si>
  <si>
    <t>Kyle Evans</t>
  </si>
  <si>
    <t>James Stout</t>
  </si>
  <si>
    <t>Andrea Myers</t>
  </si>
  <si>
    <t>Ashley Foster</t>
  </si>
  <si>
    <t>Melinda Cannon</t>
  </si>
  <si>
    <t>Christian Thomas</t>
  </si>
  <si>
    <t>Gregory Tapia</t>
  </si>
  <si>
    <t>Stacy Gardner</t>
  </si>
  <si>
    <t>Michael Campbell</t>
  </si>
  <si>
    <t>Taylor Patterson</t>
  </si>
  <si>
    <t>Ellen Miller</t>
  </si>
  <si>
    <t>Justin Zimmerman</t>
  </si>
  <si>
    <t>Jaclyn Knight</t>
  </si>
  <si>
    <t>John Oliver</t>
  </si>
  <si>
    <t>Jessica Rodriguez</t>
  </si>
  <si>
    <t>Jeffrey Martin</t>
  </si>
  <si>
    <t>Patricia Johnson DDS</t>
  </si>
  <si>
    <t>Ana Hunt</t>
  </si>
  <si>
    <t>Alexandra Sandoval</t>
  </si>
  <si>
    <t>Rachel Moore</t>
  </si>
  <si>
    <t>Mandy Smith</t>
  </si>
  <si>
    <t>Brian Olson</t>
  </si>
  <si>
    <t>Danny Cooper</t>
  </si>
  <si>
    <t>Mark Morrison</t>
  </si>
  <si>
    <t>Dr. Christina Dunn</t>
  </si>
  <si>
    <t>Madeline Sharp</t>
  </si>
  <si>
    <t>Rachel Porter</t>
  </si>
  <si>
    <t>Patrick Russell</t>
  </si>
  <si>
    <t>Megan Williams</t>
  </si>
  <si>
    <t>Melissa Khan</t>
  </si>
  <si>
    <t>Michelle Hill</t>
  </si>
  <si>
    <t>Rachel Sanchez</t>
  </si>
  <si>
    <t>Donna Green</t>
  </si>
  <si>
    <t>Clifford Ramirez</t>
  </si>
  <si>
    <t>Leon Anderson</t>
  </si>
  <si>
    <t>Mary Chandler</t>
  </si>
  <si>
    <t>Cheryl Ruiz</t>
  </si>
  <si>
    <t>Maria Thomas</t>
  </si>
  <si>
    <t>Keith Douglas</t>
  </si>
  <si>
    <t>Dawn Browning</t>
  </si>
  <si>
    <t>Christina Spencer</t>
  </si>
  <si>
    <t>Mark Kelley</t>
  </si>
  <si>
    <t>April Rios</t>
  </si>
  <si>
    <t>Megan Mccann</t>
  </si>
  <si>
    <t>Mallory Martin</t>
  </si>
  <si>
    <t>David Whitney</t>
  </si>
  <si>
    <t>Elizabeth Johnson</t>
  </si>
  <si>
    <t>Dr. Mary Day</t>
  </si>
  <si>
    <t>Ellen Rogers</t>
  </si>
  <si>
    <t>Tammie Melendez</t>
  </si>
  <si>
    <t>Kenneth Jenkins</t>
  </si>
  <si>
    <t>Tanya Eaton</t>
  </si>
  <si>
    <t>Duane Mitchell</t>
  </si>
  <si>
    <t>Helen Jackson</t>
  </si>
  <si>
    <t>Mr. Paul Chavez</t>
  </si>
  <si>
    <t>Evan Marquez</t>
  </si>
  <si>
    <t>Ian Weaver</t>
  </si>
  <si>
    <t>Audrey Torres</t>
  </si>
  <si>
    <t>Justin Hall</t>
  </si>
  <si>
    <t>Brian Riley</t>
  </si>
  <si>
    <t>Charles Kemp</t>
  </si>
  <si>
    <t>Joshua Wallace</t>
  </si>
  <si>
    <t>Melissa Price</t>
  </si>
  <si>
    <t>Amy Cruz</t>
  </si>
  <si>
    <t>Tony Burke</t>
  </si>
  <si>
    <t>Carly Dixon</t>
  </si>
  <si>
    <t>Gary Murray</t>
  </si>
  <si>
    <t>Pamela Bradshaw</t>
  </si>
  <si>
    <t>Donald Mitchell</t>
  </si>
  <si>
    <t>Rebecca Hall</t>
  </si>
  <si>
    <t>James Lopez</t>
  </si>
  <si>
    <t>Carla Cole</t>
  </si>
  <si>
    <t>Christopher Powell</t>
  </si>
  <si>
    <t>Gary Wood</t>
  </si>
  <si>
    <t>Barbara Dalton</t>
  </si>
  <si>
    <t>Rachel Holloway</t>
  </si>
  <si>
    <t>Alejandra Turner</t>
  </si>
  <si>
    <t>Kelsey Shaffer</t>
  </si>
  <si>
    <t>Christina Simmons</t>
  </si>
  <si>
    <t>Kara Stewart</t>
  </si>
  <si>
    <t>Becky Sanchez</t>
  </si>
  <si>
    <t>Kenneth Fox</t>
  </si>
  <si>
    <t>Kimberly Sullivan</t>
  </si>
  <si>
    <t>Michelle Bradford</t>
  </si>
  <si>
    <t>Amy Wilson</t>
  </si>
  <si>
    <t>Nathan Mathews</t>
  </si>
  <si>
    <t>Danielle Ortega</t>
  </si>
  <si>
    <t>Tiffany Lowery</t>
  </si>
  <si>
    <t>Gregory Hines</t>
  </si>
  <si>
    <t>Rebecca Goodwin</t>
  </si>
  <si>
    <t>Amanda Douglas</t>
  </si>
  <si>
    <t>Gregory Gonzalez</t>
  </si>
  <si>
    <t>Scott Walker</t>
  </si>
  <si>
    <t>Brianna Hernandez</t>
  </si>
  <si>
    <t>Teresa Kim</t>
  </si>
  <si>
    <t>Gregory Brown</t>
  </si>
  <si>
    <t>Kimberly Miller</t>
  </si>
  <si>
    <t>Anna Jennings</t>
  </si>
  <si>
    <t>Ashley Black</t>
  </si>
  <si>
    <t>Dennis Murphy</t>
  </si>
  <si>
    <t>Wendy Parks</t>
  </si>
  <si>
    <t>Melissa Williams</t>
  </si>
  <si>
    <t>Stacy Clements</t>
  </si>
  <si>
    <t>Cynthia Dunn</t>
  </si>
  <si>
    <t>Kyle Gibbs</t>
  </si>
  <si>
    <t>Christopher Guzman</t>
  </si>
  <si>
    <t>Beth Stephens</t>
  </si>
  <si>
    <t>Scott Nguyen</t>
  </si>
  <si>
    <t>Michael Heath</t>
  </si>
  <si>
    <t>James Malone</t>
  </si>
  <si>
    <t>Rhonda Oconnor</t>
  </si>
  <si>
    <t>Christina Moore</t>
  </si>
  <si>
    <t>Joshua Martin</t>
  </si>
  <si>
    <t>Katie Mcdaniel</t>
  </si>
  <si>
    <t>Aaron Perkins</t>
  </si>
  <si>
    <t>Scott Thompson</t>
  </si>
  <si>
    <t>Erika Richards</t>
  </si>
  <si>
    <t>Jon Berry</t>
  </si>
  <si>
    <t>Heather Foster</t>
  </si>
  <si>
    <t>Connie Wheeler</t>
  </si>
  <si>
    <t>Sherri Buckley</t>
  </si>
  <si>
    <t>Jonathan Howell</t>
  </si>
  <si>
    <t>Darryl Case</t>
  </si>
  <si>
    <t>Michelle King</t>
  </si>
  <si>
    <t>Anthony Hughes</t>
  </si>
  <si>
    <t>Christine Barron</t>
  </si>
  <si>
    <t>Dr. Karen Miller DDS</t>
  </si>
  <si>
    <t>Martin Herring</t>
  </si>
  <si>
    <t>Kimberly Barnett</t>
  </si>
  <si>
    <t>William Bryan</t>
  </si>
  <si>
    <t>Abigail Warner</t>
  </si>
  <si>
    <t>Heather Stokes</t>
  </si>
  <si>
    <t>Melissa Vaughn</t>
  </si>
  <si>
    <t>Vickie Johnson</t>
  </si>
  <si>
    <t>Jocelyn Strickland</t>
  </si>
  <si>
    <t>Vincent Kemp</t>
  </si>
  <si>
    <t>Lindsay Shaw</t>
  </si>
  <si>
    <t>Julia Mcmillan</t>
  </si>
  <si>
    <t>Melvin Bowers</t>
  </si>
  <si>
    <t>Robin Diaz</t>
  </si>
  <si>
    <t>Victoria Gilbert</t>
  </si>
  <si>
    <t>April Spears</t>
  </si>
  <si>
    <t>John Marsh</t>
  </si>
  <si>
    <t>Eugene Underwood</t>
  </si>
  <si>
    <t>Benjamin Williams</t>
  </si>
  <si>
    <t>Michelle Payne</t>
  </si>
  <si>
    <t>Cassandra Bishop</t>
  </si>
  <si>
    <t>Melanie Lee</t>
  </si>
  <si>
    <t>Andrea Kennedy</t>
  </si>
  <si>
    <t>Jessica Murray</t>
  </si>
  <si>
    <t>James Harris</t>
  </si>
  <si>
    <t>William Villarreal</t>
  </si>
  <si>
    <t>Ronald Davis</t>
  </si>
  <si>
    <t>Monica Jones</t>
  </si>
  <si>
    <t>Cheryl Bailey</t>
  </si>
  <si>
    <t>Craig Parsons</t>
  </si>
  <si>
    <t>Jose Price</t>
  </si>
  <si>
    <t>Cameron Lopez</t>
  </si>
  <si>
    <t>Christopher Williams</t>
  </si>
  <si>
    <t>Daniel Green</t>
  </si>
  <si>
    <t>William Hatfield</t>
  </si>
  <si>
    <t>Dawn Bryant</t>
  </si>
  <si>
    <t>Charles Nguyen</t>
  </si>
  <si>
    <t>Joseph Rodriguez</t>
  </si>
  <si>
    <t>Douglas Foster</t>
  </si>
  <si>
    <t>Bailey Williamson</t>
  </si>
  <si>
    <t>George Singleton</t>
  </si>
  <si>
    <t>Jeffrey Johnston</t>
  </si>
  <si>
    <t>Cynthia Baker</t>
  </si>
  <si>
    <t>Andrea Lam</t>
  </si>
  <si>
    <t>Kristin Combs</t>
  </si>
  <si>
    <t>Frank Anderson</t>
  </si>
  <si>
    <t>Alex Rowe</t>
  </si>
  <si>
    <t>Derek Doyle</t>
  </si>
  <si>
    <t>Kevin Peters</t>
  </si>
  <si>
    <t>Hunter Miller</t>
  </si>
  <si>
    <t>Kathy Lawson</t>
  </si>
  <si>
    <t>Rebecca Franklin</t>
  </si>
  <si>
    <t>Daniel Love</t>
  </si>
  <si>
    <t>David Chapman</t>
  </si>
  <si>
    <t>Rachel Wells</t>
  </si>
  <si>
    <t>Timothy Fowler</t>
  </si>
  <si>
    <t>Donna Stephens</t>
  </si>
  <si>
    <t>Megan Russell</t>
  </si>
  <si>
    <t>Autumn Hill</t>
  </si>
  <si>
    <t>Courtney Wright</t>
  </si>
  <si>
    <t>Daniel Morris</t>
  </si>
  <si>
    <t>Natalie Marquez</t>
  </si>
  <si>
    <t>Jennifer Paul</t>
  </si>
  <si>
    <t>Sarah Wilson</t>
  </si>
  <si>
    <t>Courtney Foley</t>
  </si>
  <si>
    <t>Ashley Estes</t>
  </si>
  <si>
    <t>Stephanie Mercer</t>
  </si>
  <si>
    <t>William Bentley</t>
  </si>
  <si>
    <t>Jacob Mckay</t>
  </si>
  <si>
    <t>James Carey</t>
  </si>
  <si>
    <t>James Berger</t>
  </si>
  <si>
    <t>Nicholas Mcdaniel</t>
  </si>
  <si>
    <t>Daniel Smith</t>
  </si>
  <si>
    <t>Cheryl Rogers</t>
  </si>
  <si>
    <t>Victoria Hansen</t>
  </si>
  <si>
    <t>Patricia Jackson</t>
  </si>
  <si>
    <t>Erin Bates</t>
  </si>
  <si>
    <t>Chelsea Harris</t>
  </si>
  <si>
    <t>Aaron Holder</t>
  </si>
  <si>
    <t>Lauren Ayers</t>
  </si>
  <si>
    <t>Thomas Roman</t>
  </si>
  <si>
    <t>Robert Bass</t>
  </si>
  <si>
    <t>Jack Cooper</t>
  </si>
  <si>
    <t>Kimberly Johnson</t>
  </si>
  <si>
    <t>Anthony Mccoy</t>
  </si>
  <si>
    <t>Perry Crawford</t>
  </si>
  <si>
    <t>Marvin Hicks</t>
  </si>
  <si>
    <t>Row Labels</t>
  </si>
  <si>
    <t>Grand Total</t>
  </si>
  <si>
    <t>Sum of billing_amount</t>
  </si>
  <si>
    <t>Column Labels</t>
  </si>
  <si>
    <t>Count of patient_id</t>
  </si>
  <si>
    <t>Department</t>
  </si>
  <si>
    <t>Total Patients</t>
  </si>
  <si>
    <t>Follow Up</t>
  </si>
  <si>
    <t>Follow Up Rate</t>
  </si>
  <si>
    <t>days_to_appointment</t>
  </si>
  <si>
    <t>Average of days_to_appointment</t>
  </si>
  <si>
    <t>Flag</t>
  </si>
  <si>
    <t>Clinic Appointments Analysis</t>
  </si>
  <si>
    <t>Total Appointments</t>
  </si>
  <si>
    <t>Total Revenue</t>
  </si>
  <si>
    <t>Key Findings:</t>
  </si>
  <si>
    <t>* Neurology Department not only generates the highest revenue, but also has the highest average billing amount.</t>
  </si>
  <si>
    <t>* General Department has the highest follow up rates of 54%.</t>
  </si>
  <si>
    <t>* 3.2% of appointments have waiting times of 500+ Days.</t>
  </si>
  <si>
    <t>* The average waiting time across departments are 274 Days.</t>
  </si>
  <si>
    <t>Patient_Name</t>
  </si>
  <si>
    <t>Age</t>
  </si>
  <si>
    <t>Gender</t>
  </si>
  <si>
    <t>Billing_Amount</t>
  </si>
  <si>
    <t>John smith</t>
  </si>
  <si>
    <t>Avg Billing</t>
  </si>
  <si>
    <t>Billing_Grade</t>
  </si>
  <si>
    <t>Category</t>
  </si>
  <si>
    <t>Tiffany Gates MD</t>
  </si>
  <si>
    <t>Brian Osborne DVM</t>
  </si>
  <si>
    <t>Nancy Levine MD</t>
  </si>
  <si>
    <t>Samantha Bass MD</t>
  </si>
  <si>
    <t>Travis Allen MD</t>
  </si>
  <si>
    <t>Melissa Berry MD</t>
  </si>
  <si>
    <t>Victor Anderson MD</t>
  </si>
  <si>
    <t>Anne Jones DVM</t>
  </si>
  <si>
    <t>Tamara Ramirez MD</t>
  </si>
  <si>
    <t>Michael Newman MD</t>
  </si>
  <si>
    <t>Lindsey Sullivan MD</t>
  </si>
  <si>
    <t>Stephanie Kelley DVM</t>
  </si>
  <si>
    <t>Katrina Williams MD</t>
  </si>
  <si>
    <t>Jade Blanchard MD</t>
  </si>
  <si>
    <t>Stephanie Caldwell MD</t>
  </si>
  <si>
    <t>William Coleman MD</t>
  </si>
  <si>
    <t>Kevin Mendoza DVM</t>
  </si>
  <si>
    <t>Thomas Clark MD</t>
  </si>
  <si>
    <t>Brandy Estes MD</t>
  </si>
  <si>
    <t>female</t>
  </si>
  <si>
    <t>£425.8</t>
  </si>
  <si>
    <t>1</t>
  </si>
  <si>
    <t>F</t>
  </si>
  <si>
    <t>€344.26</t>
  </si>
  <si>
    <t>Y</t>
  </si>
  <si>
    <t>M</t>
  </si>
  <si>
    <t>€203.34</t>
  </si>
  <si>
    <t>Rs85.76</t>
  </si>
  <si>
    <t>$84.44</t>
  </si>
  <si>
    <t>€99.0</t>
  </si>
  <si>
    <t>Rs374.63</t>
  </si>
  <si>
    <t>$452.37</t>
  </si>
  <si>
    <t>€494.97</t>
  </si>
  <si>
    <t>male</t>
  </si>
  <si>
    <t>£91.91</t>
  </si>
  <si>
    <t>$82.88</t>
  </si>
  <si>
    <t>Rs277.14</t>
  </si>
  <si>
    <t>N</t>
  </si>
  <si>
    <t>€411.01</t>
  </si>
  <si>
    <t>£67.51</t>
  </si>
  <si>
    <t>€163.99</t>
  </si>
  <si>
    <t>£252.38</t>
  </si>
  <si>
    <t>$153.07</t>
  </si>
  <si>
    <t>Rs329.3</t>
  </si>
  <si>
    <t>€135.45</t>
  </si>
  <si>
    <t>Rs72.73</t>
  </si>
  <si>
    <t>Rs258.64</t>
  </si>
  <si>
    <t>$203.61</t>
  </si>
  <si>
    <t>Rs236.22</t>
  </si>
  <si>
    <t>Rs292.23</t>
  </si>
  <si>
    <t>0</t>
  </si>
  <si>
    <t>$51.72</t>
  </si>
  <si>
    <t>£218.84</t>
  </si>
  <si>
    <t>Rs160.38</t>
  </si>
  <si>
    <t>Rs342.38</t>
  </si>
  <si>
    <t>Rs208.91</t>
  </si>
  <si>
    <t>Rs426.86</t>
  </si>
  <si>
    <t>£215.31</t>
  </si>
  <si>
    <t>£413.53</t>
  </si>
  <si>
    <t>£396.22</t>
  </si>
  <si>
    <t>$340.25</t>
  </si>
  <si>
    <t>$481.44</t>
  </si>
  <si>
    <t>$442.77</t>
  </si>
  <si>
    <t>Rs175.63</t>
  </si>
  <si>
    <t>€320.66</t>
  </si>
  <si>
    <t>$268.14</t>
  </si>
  <si>
    <t>€499.75</t>
  </si>
  <si>
    <t>Rs452.11</t>
  </si>
  <si>
    <t>Rs479.77</t>
  </si>
  <si>
    <t>£213.35</t>
  </si>
  <si>
    <t>Rs120.34</t>
  </si>
  <si>
    <t>Rs135.43</t>
  </si>
  <si>
    <t>€214.44</t>
  </si>
  <si>
    <t>Rs376.08</t>
  </si>
  <si>
    <t>€343.51</t>
  </si>
  <si>
    <t>Rs185.66</t>
  </si>
  <si>
    <t>€200.01</t>
  </si>
  <si>
    <t>$367.06</t>
  </si>
  <si>
    <t>Rs393.4</t>
  </si>
  <si>
    <t>£387.4</t>
  </si>
  <si>
    <t>$169.25</t>
  </si>
  <si>
    <t>$274.81</t>
  </si>
  <si>
    <t>Rs68.81</t>
  </si>
  <si>
    <t>Rs365.13</t>
  </si>
  <si>
    <t>$466.97</t>
  </si>
  <si>
    <t>Rs484.52</t>
  </si>
  <si>
    <t>€114.45</t>
  </si>
  <si>
    <t>€195.21</t>
  </si>
  <si>
    <t>$149.8</t>
  </si>
  <si>
    <t>Rs270.33</t>
  </si>
  <si>
    <t>$186.24</t>
  </si>
  <si>
    <t>Rs425.63</t>
  </si>
  <si>
    <t>£91.77</t>
  </si>
  <si>
    <t>€91.27</t>
  </si>
  <si>
    <t>£453.06</t>
  </si>
  <si>
    <t>€61.37</t>
  </si>
  <si>
    <t>$185.52</t>
  </si>
  <si>
    <t>£112.48</t>
  </si>
  <si>
    <t>$382.34</t>
  </si>
  <si>
    <t>Rs168.18</t>
  </si>
  <si>
    <t>$206.53</t>
  </si>
  <si>
    <t>$258.21</t>
  </si>
  <si>
    <t>€253.4</t>
  </si>
  <si>
    <t>Rs83.09</t>
  </si>
  <si>
    <t>$80.38</t>
  </si>
  <si>
    <t>Rs260.4</t>
  </si>
  <si>
    <t>$294.58</t>
  </si>
  <si>
    <t>$247.13</t>
  </si>
  <si>
    <t>£341.19</t>
  </si>
  <si>
    <t>Rs383.69</t>
  </si>
  <si>
    <t>€243.78</t>
  </si>
  <si>
    <t>Rs329.25</t>
  </si>
  <si>
    <t>€389.37</t>
  </si>
  <si>
    <t>£344.56</t>
  </si>
  <si>
    <t>Rs289.07</t>
  </si>
  <si>
    <t>Rs193.6</t>
  </si>
  <si>
    <t>Rs259.72</t>
  </si>
  <si>
    <t>€235.69</t>
  </si>
  <si>
    <t>€428.75</t>
  </si>
  <si>
    <t>$142.32</t>
  </si>
  <si>
    <t>£109.31</t>
  </si>
  <si>
    <t>$325.25</t>
  </si>
  <si>
    <t>£111.92</t>
  </si>
  <si>
    <t>$347.68</t>
  </si>
  <si>
    <t>£59.67</t>
  </si>
  <si>
    <t>Rs123.03</t>
  </si>
  <si>
    <t>Rs420.58</t>
  </si>
  <si>
    <t>€351.17</t>
  </si>
  <si>
    <t>£125.31</t>
  </si>
  <si>
    <t>€253.42</t>
  </si>
  <si>
    <t>€359.78</t>
  </si>
  <si>
    <t>$277.21</t>
  </si>
  <si>
    <t>£84.69</t>
  </si>
  <si>
    <t>€96.94</t>
  </si>
  <si>
    <t>Rs205.35</t>
  </si>
  <si>
    <t>Rs155.42</t>
  </si>
  <si>
    <t>$493.0</t>
  </si>
  <si>
    <t>$243.15</t>
  </si>
  <si>
    <t>€122.6</t>
  </si>
  <si>
    <t>£100.34</t>
  </si>
  <si>
    <t>Rs335.07</t>
  </si>
  <si>
    <t>£154.29</t>
  </si>
  <si>
    <t>$412.07</t>
  </si>
  <si>
    <t>Rs401.33</t>
  </si>
  <si>
    <t>$486.57</t>
  </si>
  <si>
    <t>£482.25</t>
  </si>
  <si>
    <t>€255.82</t>
  </si>
  <si>
    <t>€258.12</t>
  </si>
  <si>
    <t>$162.94</t>
  </si>
  <si>
    <t>£153.05</t>
  </si>
  <si>
    <t>£114.64</t>
  </si>
  <si>
    <t>£381.62</t>
  </si>
  <si>
    <t>£215.46</t>
  </si>
  <si>
    <t>$455.75</t>
  </si>
  <si>
    <t>£325.97</t>
  </si>
  <si>
    <t>$468.06</t>
  </si>
  <si>
    <t>£377.14</t>
  </si>
  <si>
    <t>$87.2</t>
  </si>
  <si>
    <t>$226.97</t>
  </si>
  <si>
    <t>Rs139.81</t>
  </si>
  <si>
    <t>$466.08</t>
  </si>
  <si>
    <t>Rs352.03</t>
  </si>
  <si>
    <t>$461.19</t>
  </si>
  <si>
    <t>£252.22</t>
  </si>
  <si>
    <t>£206.74</t>
  </si>
  <si>
    <t>$130.7</t>
  </si>
  <si>
    <t>£106.33</t>
  </si>
  <si>
    <t>$122.56</t>
  </si>
  <si>
    <t>£238.81</t>
  </si>
  <si>
    <t>Rs413.21</t>
  </si>
  <si>
    <t>€91.87</t>
  </si>
  <si>
    <t>€485.5</t>
  </si>
  <si>
    <t>£209.81</t>
  </si>
  <si>
    <t>$401.55</t>
  </si>
  <si>
    <t>Rs283.3</t>
  </si>
  <si>
    <t>£146.2</t>
  </si>
  <si>
    <t>€211.18</t>
  </si>
  <si>
    <t>£476.99</t>
  </si>
  <si>
    <t>$248.33</t>
  </si>
  <si>
    <t>£192.67</t>
  </si>
  <si>
    <t>$65.06</t>
  </si>
  <si>
    <t>£117.14</t>
  </si>
  <si>
    <t>Rs433.77</t>
  </si>
  <si>
    <t>$82.84</t>
  </si>
  <si>
    <t>Rs216.23</t>
  </si>
  <si>
    <t>€492.98</t>
  </si>
  <si>
    <t>Rs280.77</t>
  </si>
  <si>
    <t>$99.19</t>
  </si>
  <si>
    <t>$225.83</t>
  </si>
  <si>
    <t>$458.12</t>
  </si>
  <si>
    <t>€244.78</t>
  </si>
  <si>
    <t>€330.37</t>
  </si>
  <si>
    <t>£98.14</t>
  </si>
  <si>
    <t>£464.69</t>
  </si>
  <si>
    <t>£91.65</t>
  </si>
  <si>
    <t>Rs425.67</t>
  </si>
  <si>
    <t>€140.86</t>
  </si>
  <si>
    <t>$446.06</t>
  </si>
  <si>
    <t>£138.59</t>
  </si>
  <si>
    <t>£448.6</t>
  </si>
  <si>
    <t>€150.94</t>
  </si>
  <si>
    <t>€339.19</t>
  </si>
  <si>
    <t>€187.28</t>
  </si>
  <si>
    <t>€157.66</t>
  </si>
  <si>
    <t>Rs69.97</t>
  </si>
  <si>
    <t>£490.55</t>
  </si>
  <si>
    <t>€315.64</t>
  </si>
  <si>
    <t>£231.08</t>
  </si>
  <si>
    <t>$429.14</t>
  </si>
  <si>
    <t>Rs93.12</t>
  </si>
  <si>
    <t>£461.81</t>
  </si>
  <si>
    <t>€130.72</t>
  </si>
  <si>
    <t>Rs85.63</t>
  </si>
  <si>
    <t>€394.9</t>
  </si>
  <si>
    <t>£499.67</t>
  </si>
  <si>
    <t>€66.64</t>
  </si>
  <si>
    <t>Rs361.31</t>
  </si>
  <si>
    <t>£205.31</t>
  </si>
  <si>
    <t>Rs193.18</t>
  </si>
  <si>
    <t>£321.34</t>
  </si>
  <si>
    <t>$446.44</t>
  </si>
  <si>
    <t>$165.8</t>
  </si>
  <si>
    <t>Rs493.59</t>
  </si>
  <si>
    <t>€489.64</t>
  </si>
  <si>
    <t>$96.48</t>
  </si>
  <si>
    <t>€422.79</t>
  </si>
  <si>
    <t>Rs330.43</t>
  </si>
  <si>
    <t>£440.72</t>
  </si>
  <si>
    <t>€287.03</t>
  </si>
  <si>
    <t>€489.0</t>
  </si>
  <si>
    <t>£201.19</t>
  </si>
  <si>
    <t>€155.45</t>
  </si>
  <si>
    <t>£236.44</t>
  </si>
  <si>
    <t>$96.21</t>
  </si>
  <si>
    <t>€270.47</t>
  </si>
  <si>
    <t>Rs284.29</t>
  </si>
  <si>
    <t>€354.36</t>
  </si>
  <si>
    <t>£452.69</t>
  </si>
  <si>
    <t>£329.83</t>
  </si>
  <si>
    <t>€450.86</t>
  </si>
  <si>
    <t>Rs132.38</t>
  </si>
  <si>
    <t>€199.55</t>
  </si>
  <si>
    <t>€296.7</t>
  </si>
  <si>
    <t>$409.96</t>
  </si>
  <si>
    <t>£386.53</t>
  </si>
  <si>
    <t>Rs243.94</t>
  </si>
  <si>
    <t>$364.83</t>
  </si>
  <si>
    <t>$335.95</t>
  </si>
  <si>
    <t>€387.58</t>
  </si>
  <si>
    <t>Rs360.39</t>
  </si>
  <si>
    <t>£288.24</t>
  </si>
  <si>
    <t>€286.43</t>
  </si>
  <si>
    <t>€476.26</t>
  </si>
  <si>
    <t>£480.75</t>
  </si>
  <si>
    <t>Rs277.6</t>
  </si>
  <si>
    <t>Rs301.11</t>
  </si>
  <si>
    <t>£304.51</t>
  </si>
  <si>
    <t>£266.53</t>
  </si>
  <si>
    <t>Rs433.55</t>
  </si>
  <si>
    <t>£70.47</t>
  </si>
  <si>
    <t>$425.91</t>
  </si>
  <si>
    <t>€111.71</t>
  </si>
  <si>
    <t>£365.37</t>
  </si>
  <si>
    <t>€475.27</t>
  </si>
  <si>
    <t>$108.6</t>
  </si>
  <si>
    <t>£455.05</t>
  </si>
  <si>
    <t>£264.45</t>
  </si>
  <si>
    <t>Rs132.57</t>
  </si>
  <si>
    <t>Rs359.5</t>
  </si>
  <si>
    <t>Rs464.57</t>
  </si>
  <si>
    <t>$186.61</t>
  </si>
  <si>
    <t>$116.69</t>
  </si>
  <si>
    <t>€218.44</t>
  </si>
  <si>
    <t>€255.67</t>
  </si>
  <si>
    <t>$129.48</t>
  </si>
  <si>
    <t>Rs299.03</t>
  </si>
  <si>
    <t>Rs459.66</t>
  </si>
  <si>
    <t>£403.61</t>
  </si>
  <si>
    <t>£241.48</t>
  </si>
  <si>
    <t>$417.38</t>
  </si>
  <si>
    <t>Rs390.97</t>
  </si>
  <si>
    <t>Rs100.2</t>
  </si>
  <si>
    <t>£462.97</t>
  </si>
  <si>
    <t>$481.92</t>
  </si>
  <si>
    <t>£350.41</t>
  </si>
  <si>
    <t>Rs392.87</t>
  </si>
  <si>
    <t>$202.41</t>
  </si>
  <si>
    <t>$225.1</t>
  </si>
  <si>
    <t>€400.01</t>
  </si>
  <si>
    <t>$400.52</t>
  </si>
  <si>
    <t>£152.7</t>
  </si>
  <si>
    <t>€154.68</t>
  </si>
  <si>
    <t>$300.71</t>
  </si>
  <si>
    <t>£166.59</t>
  </si>
  <si>
    <t>£357.83</t>
  </si>
  <si>
    <t>Rs458.11</t>
  </si>
  <si>
    <t>€85.07</t>
  </si>
  <si>
    <t>£209.67</t>
  </si>
  <si>
    <t>£239.39</t>
  </si>
  <si>
    <t>Rs398.73</t>
  </si>
  <si>
    <t>€325.86</t>
  </si>
  <si>
    <t>$451.11</t>
  </si>
  <si>
    <t>£416.39</t>
  </si>
  <si>
    <t>€303.42</t>
  </si>
  <si>
    <t>$124.85</t>
  </si>
  <si>
    <t>$370.37</t>
  </si>
  <si>
    <t>Rs416.85</t>
  </si>
  <si>
    <t>£231.18</t>
  </si>
  <si>
    <t>Rs119.4</t>
  </si>
  <si>
    <t>$63.38</t>
  </si>
  <si>
    <t>Rs341.27</t>
  </si>
  <si>
    <t>$483.19</t>
  </si>
  <si>
    <t>€371.49</t>
  </si>
  <si>
    <t>€406.43</t>
  </si>
  <si>
    <t>€334.38</t>
  </si>
  <si>
    <t>Rs125.6</t>
  </si>
  <si>
    <t>£377.85</t>
  </si>
  <si>
    <t>£450.24</t>
  </si>
  <si>
    <t>€382.81</t>
  </si>
  <si>
    <t>$424.21</t>
  </si>
  <si>
    <t>€258.38</t>
  </si>
  <si>
    <t>Rs366.15</t>
  </si>
  <si>
    <t>Rs466.92</t>
  </si>
  <si>
    <t>£114.67</t>
  </si>
  <si>
    <t>Rs71.67</t>
  </si>
  <si>
    <t>Rs264.27</t>
  </si>
  <si>
    <t>Rs92.45</t>
  </si>
  <si>
    <t>Rs441.33</t>
  </si>
  <si>
    <t>Rs258.78</t>
  </si>
  <si>
    <t>Rs156.71</t>
  </si>
  <si>
    <t>Rs110.47</t>
  </si>
  <si>
    <t>€361.32</t>
  </si>
  <si>
    <t>€405.85</t>
  </si>
  <si>
    <t>Rs496.78</t>
  </si>
  <si>
    <t>$364.33</t>
  </si>
  <si>
    <t>Rs119.63</t>
  </si>
  <si>
    <t>£399.55</t>
  </si>
  <si>
    <t>Rs186.4</t>
  </si>
  <si>
    <t>Rs234.99</t>
  </si>
  <si>
    <t>Rs316.26</t>
  </si>
  <si>
    <t>Rs129.91</t>
  </si>
  <si>
    <t>€468.01</t>
  </si>
  <si>
    <t>Rs459.41</t>
  </si>
  <si>
    <t>€370.25</t>
  </si>
  <si>
    <t>Rs145.83</t>
  </si>
  <si>
    <t>$184.28</t>
  </si>
  <si>
    <t>£109.61</t>
  </si>
  <si>
    <t>$135.41</t>
  </si>
  <si>
    <t>£109.02</t>
  </si>
  <si>
    <t>$205.16</t>
  </si>
  <si>
    <t>$296.43</t>
  </si>
  <si>
    <t>$233.98</t>
  </si>
  <si>
    <t>€474.34</t>
  </si>
  <si>
    <t>£317.84</t>
  </si>
  <si>
    <t>Rs435.55</t>
  </si>
  <si>
    <t>Rs88.58</t>
  </si>
  <si>
    <t>€252.38</t>
  </si>
  <si>
    <t>$366.49</t>
  </si>
  <si>
    <t>Rs239.5</t>
  </si>
  <si>
    <t>Rs55.55</t>
  </si>
  <si>
    <t>£112.28</t>
  </si>
  <si>
    <t>Rs386.16</t>
  </si>
  <si>
    <t>€230.73</t>
  </si>
  <si>
    <t>€296.85</t>
  </si>
  <si>
    <t>£64.79</t>
  </si>
  <si>
    <t>€101.1</t>
  </si>
  <si>
    <t>Rs204.86</t>
  </si>
  <si>
    <t>$369.12</t>
  </si>
  <si>
    <t>Rs474.33</t>
  </si>
  <si>
    <t>€285.97</t>
  </si>
  <si>
    <t>€209.27</t>
  </si>
  <si>
    <t>Rs347.87</t>
  </si>
  <si>
    <t>€98.07</t>
  </si>
  <si>
    <t>Rs154.03</t>
  </si>
  <si>
    <t>£126.87</t>
  </si>
  <si>
    <t>£194.82</t>
  </si>
  <si>
    <t>€145.75</t>
  </si>
  <si>
    <t>€58.55</t>
  </si>
  <si>
    <t>$481.22</t>
  </si>
  <si>
    <t>€56.37</t>
  </si>
  <si>
    <t>£456.26</t>
  </si>
  <si>
    <t>$157.36</t>
  </si>
  <si>
    <t>$69.13</t>
  </si>
  <si>
    <t>€56.63</t>
  </si>
  <si>
    <t>$432.84</t>
  </si>
  <si>
    <t>£208.8</t>
  </si>
  <si>
    <t>$413.25</t>
  </si>
  <si>
    <t>$73.59</t>
  </si>
  <si>
    <t>Rs466.72</t>
  </si>
  <si>
    <t>€213.67</t>
  </si>
  <si>
    <t>$156.9</t>
  </si>
  <si>
    <t>£323.18</t>
  </si>
  <si>
    <t>$188.72</t>
  </si>
  <si>
    <t>£411.32</t>
  </si>
  <si>
    <t>€388.8</t>
  </si>
  <si>
    <t>$296.8</t>
  </si>
  <si>
    <t>€439.46</t>
  </si>
  <si>
    <t>$320.72</t>
  </si>
  <si>
    <t>$262.84</t>
  </si>
  <si>
    <t>Rs274.94</t>
  </si>
  <si>
    <t>£182.77</t>
  </si>
  <si>
    <t>€312.88</t>
  </si>
  <si>
    <t>£163.58</t>
  </si>
  <si>
    <t>Rs135.85</t>
  </si>
  <si>
    <t>£242.2</t>
  </si>
  <si>
    <t>$374.72</t>
  </si>
  <si>
    <t>€326.58</t>
  </si>
  <si>
    <t>$379.39</t>
  </si>
  <si>
    <t>Rs442.41</t>
  </si>
  <si>
    <t>€358.98</t>
  </si>
  <si>
    <t>£235.74</t>
  </si>
  <si>
    <t>$400.6</t>
  </si>
  <si>
    <t>€305.19</t>
  </si>
  <si>
    <t>£357.15</t>
  </si>
  <si>
    <t>$245.21</t>
  </si>
  <si>
    <t>Rs498.26</t>
  </si>
  <si>
    <t>Rs499.72</t>
  </si>
  <si>
    <t>€315.71</t>
  </si>
  <si>
    <t>$149.33</t>
  </si>
  <si>
    <t>$412.82</t>
  </si>
  <si>
    <t>£372.5</t>
  </si>
  <si>
    <t>£60.76</t>
  </si>
  <si>
    <t>€290.52</t>
  </si>
  <si>
    <t>Rs451.66</t>
  </si>
  <si>
    <t>£260.91</t>
  </si>
  <si>
    <t>$117.12</t>
  </si>
  <si>
    <t>Rs460.11</t>
  </si>
  <si>
    <t>€91.94</t>
  </si>
  <si>
    <t>£347.38</t>
  </si>
  <si>
    <t>Rs288.43</t>
  </si>
  <si>
    <t>€222.2</t>
  </si>
  <si>
    <t>Rs180.6</t>
  </si>
  <si>
    <t>€485.31</t>
  </si>
  <si>
    <t>£255.9</t>
  </si>
  <si>
    <t>€443.13</t>
  </si>
  <si>
    <t>Rs318.88</t>
  </si>
  <si>
    <t>$108.91</t>
  </si>
  <si>
    <t>£167.18</t>
  </si>
  <si>
    <t>£444.67</t>
  </si>
  <si>
    <t>$396.57</t>
  </si>
  <si>
    <t>Rs185.29</t>
  </si>
  <si>
    <t>$215.89</t>
  </si>
  <si>
    <t>£438.81</t>
  </si>
  <si>
    <t>€231.7</t>
  </si>
  <si>
    <t>£173.85</t>
  </si>
  <si>
    <t>$285.44</t>
  </si>
  <si>
    <t>Rs202.92</t>
  </si>
  <si>
    <t>€383.47</t>
  </si>
  <si>
    <t>£302.66</t>
  </si>
  <si>
    <t>£472.57</t>
  </si>
  <si>
    <t>€417.21</t>
  </si>
  <si>
    <t>$244.68</t>
  </si>
  <si>
    <t>$70.7</t>
  </si>
  <si>
    <t>€386.37</t>
  </si>
  <si>
    <t>$387.75</t>
  </si>
  <si>
    <t>Rs176.68</t>
  </si>
  <si>
    <t>Rs491.64</t>
  </si>
  <si>
    <t>$325.91</t>
  </si>
  <si>
    <t>$280.21</t>
  </si>
  <si>
    <t>Rs88.29</t>
  </si>
  <si>
    <t>$443.75</t>
  </si>
  <si>
    <t>$385.61</t>
  </si>
  <si>
    <t>Rs350.5</t>
  </si>
  <si>
    <t>$255.56</t>
  </si>
  <si>
    <t>£458.83</t>
  </si>
  <si>
    <t>€138.29</t>
  </si>
  <si>
    <t>Rs189.02</t>
  </si>
  <si>
    <t>€272.47</t>
  </si>
  <si>
    <t>€450.37</t>
  </si>
  <si>
    <t>$490.67</t>
  </si>
  <si>
    <t>£99.17</t>
  </si>
  <si>
    <t>$105.64</t>
  </si>
  <si>
    <t>€437.18</t>
  </si>
  <si>
    <t>Rs77.2</t>
  </si>
  <si>
    <t>€118.72</t>
  </si>
  <si>
    <t>€155.69</t>
  </si>
  <si>
    <t>$487.57</t>
  </si>
  <si>
    <t>Rs412.44</t>
  </si>
  <si>
    <t>£297.5</t>
  </si>
  <si>
    <t>€481.4</t>
  </si>
  <si>
    <t>$252.53</t>
  </si>
  <si>
    <t>€167.8</t>
  </si>
  <si>
    <t>Rs347.94</t>
  </si>
  <si>
    <t>£305.02</t>
  </si>
  <si>
    <t>€83.61</t>
  </si>
  <si>
    <t>£360.39</t>
  </si>
  <si>
    <t>€402.4</t>
  </si>
  <si>
    <t>£234.26</t>
  </si>
  <si>
    <t>Rs219.5</t>
  </si>
  <si>
    <t>€191.19</t>
  </si>
  <si>
    <t>Rs318.15</t>
  </si>
  <si>
    <t>$350.0</t>
  </si>
  <si>
    <t>Rs178.28</t>
  </si>
  <si>
    <t>$248.31</t>
  </si>
  <si>
    <t>Rs352.72</t>
  </si>
  <si>
    <t>€208.03</t>
  </si>
  <si>
    <t>£116.75</t>
  </si>
  <si>
    <t>€91.29</t>
  </si>
  <si>
    <t>€198.61</t>
  </si>
  <si>
    <t>€257.17</t>
  </si>
  <si>
    <t>$343.79</t>
  </si>
  <si>
    <t>$431.21</t>
  </si>
  <si>
    <t>£241.91</t>
  </si>
  <si>
    <t>€95.25</t>
  </si>
  <si>
    <t>£167.07</t>
  </si>
  <si>
    <t>€426.64</t>
  </si>
  <si>
    <t>€106.8</t>
  </si>
  <si>
    <t>$478.18</t>
  </si>
  <si>
    <t>Rs435.1</t>
  </si>
  <si>
    <t>€403.22</t>
  </si>
  <si>
    <t>€390.81</t>
  </si>
  <si>
    <t>£310.42</t>
  </si>
  <si>
    <t>$469.3</t>
  </si>
  <si>
    <t>€495.94</t>
  </si>
  <si>
    <t>€403.87</t>
  </si>
  <si>
    <t>Rs466.56</t>
  </si>
  <si>
    <t>$163.52</t>
  </si>
  <si>
    <t>Rs356.13</t>
  </si>
  <si>
    <t>$400.62</t>
  </si>
  <si>
    <t>$177.93</t>
  </si>
  <si>
    <t>£313.04</t>
  </si>
  <si>
    <t>£424.5</t>
  </si>
  <si>
    <t>Rs222.37</t>
  </si>
  <si>
    <t>€349.49</t>
  </si>
  <si>
    <t>$482.2</t>
  </si>
  <si>
    <t>Rs92.08</t>
  </si>
  <si>
    <t>€439.56</t>
  </si>
  <si>
    <t>Rs473.48</t>
  </si>
  <si>
    <t>€151.02</t>
  </si>
  <si>
    <t>Rs79.59</t>
  </si>
  <si>
    <t>£167.31</t>
  </si>
  <si>
    <t>Rs194.81</t>
  </si>
  <si>
    <t>$97.67</t>
  </si>
  <si>
    <t>£254.91</t>
  </si>
  <si>
    <t>$169.09</t>
  </si>
  <si>
    <t>Rs94.19</t>
  </si>
  <si>
    <t>£84.87</t>
  </si>
  <si>
    <t>$338.43</t>
  </si>
  <si>
    <t>$453.66</t>
  </si>
  <si>
    <t>£328.88</t>
  </si>
  <si>
    <t>£51.93</t>
  </si>
  <si>
    <t>Rs201.8</t>
  </si>
  <si>
    <t>$129.1</t>
  </si>
  <si>
    <t>$153.53</t>
  </si>
  <si>
    <t>Rs222.33</t>
  </si>
  <si>
    <t>Rs403.78</t>
  </si>
  <si>
    <t>$343.21</t>
  </si>
  <si>
    <t>£67.97</t>
  </si>
  <si>
    <t>Rs365.21</t>
  </si>
  <si>
    <t>£269.53</t>
  </si>
  <si>
    <t>$163.58</t>
  </si>
  <si>
    <t>Rs499.36</t>
  </si>
  <si>
    <t>Rs101.37</t>
  </si>
  <si>
    <t>£442.72</t>
  </si>
  <si>
    <t>£224.89</t>
  </si>
  <si>
    <t>Rs163.4</t>
  </si>
  <si>
    <t>€202.98</t>
  </si>
  <si>
    <t>Rs257.1</t>
  </si>
  <si>
    <t>€466.87</t>
  </si>
  <si>
    <t>€490.78</t>
  </si>
  <si>
    <t>Rs217.86</t>
  </si>
  <si>
    <t>$174.04</t>
  </si>
  <si>
    <t>€196.21</t>
  </si>
  <si>
    <t>Rs490.08</t>
  </si>
  <si>
    <t>$91.94</t>
  </si>
  <si>
    <t>€484.82</t>
  </si>
  <si>
    <t>$175.26</t>
  </si>
  <si>
    <t>Rs484.93</t>
  </si>
  <si>
    <t>$381.93</t>
  </si>
  <si>
    <t>Rs402.6</t>
  </si>
  <si>
    <t>Rs241.81</t>
  </si>
  <si>
    <t>Rs467.2</t>
  </si>
  <si>
    <t>£148.74</t>
  </si>
  <si>
    <t>£109.72</t>
  </si>
  <si>
    <t>£477.53</t>
  </si>
  <si>
    <t>€286.71</t>
  </si>
  <si>
    <t>£316.89</t>
  </si>
  <si>
    <t>€266.74</t>
  </si>
  <si>
    <t>£175.09</t>
  </si>
  <si>
    <t>Rs96.2</t>
  </si>
  <si>
    <t>Rs443.12</t>
  </si>
  <si>
    <t>$351.94</t>
  </si>
  <si>
    <t>$59.55</t>
  </si>
  <si>
    <t>£339.57</t>
  </si>
  <si>
    <t>Rs344.57</t>
  </si>
  <si>
    <t>$197.72</t>
  </si>
  <si>
    <t>£202.68</t>
  </si>
  <si>
    <t>$95.4</t>
  </si>
  <si>
    <t>€245.84</t>
  </si>
  <si>
    <t>€284.66</t>
  </si>
  <si>
    <t>Rs389.49</t>
  </si>
  <si>
    <t>$161.5</t>
  </si>
  <si>
    <t>£68.36</t>
  </si>
  <si>
    <t>£332.15</t>
  </si>
  <si>
    <t>£294.14</t>
  </si>
  <si>
    <t>€202.54</t>
  </si>
  <si>
    <t>Rs455.57</t>
  </si>
  <si>
    <t>£378.58</t>
  </si>
  <si>
    <t>£110.44</t>
  </si>
  <si>
    <t>£274.12</t>
  </si>
  <si>
    <t>Rs224.83</t>
  </si>
  <si>
    <t>$194.55</t>
  </si>
  <si>
    <t>€207.23</t>
  </si>
  <si>
    <t>€464.96</t>
  </si>
  <si>
    <t>£316.64</t>
  </si>
  <si>
    <t>Rs139.49</t>
  </si>
  <si>
    <t>€447.23</t>
  </si>
  <si>
    <t>€320.38</t>
  </si>
  <si>
    <t>$212.66</t>
  </si>
  <si>
    <t>Rs390.86</t>
  </si>
  <si>
    <t>$136.23</t>
  </si>
  <si>
    <t>Rs68.8</t>
  </si>
  <si>
    <t>€79.41</t>
  </si>
  <si>
    <t>Rs224.61</t>
  </si>
  <si>
    <t>$190.44</t>
  </si>
  <si>
    <t>$316.64</t>
  </si>
  <si>
    <t>Rs308.59</t>
  </si>
  <si>
    <t>$414.58</t>
  </si>
  <si>
    <t>€338.24</t>
  </si>
  <si>
    <t>€53.35</t>
  </si>
  <si>
    <t>$186.43</t>
  </si>
  <si>
    <t>Rs268.93</t>
  </si>
  <si>
    <t>€322.0</t>
  </si>
  <si>
    <t>$498.84</t>
  </si>
  <si>
    <t>Rs415.78</t>
  </si>
  <si>
    <t>Rs274.5</t>
  </si>
  <si>
    <t>£368.24</t>
  </si>
  <si>
    <t>Rs353.07</t>
  </si>
  <si>
    <t>£358.68</t>
  </si>
  <si>
    <t>$427.54</t>
  </si>
  <si>
    <t>Rs433.05</t>
  </si>
  <si>
    <t>€436.91</t>
  </si>
  <si>
    <t>€252.53</t>
  </si>
  <si>
    <t>$421.74</t>
  </si>
  <si>
    <t>£175.6</t>
  </si>
  <si>
    <t>Rs203.05</t>
  </si>
  <si>
    <t>£123.13</t>
  </si>
  <si>
    <t>$337.15</t>
  </si>
  <si>
    <t>€180.76</t>
  </si>
  <si>
    <t>$445.97</t>
  </si>
  <si>
    <t>£236.58</t>
  </si>
  <si>
    <t>$125.33</t>
  </si>
  <si>
    <t>€394.58</t>
  </si>
  <si>
    <t>€96.12</t>
  </si>
  <si>
    <t>Rs305.01</t>
  </si>
  <si>
    <t>$169.01</t>
  </si>
  <si>
    <t>€304.86</t>
  </si>
  <si>
    <t>Rs426.51</t>
  </si>
  <si>
    <t>$215.76</t>
  </si>
  <si>
    <t>$184.11</t>
  </si>
  <si>
    <t>Rs226.12</t>
  </si>
  <si>
    <t>Rs277.5</t>
  </si>
  <si>
    <t>Rs63.99</t>
  </si>
  <si>
    <t>Rs85.56</t>
  </si>
  <si>
    <t>€237.1</t>
  </si>
  <si>
    <t>€250.69</t>
  </si>
  <si>
    <t>$421.57</t>
  </si>
  <si>
    <t>€77.79</t>
  </si>
  <si>
    <t>€156.32</t>
  </si>
  <si>
    <t>$249.74</t>
  </si>
  <si>
    <t>$126.56</t>
  </si>
  <si>
    <t>$143.32</t>
  </si>
  <si>
    <t>£353.8</t>
  </si>
  <si>
    <t>£174.54</t>
  </si>
  <si>
    <t>£217.77</t>
  </si>
  <si>
    <t>Rs277.51</t>
  </si>
  <si>
    <t>£259.19</t>
  </si>
  <si>
    <t>Rs492.92</t>
  </si>
  <si>
    <t>€51.38</t>
  </si>
  <si>
    <t>Rs374.03</t>
  </si>
  <si>
    <t>£175.33</t>
  </si>
  <si>
    <t>£129.25</t>
  </si>
  <si>
    <t>Rs257.41</t>
  </si>
  <si>
    <t>€337.48</t>
  </si>
  <si>
    <t>€310.15</t>
  </si>
  <si>
    <t>€63.14</t>
  </si>
  <si>
    <t>$265.67</t>
  </si>
  <si>
    <t>$382.64</t>
  </si>
  <si>
    <t>Rs125.35</t>
  </si>
  <si>
    <t>£206.69</t>
  </si>
  <si>
    <t>£358.45</t>
  </si>
  <si>
    <t>€496.62</t>
  </si>
  <si>
    <t>Rs290.47</t>
  </si>
  <si>
    <t>€346.4</t>
  </si>
  <si>
    <t>$123.28</t>
  </si>
  <si>
    <t>$353.09</t>
  </si>
  <si>
    <t>Rs299.12</t>
  </si>
  <si>
    <t>€286.79</t>
  </si>
  <si>
    <t>€330.76</t>
  </si>
  <si>
    <t>€69.76</t>
  </si>
  <si>
    <t>$341.11</t>
  </si>
  <si>
    <t>$147.08</t>
  </si>
  <si>
    <t>$462.6</t>
  </si>
  <si>
    <t>€357.53</t>
  </si>
  <si>
    <t>Rs353.35</t>
  </si>
  <si>
    <t>£174.42</t>
  </si>
  <si>
    <t>Rs449.41</t>
  </si>
  <si>
    <t>$179.07</t>
  </si>
  <si>
    <t>Rs344.67</t>
  </si>
  <si>
    <t>$84.72</t>
  </si>
  <si>
    <t>£479.79</t>
  </si>
  <si>
    <t>€77.99</t>
  </si>
  <si>
    <t>Rs113.2</t>
  </si>
  <si>
    <t>£363.04</t>
  </si>
  <si>
    <t>$477.72</t>
  </si>
  <si>
    <t>Rs289.74</t>
  </si>
  <si>
    <t>$270.15</t>
  </si>
  <si>
    <t>£155.98</t>
  </si>
  <si>
    <t>Rs335.27</t>
  </si>
  <si>
    <t>Rs285.22</t>
  </si>
  <si>
    <t>Rs91.36</t>
  </si>
  <si>
    <t>Rs498.58</t>
  </si>
  <si>
    <t>€453.73</t>
  </si>
  <si>
    <t>£218.54</t>
  </si>
  <si>
    <t>Rs312.26</t>
  </si>
  <si>
    <t>€159.21</t>
  </si>
  <si>
    <t>€484.79</t>
  </si>
  <si>
    <t>Rs475.35</t>
  </si>
  <si>
    <t>$156.1</t>
  </si>
  <si>
    <t>$246.13</t>
  </si>
  <si>
    <t>Rs340.54</t>
  </si>
  <si>
    <t>$235.81</t>
  </si>
  <si>
    <t>£166.21</t>
  </si>
  <si>
    <t>€418.29</t>
  </si>
  <si>
    <t>£415.35</t>
  </si>
  <si>
    <t>$307.29</t>
  </si>
  <si>
    <t>Rs268.75</t>
  </si>
  <si>
    <t>€248.97</t>
  </si>
  <si>
    <t>$270.71</t>
  </si>
  <si>
    <t>$253.36</t>
  </si>
  <si>
    <t>$192.87</t>
  </si>
  <si>
    <t>Rs362.08</t>
  </si>
  <si>
    <t>£306.62</t>
  </si>
  <si>
    <t>$348.18</t>
  </si>
  <si>
    <t>£298.42</t>
  </si>
  <si>
    <t>$473.2</t>
  </si>
  <si>
    <t>$124.09</t>
  </si>
  <si>
    <t>€52.32</t>
  </si>
  <si>
    <t>$151.03</t>
  </si>
  <si>
    <t>Rs417.42</t>
  </si>
  <si>
    <t>$112.9</t>
  </si>
  <si>
    <t>Rs126.44</t>
  </si>
  <si>
    <t>€185.15</t>
  </si>
  <si>
    <t>€258.9</t>
  </si>
  <si>
    <t>€477.08</t>
  </si>
  <si>
    <t>€306.8</t>
  </si>
  <si>
    <t>Rs190.01</t>
  </si>
  <si>
    <t>Rs281.44</t>
  </si>
  <si>
    <t>Rs252.73</t>
  </si>
  <si>
    <t>£397.0</t>
  </si>
  <si>
    <t>Rs392.0</t>
  </si>
  <si>
    <t>€156.61</t>
  </si>
  <si>
    <t>Rs81.87</t>
  </si>
  <si>
    <t>£438.16</t>
  </si>
  <si>
    <t>£447.77</t>
  </si>
  <si>
    <t>$139.99</t>
  </si>
  <si>
    <t>£393.1</t>
  </si>
  <si>
    <t>£248.78</t>
  </si>
  <si>
    <t>£453.09</t>
  </si>
  <si>
    <t>€57.05</t>
  </si>
  <si>
    <t>£386.04</t>
  </si>
  <si>
    <t>£204.82</t>
  </si>
  <si>
    <t>€239.93</t>
  </si>
  <si>
    <t>Rs486.07</t>
  </si>
  <si>
    <t>€73.35</t>
  </si>
  <si>
    <t>£144.78</t>
  </si>
  <si>
    <t>€92.16</t>
  </si>
  <si>
    <t>Rs164.9</t>
  </si>
  <si>
    <t>$74.84</t>
  </si>
  <si>
    <t>Rs230.11</t>
  </si>
  <si>
    <t>€304.67</t>
  </si>
  <si>
    <t>£275.12</t>
  </si>
  <si>
    <t>€177.85</t>
  </si>
  <si>
    <t>Rs410.8</t>
  </si>
  <si>
    <t>$97.46</t>
  </si>
  <si>
    <t>Rs116.32</t>
  </si>
  <si>
    <t>$203.3</t>
  </si>
  <si>
    <t>$139.43</t>
  </si>
  <si>
    <t>$74.36</t>
  </si>
  <si>
    <t>€303.91</t>
  </si>
  <si>
    <t>$77.48</t>
  </si>
  <si>
    <t>€282.36</t>
  </si>
  <si>
    <t>£243.46</t>
  </si>
  <si>
    <t>€444.38</t>
  </si>
  <si>
    <t>Rs319.04</t>
  </si>
  <si>
    <t>£330.71</t>
  </si>
  <si>
    <t>Rs160.18</t>
  </si>
  <si>
    <t>$290.14</t>
  </si>
  <si>
    <t>€244.09</t>
  </si>
  <si>
    <t>£150.5</t>
  </si>
  <si>
    <t>$398.47</t>
  </si>
  <si>
    <t>£262.16</t>
  </si>
  <si>
    <t>$142.33</t>
  </si>
  <si>
    <t>Rs476.81</t>
  </si>
  <si>
    <t>€351.04</t>
  </si>
  <si>
    <t>£73.97</t>
  </si>
  <si>
    <t>$295.71</t>
  </si>
  <si>
    <t>Rs167.5</t>
  </si>
  <si>
    <t>£321.5</t>
  </si>
  <si>
    <t>$168.33</t>
  </si>
  <si>
    <t>€411.75</t>
  </si>
  <si>
    <t>£462.15</t>
  </si>
  <si>
    <t>€124.69</t>
  </si>
  <si>
    <t>€129.38</t>
  </si>
  <si>
    <t>$488.54</t>
  </si>
  <si>
    <t>£93.45</t>
  </si>
  <si>
    <t>€73.45</t>
  </si>
  <si>
    <t>$340.47</t>
  </si>
  <si>
    <t>£414.94</t>
  </si>
  <si>
    <t>€238.05</t>
  </si>
  <si>
    <t>Rs63.62</t>
  </si>
  <si>
    <t>$101.59</t>
  </si>
  <si>
    <t>$498.48</t>
  </si>
  <si>
    <t>$305.84</t>
  </si>
  <si>
    <t>Rs160.05</t>
  </si>
  <si>
    <t>$406.61</t>
  </si>
  <si>
    <t>£359.32</t>
  </si>
  <si>
    <t>$315.17</t>
  </si>
  <si>
    <t>£319.92</t>
  </si>
  <si>
    <t>£352.01</t>
  </si>
  <si>
    <t>£88.56</t>
  </si>
  <si>
    <t>$461.18</t>
  </si>
  <si>
    <t>Rs206.57</t>
  </si>
  <si>
    <t>£107.34</t>
  </si>
  <si>
    <t>$385.01</t>
  </si>
  <si>
    <t>£490.93</t>
  </si>
  <si>
    <t>$168.86</t>
  </si>
  <si>
    <t>$463.06</t>
  </si>
  <si>
    <t>$261.87</t>
  </si>
  <si>
    <t>Rs170.53</t>
  </si>
  <si>
    <t>$197.66</t>
  </si>
  <si>
    <t>£454.23</t>
  </si>
  <si>
    <t>€104.3</t>
  </si>
  <si>
    <t>$263.1</t>
  </si>
  <si>
    <t>£229.44</t>
  </si>
  <si>
    <t>£424.53</t>
  </si>
  <si>
    <t>$248.84</t>
  </si>
  <si>
    <t>$89.38</t>
  </si>
  <si>
    <t>€110.8</t>
  </si>
  <si>
    <t>$217.51</t>
  </si>
  <si>
    <t>€427.98</t>
  </si>
  <si>
    <t>$298.89</t>
  </si>
  <si>
    <t>£182.71</t>
  </si>
  <si>
    <t>€350.12</t>
  </si>
  <si>
    <t>€158.91</t>
  </si>
  <si>
    <t>£457.94</t>
  </si>
  <si>
    <t>€130.9</t>
  </si>
  <si>
    <t>$318.44</t>
  </si>
  <si>
    <t>Rs291.99</t>
  </si>
  <si>
    <t>$161.56</t>
  </si>
  <si>
    <t>€79.8</t>
  </si>
  <si>
    <t>Rs151.58</t>
  </si>
  <si>
    <t>Rs338.13</t>
  </si>
  <si>
    <t>€441.92</t>
  </si>
  <si>
    <t>Rs114.73</t>
  </si>
  <si>
    <t>£405.59</t>
  </si>
  <si>
    <t>$368.56</t>
  </si>
  <si>
    <t>Rs496.31</t>
  </si>
  <si>
    <t>€213.17</t>
  </si>
  <si>
    <t>€150.15</t>
  </si>
  <si>
    <t>€371.69</t>
  </si>
  <si>
    <t>$431.45</t>
  </si>
  <si>
    <t>£189.17</t>
  </si>
  <si>
    <t>$281.71</t>
  </si>
  <si>
    <t>€309.31</t>
  </si>
  <si>
    <t>Rs57.03</t>
  </si>
  <si>
    <t>Rs219.97</t>
  </si>
  <si>
    <t>£186.51</t>
  </si>
  <si>
    <t>€77.05</t>
  </si>
  <si>
    <t>£208.72</t>
  </si>
  <si>
    <t>£390.16</t>
  </si>
  <si>
    <t>£74.78</t>
  </si>
  <si>
    <t>$199.03</t>
  </si>
  <si>
    <t>£245.09</t>
  </si>
  <si>
    <t>£282.03</t>
  </si>
  <si>
    <t>Rs411.85</t>
  </si>
  <si>
    <t>£144.89</t>
  </si>
  <si>
    <t>Rs198.95</t>
  </si>
  <si>
    <t>Rs246.05</t>
  </si>
  <si>
    <t>€164.43</t>
  </si>
  <si>
    <t>Rs381.59</t>
  </si>
  <si>
    <t>€341.42</t>
  </si>
  <si>
    <t>Rs456.12</t>
  </si>
  <si>
    <t>Rs371.84</t>
  </si>
  <si>
    <t>€263.23</t>
  </si>
  <si>
    <t>$427.62</t>
  </si>
  <si>
    <t>£100.78</t>
  </si>
  <si>
    <t>£308.28</t>
  </si>
  <si>
    <t>€471.3</t>
  </si>
  <si>
    <t>Rs437.95</t>
  </si>
  <si>
    <t>Rs461.32</t>
  </si>
  <si>
    <t>€424.17</t>
  </si>
  <si>
    <t>€428.7</t>
  </si>
  <si>
    <t>€159.11</t>
  </si>
  <si>
    <t>$159.06</t>
  </si>
  <si>
    <t>Rs317.16</t>
  </si>
  <si>
    <t>€470.63</t>
  </si>
  <si>
    <t>$153.44</t>
  </si>
  <si>
    <t>€416.08</t>
  </si>
  <si>
    <t>€458.79</t>
  </si>
  <si>
    <t>$125.8</t>
  </si>
  <si>
    <t>Rs352.94</t>
  </si>
  <si>
    <t>€111.4</t>
  </si>
  <si>
    <t>€161.54</t>
  </si>
  <si>
    <t>Rs479.37</t>
  </si>
  <si>
    <t>$306.94</t>
  </si>
  <si>
    <t>€194.95</t>
  </si>
  <si>
    <t>€91.05</t>
  </si>
  <si>
    <t>€290.36</t>
  </si>
  <si>
    <t>$85.53</t>
  </si>
  <si>
    <t>€419.74</t>
  </si>
  <si>
    <t>$83.67</t>
  </si>
  <si>
    <t>Rs255.43</t>
  </si>
  <si>
    <t>$433.63</t>
  </si>
  <si>
    <t>Rs461.04</t>
  </si>
  <si>
    <t>£261.01</t>
  </si>
  <si>
    <t>Rs96.19</t>
  </si>
  <si>
    <t>£248.76</t>
  </si>
  <si>
    <t>Rs246.63</t>
  </si>
  <si>
    <t>Rs256.59</t>
  </si>
  <si>
    <t>$326.84</t>
  </si>
  <si>
    <t>£476.97</t>
  </si>
  <si>
    <t>$136.77</t>
  </si>
  <si>
    <t>€466.59</t>
  </si>
  <si>
    <t>€342.3</t>
  </si>
  <si>
    <t>€444.2</t>
  </si>
  <si>
    <t>Rs421.18</t>
  </si>
  <si>
    <t>€386.3</t>
  </si>
  <si>
    <t>Rs107.04</t>
  </si>
  <si>
    <t>£381.15</t>
  </si>
  <si>
    <t>€477.98</t>
  </si>
  <si>
    <t>€418.27</t>
  </si>
  <si>
    <t>€300.52</t>
  </si>
  <si>
    <t>£485.93</t>
  </si>
  <si>
    <t>£164.2</t>
  </si>
  <si>
    <t>$390.1</t>
  </si>
  <si>
    <t>£407.7</t>
  </si>
  <si>
    <t>Rs467.55</t>
  </si>
  <si>
    <t>€119.41</t>
  </si>
  <si>
    <t>£441.89</t>
  </si>
  <si>
    <t>Rs184.38</t>
  </si>
  <si>
    <t>$269.35</t>
  </si>
  <si>
    <t>Rs363.94</t>
  </si>
  <si>
    <t>£323.0</t>
  </si>
  <si>
    <t>$163.0</t>
  </si>
  <si>
    <t>Rs254.14</t>
  </si>
  <si>
    <t>$112.79</t>
  </si>
  <si>
    <t>Rs164.15</t>
  </si>
  <si>
    <t>€94.37</t>
  </si>
  <si>
    <t>$368.53</t>
  </si>
  <si>
    <t>Rs240.37</t>
  </si>
  <si>
    <t>£238.59</t>
  </si>
  <si>
    <t>Rs279.32</t>
  </si>
  <si>
    <t>Rs114.8</t>
  </si>
  <si>
    <t>€96.78</t>
  </si>
  <si>
    <t>£384.42</t>
  </si>
  <si>
    <t>Rs187.7</t>
  </si>
  <si>
    <t>£382.67</t>
  </si>
  <si>
    <t>€236.27</t>
  </si>
  <si>
    <t>$359.17</t>
  </si>
  <si>
    <t>Rs362.65</t>
  </si>
  <si>
    <t>£401.58</t>
  </si>
  <si>
    <t>$120.7</t>
  </si>
  <si>
    <t>£405.15</t>
  </si>
  <si>
    <t>$263.3</t>
  </si>
  <si>
    <t>£470.08</t>
  </si>
  <si>
    <t>€79.73</t>
  </si>
  <si>
    <t>£376.76</t>
  </si>
  <si>
    <t>Rs378.92</t>
  </si>
  <si>
    <t>$370.13</t>
  </si>
  <si>
    <t>Rs377.38</t>
  </si>
  <si>
    <t>Rs200.43</t>
  </si>
  <si>
    <t>Rs244.49</t>
  </si>
  <si>
    <t>£154.48</t>
  </si>
  <si>
    <t>$434.95</t>
  </si>
  <si>
    <t>€102.23</t>
  </si>
  <si>
    <t>Test Patient</t>
  </si>
  <si>
    <t>Dr. Smith MD</t>
  </si>
  <si>
    <t>£150.00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</si>
</sst>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5"/>
      <color theme="0"/>
      <name val="Arial"/>
      <family val="2"/>
    </font>
    <font>
      <sz val="20"/>
      <color theme="1"/>
      <name val="Arial"/>
      <family val="2"/>
    </font>
    <font>
      <sz val="24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4" fontId="5" fillId="4" borderId="0" xfId="1" applyFont="1" applyFill="1" applyAlignment="1">
      <alignment horizontal="center" vertical="center"/>
    </xf>
    <xf numFmtId="10" fontId="5" fillId="4" borderId="0" xfId="2" applyNumberFormat="1" applyFont="1" applyFill="1" applyAlignment="1">
      <alignment horizontal="center" vertical="center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[Clinical_Appointments_Follante.xlsx]Sheet2!PivotTable1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1-430B-A992-C49B99F34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019247"/>
        <c:axId val="1620036047"/>
      </c:barChart>
      <c:catAx>
        <c:axId val="16200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36047"/>
        <c:crosses val="autoZero"/>
        <c:auto val="1"/>
        <c:lblAlgn val="ctr"/>
        <c:lblOffset val="100"/>
        <c:noMultiLvlLbl val="0"/>
      </c:catAx>
      <c:valAx>
        <c:axId val="16200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[Clinical_Appointments_Follante.xlsx]Sheet2!PivotTable3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Sheet2!$B$18:$B$19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Sheet2!$B$20:$B$24</c:f>
              <c:numCache>
                <c:formatCode>General</c:formatCode>
                <c:ptCount val="4"/>
                <c:pt idx="0">
                  <c:v>32</c:v>
                </c:pt>
                <c:pt idx="1">
                  <c:v>30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38C-BB03-3C8849A707D3}"/>
            </c:ext>
          </c:extLst>
        </c:ser>
        <c:ser>
          <c:idx val="1"/>
          <c:order val="1"/>
          <c:tx>
            <c:strRef>
              <c:f>Sheet2!$C$18:$C$19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Sheet2!$C$20:$C$24</c:f>
              <c:numCache>
                <c:formatCode>General</c:formatCode>
                <c:ptCount val="4"/>
                <c:pt idx="0">
                  <c:v>33</c:v>
                </c:pt>
                <c:pt idx="1">
                  <c:v>43</c:v>
                </c:pt>
                <c:pt idx="2">
                  <c:v>61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38C-BB03-3C8849A707D3}"/>
            </c:ext>
          </c:extLst>
        </c:ser>
        <c:ser>
          <c:idx val="2"/>
          <c:order val="2"/>
          <c:tx>
            <c:strRef>
              <c:f>Sheet2!$D$18:$D$19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Sheet2!$D$20:$D$24</c:f>
              <c:numCache>
                <c:formatCode>General</c:formatCode>
                <c:ptCount val="4"/>
                <c:pt idx="0">
                  <c:v>41</c:v>
                </c:pt>
                <c:pt idx="1">
                  <c:v>37</c:v>
                </c:pt>
                <c:pt idx="2">
                  <c:v>35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C-428E-B3E6-9788C506EE58}"/>
            </c:ext>
          </c:extLst>
        </c:ser>
        <c:ser>
          <c:idx val="3"/>
          <c:order val="3"/>
          <c:tx>
            <c:strRef>
              <c:f>Sheet2!$E$18:$E$19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Sheet2!$E$20:$E$24</c:f>
              <c:numCache>
                <c:formatCode>General</c:formatCode>
                <c:ptCount val="4"/>
                <c:pt idx="0">
                  <c:v>46</c:v>
                </c:pt>
                <c:pt idx="1">
                  <c:v>45</c:v>
                </c:pt>
                <c:pt idx="2">
                  <c:v>44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C-428E-B3E6-9788C506EE58}"/>
            </c:ext>
          </c:extLst>
        </c:ser>
        <c:ser>
          <c:idx val="4"/>
          <c:order val="4"/>
          <c:tx>
            <c:strRef>
              <c:f>Sheet2!$F$18:$F$19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Sheet2!$F$20:$F$24</c:f>
              <c:numCache>
                <c:formatCode>General</c:formatCode>
                <c:ptCount val="4"/>
                <c:pt idx="0">
                  <c:v>44</c:v>
                </c:pt>
                <c:pt idx="1">
                  <c:v>33</c:v>
                </c:pt>
                <c:pt idx="2">
                  <c:v>34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C-428E-B3E6-9788C506EE58}"/>
            </c:ext>
          </c:extLst>
        </c:ser>
        <c:ser>
          <c:idx val="5"/>
          <c:order val="5"/>
          <c:tx>
            <c:strRef>
              <c:f>Sheet2!$G$18:$G$19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Sheet2!$G$20:$G$24</c:f>
              <c:numCache>
                <c:formatCode>General</c:formatCode>
                <c:ptCount val="4"/>
                <c:pt idx="0">
                  <c:v>38</c:v>
                </c:pt>
                <c:pt idx="1">
                  <c:v>43</c:v>
                </c:pt>
                <c:pt idx="2">
                  <c:v>57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C-428E-B3E6-9788C506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9050751"/>
        <c:axId val="789058431"/>
      </c:barChart>
      <c:catAx>
        <c:axId val="78905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8431"/>
        <c:crosses val="autoZero"/>
        <c:auto val="1"/>
        <c:lblAlgn val="ctr"/>
        <c:lblOffset val="100"/>
        <c:noMultiLvlLbl val="0"/>
      </c:catAx>
      <c:valAx>
        <c:axId val="78905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[Clinical_Appointments_Follante.xlsx]Sheet2!PivotTable1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AA-4965-A3B9-6AD904B464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AA-4965-A3B9-6AD904B464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AA-4965-A3B9-6AD904B464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2AA-4965-A3B9-6AD904B46408}"/>
              </c:ext>
            </c:extLst>
          </c:dPt>
          <c:cat>
            <c:strRef>
              <c:f>Sheet2!$A$4:$A$8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A-4965-A3B9-6AD904B46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019247"/>
        <c:axId val="1620036047"/>
      </c:barChart>
      <c:catAx>
        <c:axId val="16200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36047"/>
        <c:crosses val="autoZero"/>
        <c:auto val="1"/>
        <c:lblAlgn val="ctr"/>
        <c:lblOffset val="100"/>
        <c:noMultiLvlLbl val="0"/>
      </c:catAx>
      <c:valAx>
        <c:axId val="16200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1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[Clinical_Appointments_Follante.xlsx]Sheet2!PivotTable3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Follow</a:t>
            </a:r>
            <a:r>
              <a:rPr lang="en-US" baseline="0"/>
              <a:t> Up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93795382347012"/>
          <c:y val="0.15618348153303949"/>
          <c:w val="0.75115626965316906"/>
          <c:h val="0.765127674044289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Sheet2!$B$18:$B$19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Sheet2!$B$20:$B$24</c:f>
              <c:numCache>
                <c:formatCode>General</c:formatCode>
                <c:ptCount val="4"/>
                <c:pt idx="0">
                  <c:v>32</c:v>
                </c:pt>
                <c:pt idx="1">
                  <c:v>30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8-4453-B954-0A552BF2A5A3}"/>
            </c:ext>
          </c:extLst>
        </c:ser>
        <c:ser>
          <c:idx val="1"/>
          <c:order val="1"/>
          <c:tx>
            <c:strRef>
              <c:f>Sheet2!$C$18:$C$19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Sheet2!$C$20:$C$24</c:f>
              <c:numCache>
                <c:formatCode>General</c:formatCode>
                <c:ptCount val="4"/>
                <c:pt idx="0">
                  <c:v>33</c:v>
                </c:pt>
                <c:pt idx="1">
                  <c:v>43</c:v>
                </c:pt>
                <c:pt idx="2">
                  <c:v>61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8-4453-B954-0A552BF2A5A3}"/>
            </c:ext>
          </c:extLst>
        </c:ser>
        <c:ser>
          <c:idx val="2"/>
          <c:order val="2"/>
          <c:tx>
            <c:strRef>
              <c:f>Sheet2!$D$18:$D$19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Sheet2!$D$20:$D$24</c:f>
              <c:numCache>
                <c:formatCode>General</c:formatCode>
                <c:ptCount val="4"/>
                <c:pt idx="0">
                  <c:v>41</c:v>
                </c:pt>
                <c:pt idx="1">
                  <c:v>37</c:v>
                </c:pt>
                <c:pt idx="2">
                  <c:v>35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0-452E-AD8D-4A7012E3D2F1}"/>
            </c:ext>
          </c:extLst>
        </c:ser>
        <c:ser>
          <c:idx val="3"/>
          <c:order val="3"/>
          <c:tx>
            <c:strRef>
              <c:f>Sheet2!$E$18:$E$19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Sheet2!$E$20:$E$24</c:f>
              <c:numCache>
                <c:formatCode>General</c:formatCode>
                <c:ptCount val="4"/>
                <c:pt idx="0">
                  <c:v>46</c:v>
                </c:pt>
                <c:pt idx="1">
                  <c:v>45</c:v>
                </c:pt>
                <c:pt idx="2">
                  <c:v>44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0-452E-AD8D-4A7012E3D2F1}"/>
            </c:ext>
          </c:extLst>
        </c:ser>
        <c:ser>
          <c:idx val="4"/>
          <c:order val="4"/>
          <c:tx>
            <c:strRef>
              <c:f>Sheet2!$F$18:$F$19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Sheet2!$F$20:$F$24</c:f>
              <c:numCache>
                <c:formatCode>General</c:formatCode>
                <c:ptCount val="4"/>
                <c:pt idx="0">
                  <c:v>44</c:v>
                </c:pt>
                <c:pt idx="1">
                  <c:v>33</c:v>
                </c:pt>
                <c:pt idx="2">
                  <c:v>34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E0-452E-AD8D-4A7012E3D2F1}"/>
            </c:ext>
          </c:extLst>
        </c:ser>
        <c:ser>
          <c:idx val="5"/>
          <c:order val="5"/>
          <c:tx>
            <c:strRef>
              <c:f>Sheet2!$G$18:$G$19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Sheet2!$A$20:$A$24</c:f>
              <c:strCache>
                <c:ptCount val="4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</c:strCache>
            </c:strRef>
          </c:cat>
          <c:val>
            <c:numRef>
              <c:f>Sheet2!$G$20:$G$24</c:f>
              <c:numCache>
                <c:formatCode>General</c:formatCode>
                <c:ptCount val="4"/>
                <c:pt idx="0">
                  <c:v>38</c:v>
                </c:pt>
                <c:pt idx="1">
                  <c:v>43</c:v>
                </c:pt>
                <c:pt idx="2">
                  <c:v>57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E0-452E-AD8D-4A7012E3D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9050751"/>
        <c:axId val="789058431"/>
      </c:barChart>
      <c:catAx>
        <c:axId val="78905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8431"/>
        <c:crosses val="autoZero"/>
        <c:auto val="1"/>
        <c:lblAlgn val="ctr"/>
        <c:lblOffset val="100"/>
        <c:noMultiLvlLbl val="0"/>
      </c:catAx>
      <c:valAx>
        <c:axId val="78905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124154</xdr:colOff>
      <xdr:row>1</xdr:row>
      <xdr:rowOff>66182</xdr:rowOff>
    </xdr:from>
    <xdr:to>
      <xdr:col>13</xdr:col>
      <xdr:colOff>29561</xdr:colOff>
      <xdr:row>15</xdr:row>
      <xdr:rowOff>142382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9CF34-E57A-09D8-4F43-69A4F7FB1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347662</xdr:colOff>
      <xdr:row>11</xdr:row>
      <xdr:rowOff>52387</xdr:rowOff>
    </xdr:from>
    <xdr:to>
      <xdr:col>12</xdr:col>
      <xdr:colOff>585787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0EA396-CDE4-8930-C065-8E7FF4F46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333374</xdr:colOff>
      <xdr:row>8</xdr:row>
      <xdr:rowOff>161925</xdr:rowOff>
    </xdr:from>
    <xdr:to>
      <xdr:col>8</xdr:col>
      <xdr:colOff>419099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CA1CD-7576-44BD-A89F-98C004374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66674</xdr:colOff>
      <xdr:row>8</xdr:row>
      <xdr:rowOff>161925</xdr:rowOff>
    </xdr:from>
    <xdr:to>
      <xdr:col>16</xdr:col>
      <xdr:colOff>95249</xdr:colOff>
      <xdr:row>27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74C28E-8B6F-4CE8-A617-05983B360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rian Paolo Follante" refreshedDate="46167.865885879626" backgroundQuery="1" createdVersion="8" refreshedVersion="8" minRefreshableVersion="3" recordCount="0" supportSubquery="1" supportAdvancedDrill="1" xr:uid="{A6C07AF1-0C31-40A7-B6A5-F70884F1E152}">
  <cacheSource type="external" connectionId="3"/>
  <cacheFields count="2">
    <cacheField name="[messy_clinic_appointments].[department].[department]" caption="department" numFmtId="0" hierarchy="7" level="1">
      <sharedItems count="4">
        <s v="Cardiology"/>
        <s v="General"/>
        <s v="Neurology"/>
        <s v="Orthopedics"/>
      </sharedItems>
    </cacheField>
    <cacheField name="[Measures].[Average of days_to_appointment]" caption="Average of days_to_appointment" numFmtId="0" hierarchy="17" level="32767"/>
  </cacheFields>
  <cacheHierarchies count="18">
    <cacheHierarchy uniqueName="[messy_clinic_appointments].[patient_id]" caption="patient_id" attribute="1" defaultMemberUniqueName="[messy_clinic_appointments].[patient_id].[All]" allUniqueName="[messy_clinic_appointments].[patient_id].[All]" dimensionUniqueName="[messy_clinic_appointments]" displayFolder="" count="0" memberValueDatatype="20" unbalanced="0"/>
    <cacheHierarchy uniqueName="[messy_clinic_appointments].[patient_name]" caption="patient_name" attribute="1" defaultMemberUniqueName="[messy_clinic_appointments].[patient_name].[All]" allUniqueName="[messy_clinic_appointments].[patient_name].[All]" dimensionUniqueName="[messy_clinic_appointments]" displayFolder="" count="0" memberValueDatatype="130" unbalanced="0"/>
    <cacheHierarchy uniqueName="[messy_clinic_appointments].[age]" caption="age" attribute="1" defaultMemberUniqueName="[messy_clinic_appointments].[age].[All]" allUniqueName="[messy_clinic_appointments].[age].[All]" dimensionUniqueName="[messy_clinic_appointments]" displayFolder="" count="0" memberValueDatatype="20" unbalanced="0"/>
    <cacheHierarchy uniqueName="[messy_clinic_appointments].[gender]" caption="gender" attribute="1" defaultMemberUniqueName="[messy_clinic_appointments].[gender].[All]" allUniqueName="[messy_clinic_appointments].[gender].[All]" dimensionUniqueName="[messy_clinic_appointments]" displayFolder="" count="0" memberValueDatatype="130" unbalanced="0"/>
    <cacheHierarchy uniqueName="[messy_clinic_appointments].[appointment_date]" caption="appointment_date" attribute="1" time="1" defaultMemberUniqueName="[messy_clinic_appointments].[appointment_date].[All]" allUniqueName="[messy_clinic_appointments].[appointment_date].[All]" dimensionUniqueName="[messy_clinic_appointments]" displayFolder="" count="0" memberValueDatatype="7" unbalanced="0"/>
    <cacheHierarchy uniqueName="[messy_clinic_appointments].[booking_date]" caption="booking_date" attribute="1" time="1" defaultMemberUniqueName="[messy_clinic_appointments].[booking_date].[All]" allUniqueName="[messy_clinic_appointments].[booking_date].[All]" dimensionUniqueName="[messy_clinic_appointments]" displayFolder="" count="0" memberValueDatatype="7" unbalanced="0"/>
    <cacheHierarchy uniqueName="[messy_clinic_appointments].[doctor]" caption="doctor" attribute="1" defaultMemberUniqueName="[messy_clinic_appointments].[doctor].[All]" allUniqueName="[messy_clinic_appointments].[doctor].[All]" dimensionUniqueName="[messy_clinic_appointments]" displayFolder="" count="0" memberValueDatatype="130" unbalanced="0"/>
    <cacheHierarchy uniqueName="[messy_clinic_appointments].[department]" caption="department" attribute="1" defaultMemberUniqueName="[messy_clinic_appointments].[department].[All]" allUniqueName="[messy_clinic_appointments].[department].[All]" dimensionUniqueName="[messy_clinic_appointments]" displayFolder="" count="2" memberValueDatatype="130" unbalanced="0">
      <fieldsUsage count="2">
        <fieldUsage x="-1"/>
        <fieldUsage x="0"/>
      </fieldsUsage>
    </cacheHierarchy>
    <cacheHierarchy uniqueName="[messy_clinic_appointments].[billing_amount]" caption="billing_amount" attribute="1" defaultMemberUniqueName="[messy_clinic_appointments].[billing_amount].[All]" allUniqueName="[messy_clinic_appointments].[billing_amount].[All]" dimensionUniqueName="[messy_clinic_appointments]" displayFolder="" count="0" memberValueDatatype="130" unbalanced="0"/>
    <cacheHierarchy uniqueName="[messy_clinic_appointments].[Billing_Grade]" caption="Billing_Grade" attribute="1" defaultMemberUniqueName="[messy_clinic_appointments].[Billing_Grade].[All]" allUniqueName="[messy_clinic_appointments].[Billing_Grade].[All]" dimensionUniqueName="[messy_clinic_appointments]" displayFolder="" count="0" memberValueDatatype="130" unbalanced="0"/>
    <cacheHierarchy uniqueName="[messy_clinic_appointments].[follow_up_required]" caption="follow_up_required" attribute="1" defaultMemberUniqueName="[messy_clinic_appointments].[follow_up_required].[All]" allUniqueName="[messy_clinic_appointments].[follow_up_required].[All]" dimensionUniqueName="[messy_clinic_appointments]" displayFolder="" count="0" memberValueDatatype="130" unbalanced="0"/>
    <cacheHierarchy uniqueName="[messy_clinic_appointments].[days_to_appointment]" caption="days_to_appointment" attribute="1" defaultMemberUniqueName="[messy_clinic_appointments].[days_to_appointment].[All]" allUniqueName="[messy_clinic_appointments].[days_to_appointment].[All]" dimensionUniqueName="[messy_clinic_appointments]" displayFolder="" count="0" memberValueDatatype="20" unbalanced="0"/>
    <cacheHierarchy uniqueName="[messy_clinic_appointments].[Flag]" caption="Flag" attribute="1" defaultMemberUniqueName="[messy_clinic_appointments].[Flag].[All]" allUniqueName="[messy_clinic_appointments].[Flag].[All]" dimensionUniqueName="[messy_clinic_appointments]" displayFolder="" count="0" memberValueDatatype="130" unbalanced="0"/>
    <cacheHierarchy uniqueName="[Measures].[__XL_Count messy_clinic_appointments]" caption="__XL_Count messy_clinic_appointments" measure="1" displayFolder="" measureGroup="messy_clinic_appointments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messy_clinic_appointm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ys_to_appointment]" caption="Sum of days_to_appointment" measure="1" displayFolder="" measureGroup="messy_clinic_appointment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ays_to_appointment]" caption="Average of days_to_appointment" measure="1" displayFolder="" measureGroup="messy_clinic_appoint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messy_clinic_appointments" uniqueName="[messy_clinic_appointments]" caption="messy_clinic_appointments"/>
  </dimensions>
  <measureGroups count="1">
    <measureGroup name="messy_clinic_appointments" caption="messy_clinic_appointmen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 Paolo Follante" refreshedDate="46167.865886111111" createdVersion="8" refreshedVersion="8" minRefreshableVersion="3" recordCount="1000" xr:uid="{541BAFA7-3534-476B-8EA3-BB2FD412BFA7}">
  <cacheSource type="worksheet">
    <worksheetSource name="messy_clinic_appointments"/>
  </cacheSource>
  <cacheFields count="13">
    <cacheField name="patient_id" numFmtId="0">
      <sharedItems containsSemiMixedTypes="0" containsString="0" containsNumber="1" containsInteger="1" minValue="1000" maxValue="1100"/>
    </cacheField>
    <cacheField name="patient_name" numFmtId="0">
      <sharedItems/>
    </cacheField>
    <cacheField name="age" numFmtId="0">
      <sharedItems containsSemiMixedTypes="0" containsString="0" containsNumber="1" containsInteger="1" minValue="18" maxValue="90"/>
    </cacheField>
    <cacheField name="gender" numFmtId="0">
      <sharedItems/>
    </cacheField>
    <cacheField name="appointment_date" numFmtId="14">
      <sharedItems containsSemiMixedTypes="0" containsNonDate="0" containsDate="1" containsString="0" minDate="2025-03-26T00:00:00" maxDate="2026-03-27T00:00:00"/>
    </cacheField>
    <cacheField name="booking_date" numFmtId="14">
      <sharedItems containsSemiMixedTypes="0" containsNonDate="0" containsDate="1" containsString="0" minDate="2024-03-26T00:00:00" maxDate="2026-03-08T00:00:00"/>
    </cacheField>
    <cacheField name="doctor" numFmtId="0">
      <sharedItems/>
    </cacheField>
    <cacheField name="department" numFmtId="0">
      <sharedItems count="4">
        <s v="Cardiology"/>
        <s v="Orthopedics"/>
        <s v="Neurology"/>
        <s v="General"/>
      </sharedItems>
    </cacheField>
    <cacheField name="billing_amount" numFmtId="0">
      <sharedItems/>
    </cacheField>
    <cacheField name="Billing_Grade" numFmtId="0">
      <sharedItems/>
    </cacheField>
    <cacheField name="follow_up_required" numFmtId="0">
      <sharedItems count="6">
        <s v="1"/>
        <s v="Y"/>
        <s v="No"/>
        <s v="Yes"/>
        <s v="N"/>
        <s v="0"/>
      </sharedItems>
    </cacheField>
    <cacheField name="days_to_appointment" numFmtId="2">
      <sharedItems containsSemiMixedTypes="0" containsString="0" containsNumber="1" containsInteger="1" minValue="2" maxValue="728"/>
    </cacheField>
    <cacheField name="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80"/>
    <s v="Tammy Williams"/>
    <n v="76"/>
    <s v="female"/>
    <d v="2026-02-26T00:00:00"/>
    <d v="2024-12-03T00:00:00"/>
    <s v="Christopher Graham"/>
    <x v="0"/>
    <s v="£425.8"/>
    <s v="High"/>
    <x v="0"/>
    <n v="450"/>
    <s v="Review"/>
  </r>
  <r>
    <n v="1074"/>
    <s v="Megan Strickland"/>
    <n v="69"/>
    <s v="F"/>
    <d v="2025-05-23T00:00:00"/>
    <d v="2024-06-12T00:00:00"/>
    <s v="Brandon Lewis"/>
    <x v="1"/>
    <s v="€344.26"/>
    <s v="High"/>
    <x v="1"/>
    <n v="345"/>
    <s v="OK"/>
  </r>
  <r>
    <n v="1067"/>
    <s v="Amanda Schroeder"/>
    <n v="79"/>
    <s v="M"/>
    <d v="2025-11-30T00:00:00"/>
    <d v="2024-08-05T00:00:00"/>
    <s v="Deanna Edwards"/>
    <x v="2"/>
    <s v="€203.34"/>
    <s v="High"/>
    <x v="1"/>
    <n v="482"/>
    <s v="Review"/>
  </r>
  <r>
    <n v="1072"/>
    <s v="Anthony Mcpherson"/>
    <n v="47"/>
    <s v="F"/>
    <d v="2025-05-18T00:00:00"/>
    <d v="2024-09-09T00:00:00"/>
    <s v="Karen Parsons"/>
    <x v="3"/>
    <s v="Rs85.76"/>
    <s v="High"/>
    <x v="2"/>
    <n v="251"/>
    <s v="OK"/>
  </r>
  <r>
    <n v="1092"/>
    <s v="Benjamin Brown"/>
    <n v="45"/>
    <s v=""/>
    <d v="2026-03-07T00:00:00"/>
    <d v="2024-08-17T00:00:00"/>
    <s v="Andrea Hernandez"/>
    <x v="3"/>
    <s v="$84.44"/>
    <s v="High"/>
    <x v="0"/>
    <n v="567"/>
    <s v="Review"/>
  </r>
  <r>
    <n v="1057"/>
    <s v="Joe Sharp"/>
    <n v="78"/>
    <s v="1"/>
    <d v="2025-09-26T00:00:00"/>
    <d v="2025-08-31T00:00:00"/>
    <s v="Kimberly Fields"/>
    <x v="3"/>
    <s v=""/>
    <s v="High"/>
    <x v="3"/>
    <n v="26"/>
    <s v="OK"/>
  </r>
  <r>
    <n v="1018"/>
    <s v="Alexander Harris"/>
    <n v="22"/>
    <s v="female"/>
    <d v="2025-10-30T00:00:00"/>
    <d v="2024-12-29T00:00:00"/>
    <s v="Jim Jones"/>
    <x v="0"/>
    <s v="€99.0"/>
    <s v="High"/>
    <x v="2"/>
    <n v="305"/>
    <s v="OK"/>
  </r>
  <r>
    <n v="1074"/>
    <s v="Raymond Williams"/>
    <n v="57"/>
    <s v="M"/>
    <d v="2025-04-23T00:00:00"/>
    <d v="2025-03-28T00:00:00"/>
    <s v="James Brooks"/>
    <x v="2"/>
    <s v="Rs374.63"/>
    <s v="High"/>
    <x v="2"/>
    <n v="26"/>
    <s v="OK"/>
  </r>
  <r>
    <n v="1041"/>
    <s v="Dustin Willis"/>
    <n v="54"/>
    <s v="female"/>
    <d v="2025-08-22T00:00:00"/>
    <d v="2024-11-07T00:00:00"/>
    <s v="Jamie Hill"/>
    <x v="3"/>
    <s v="$452.37"/>
    <s v="High"/>
    <x v="3"/>
    <n v="288"/>
    <s v="OK"/>
  </r>
  <r>
    <n v="1011"/>
    <s v="Tina Gallagher"/>
    <n v="45"/>
    <s v="M"/>
    <d v="2026-03-16T00:00:00"/>
    <d v="2025-12-12T00:00:00"/>
    <s v="Tiffany Gates MD"/>
    <x v="2"/>
    <s v="€494.97"/>
    <s v="High"/>
    <x v="3"/>
    <n v="94"/>
    <s v="OK"/>
  </r>
  <r>
    <n v="1086"/>
    <s v="Robert Guerrero"/>
    <n v="54"/>
    <s v="male"/>
    <d v="2025-04-24T00:00:00"/>
    <d v="2024-10-07T00:00:00"/>
    <s v="Shane Brown"/>
    <x v="0"/>
    <s v="£91.91"/>
    <s v="High"/>
    <x v="1"/>
    <n v="199"/>
    <s v="OK"/>
  </r>
  <r>
    <n v="1041"/>
    <s v="Karen Walker"/>
    <n v="68"/>
    <s v="F"/>
    <d v="2026-03-07T00:00:00"/>
    <d v="2024-04-24T00:00:00"/>
    <s v="Natalie White"/>
    <x v="3"/>
    <s v="$82.88"/>
    <s v="High"/>
    <x v="3"/>
    <n v="682"/>
    <s v="Review"/>
  </r>
  <r>
    <n v="1057"/>
    <s v="Chris Rice"/>
    <n v="61"/>
    <s v="1"/>
    <d v="2025-07-31T00:00:00"/>
    <d v="2024-05-05T00:00:00"/>
    <s v="Amy Olson"/>
    <x v="2"/>
    <s v="Rs277.14"/>
    <s v="High"/>
    <x v="4"/>
    <n v="452"/>
    <s v="Review"/>
  </r>
  <r>
    <n v="1022"/>
    <s v="Michael Mack"/>
    <n v="70"/>
    <s v="M"/>
    <d v="2025-09-21T00:00:00"/>
    <d v="2024-11-06T00:00:00"/>
    <s v="John Larsen II"/>
    <x v="1"/>
    <s v="€411.01"/>
    <s v="High"/>
    <x v="1"/>
    <n v="319"/>
    <s v="OK"/>
  </r>
  <r>
    <n v="1046"/>
    <s v="Andrea Hubbard"/>
    <n v="36"/>
    <s v="F"/>
    <d v="2026-03-12T00:00:00"/>
    <d v="2025-11-08T00:00:00"/>
    <s v="Andrea Gates"/>
    <x v="0"/>
    <s v="£67.51"/>
    <s v="High"/>
    <x v="4"/>
    <n v="124"/>
    <s v="OK"/>
  </r>
  <r>
    <n v="1025"/>
    <s v="Brian Jones"/>
    <n v="23"/>
    <s v="female"/>
    <d v="2026-02-06T00:00:00"/>
    <d v="2025-03-09T00:00:00"/>
    <s v="Robert Navarro"/>
    <x v="1"/>
    <s v="€163.99"/>
    <s v="High"/>
    <x v="1"/>
    <n v="334"/>
    <s v="OK"/>
  </r>
  <r>
    <n v="1027"/>
    <s v="Kelly Olsen"/>
    <n v="72"/>
    <s v="male"/>
    <d v="2025-08-27T00:00:00"/>
    <d v="2025-02-13T00:00:00"/>
    <s v="Christopher Bryant"/>
    <x v="0"/>
    <s v="£252.38"/>
    <s v="High"/>
    <x v="3"/>
    <n v="195"/>
    <s v="OK"/>
  </r>
  <r>
    <n v="1059"/>
    <s v="Andrew Oconnor"/>
    <n v="66"/>
    <s v="female"/>
    <d v="2025-11-11T00:00:00"/>
    <d v="2024-12-01T00:00:00"/>
    <s v="Christina Hill"/>
    <x v="0"/>
    <s v="$153.07"/>
    <s v="High"/>
    <x v="1"/>
    <n v="345"/>
    <s v="OK"/>
  </r>
  <r>
    <n v="1086"/>
    <s v="Dennis Hurley"/>
    <n v="81"/>
    <s v="M"/>
    <d v="2025-04-10T00:00:00"/>
    <d v="2024-12-16T00:00:00"/>
    <s v="Daniel Jacobson"/>
    <x v="3"/>
    <s v="Rs329.3"/>
    <s v="High"/>
    <x v="0"/>
    <n v="115"/>
    <s v="OK"/>
  </r>
  <r>
    <n v="1033"/>
    <s v="Paul Brock"/>
    <n v="76"/>
    <s v="female"/>
    <d v="2025-11-05T00:00:00"/>
    <d v="2025-05-23T00:00:00"/>
    <s v="Kayla Savage"/>
    <x v="2"/>
    <s v="€135.45"/>
    <s v="High"/>
    <x v="3"/>
    <n v="166"/>
    <s v="OK"/>
  </r>
  <r>
    <n v="1069"/>
    <s v="Jennifer Aguirre"/>
    <n v="90"/>
    <s v="male"/>
    <d v="2025-10-14T00:00:00"/>
    <d v="2024-05-28T00:00:00"/>
    <s v="Richard Huang"/>
    <x v="2"/>
    <s v="Rs72.73"/>
    <s v="High"/>
    <x v="4"/>
    <n v="504"/>
    <s v="Review"/>
  </r>
  <r>
    <n v="1097"/>
    <s v="Todd Wilson"/>
    <n v="56"/>
    <s v="male"/>
    <d v="2025-05-15T00:00:00"/>
    <d v="2024-05-05T00:00:00"/>
    <s v="Rebecca Harrington"/>
    <x v="1"/>
    <s v="Rs258.64"/>
    <s v="High"/>
    <x v="1"/>
    <n v="375"/>
    <s v="Review"/>
  </r>
  <r>
    <n v="1064"/>
    <s v="Jeremiah Cole"/>
    <n v="88"/>
    <s v="female"/>
    <d v="2026-01-30T00:00:00"/>
    <d v="2024-08-12T00:00:00"/>
    <s v="Louis Turner"/>
    <x v="3"/>
    <s v="$203.61"/>
    <s v="High"/>
    <x v="2"/>
    <n v="536"/>
    <s v="Review"/>
  </r>
  <r>
    <n v="1089"/>
    <s v="Vincent Brown"/>
    <n v="32"/>
    <s v="F"/>
    <d v="2025-05-11T00:00:00"/>
    <d v="2024-07-06T00:00:00"/>
    <s v="Brianna Garcia"/>
    <x v="2"/>
    <s v="Rs236.22"/>
    <s v="High"/>
    <x v="4"/>
    <n v="309"/>
    <s v="OK"/>
  </r>
  <r>
    <n v="1086"/>
    <s v="Tracy Mcdonald"/>
    <n v="34"/>
    <s v="F"/>
    <d v="2025-07-31T00:00:00"/>
    <d v="2024-04-09T00:00:00"/>
    <s v="Daniel Gutierrez"/>
    <x v="0"/>
    <s v="Rs292.23"/>
    <s v="High"/>
    <x v="1"/>
    <n v="478"/>
    <s v="Review"/>
  </r>
  <r>
    <n v="1073"/>
    <s v="Phillip Simpson"/>
    <n v="88"/>
    <s v="0"/>
    <d v="2025-06-27T00:00:00"/>
    <d v="2025-05-06T00:00:00"/>
    <s v="Darren Brooks"/>
    <x v="3"/>
    <s v="$51.72"/>
    <s v="High"/>
    <x v="1"/>
    <n v="52"/>
    <s v="OK"/>
  </r>
  <r>
    <n v="1093"/>
    <s v="Penny Friedman"/>
    <n v="20"/>
    <s v="male"/>
    <d v="2026-03-23T00:00:00"/>
    <d v="2025-06-13T00:00:00"/>
    <s v="Janice Taylor"/>
    <x v="0"/>
    <s v="£218.84"/>
    <s v="High"/>
    <x v="0"/>
    <n v="283"/>
    <s v="OK"/>
  </r>
  <r>
    <n v="1084"/>
    <s v="Cynthia Hensley"/>
    <n v="86"/>
    <s v="male"/>
    <d v="2026-03-08T00:00:00"/>
    <d v="2024-07-09T00:00:00"/>
    <s v="David Robles"/>
    <x v="2"/>
    <s v="Rs160.38"/>
    <s v="High"/>
    <x v="3"/>
    <n v="607"/>
    <s v="Review"/>
  </r>
  <r>
    <n v="1002"/>
    <s v="Cassandra Gardner"/>
    <n v="42"/>
    <s v="M"/>
    <d v="2025-10-14T00:00:00"/>
    <d v="2024-11-04T00:00:00"/>
    <s v="Gregory Kirk"/>
    <x v="2"/>
    <s v="Rs342.38"/>
    <s v="High"/>
    <x v="5"/>
    <n v="344"/>
    <s v="OK"/>
  </r>
  <r>
    <n v="1030"/>
    <s v="Patrick Saunders"/>
    <n v="18"/>
    <s v="male"/>
    <d v="2025-09-11T00:00:00"/>
    <d v="2024-10-05T00:00:00"/>
    <s v="Casey Wagner"/>
    <x v="1"/>
    <s v="Rs208.91"/>
    <s v="High"/>
    <x v="4"/>
    <n v="341"/>
    <s v="OK"/>
  </r>
  <r>
    <n v="1043"/>
    <s v="Angel Kelly"/>
    <n v="82"/>
    <s v="female"/>
    <d v="2025-12-15T00:00:00"/>
    <d v="2025-07-21T00:00:00"/>
    <s v="Stephanie Taylor"/>
    <x v="3"/>
    <s v="Rs426.86"/>
    <s v="High"/>
    <x v="2"/>
    <n v="147"/>
    <s v="OK"/>
  </r>
  <r>
    <n v="1056"/>
    <s v="Heather Baker"/>
    <n v="67"/>
    <s v="female"/>
    <d v="2025-09-13T00:00:00"/>
    <d v="2025-01-07T00:00:00"/>
    <s v="Andrew Thomas"/>
    <x v="1"/>
    <s v="£215.31"/>
    <s v="High"/>
    <x v="3"/>
    <n v="249"/>
    <s v="OK"/>
  </r>
  <r>
    <n v="1094"/>
    <s v="Stacy Cunningham"/>
    <n v="32"/>
    <s v="male"/>
    <d v="2026-03-09T00:00:00"/>
    <d v="2024-11-14T00:00:00"/>
    <s v="Laura Klein"/>
    <x v="3"/>
    <s v="£413.53"/>
    <s v="High"/>
    <x v="5"/>
    <n v="480"/>
    <s v="Review"/>
  </r>
  <r>
    <n v="1041"/>
    <s v="Nicole Shaw"/>
    <n v="20"/>
    <s v="male"/>
    <d v="2025-05-07T00:00:00"/>
    <d v="2025-01-19T00:00:00"/>
    <s v="Mr. Brian Morton"/>
    <x v="2"/>
    <s v=""/>
    <s v="High"/>
    <x v="1"/>
    <n v="108"/>
    <s v="OK"/>
  </r>
  <r>
    <n v="1071"/>
    <s v="Michele Park"/>
    <n v="46"/>
    <s v="0"/>
    <d v="2026-01-10T00:00:00"/>
    <d v="2024-11-01T00:00:00"/>
    <s v="Robert Sparks"/>
    <x v="3"/>
    <s v="£396.22"/>
    <s v="High"/>
    <x v="2"/>
    <n v="435"/>
    <s v="Review"/>
  </r>
  <r>
    <n v="1051"/>
    <s v="Leslie Silva"/>
    <n v="26"/>
    <s v="male"/>
    <d v="2025-06-07T00:00:00"/>
    <d v="2024-12-09T00:00:00"/>
    <s v="Thomas Brandt"/>
    <x v="1"/>
    <s v="$340.25"/>
    <s v="High"/>
    <x v="3"/>
    <n v="180"/>
    <s v="OK"/>
  </r>
  <r>
    <n v="1003"/>
    <s v="Katelyn Smith"/>
    <n v="19"/>
    <s v=""/>
    <d v="2025-10-16T00:00:00"/>
    <d v="2025-09-21T00:00:00"/>
    <s v="Robert Henry"/>
    <x v="2"/>
    <s v="$481.44"/>
    <s v="High"/>
    <x v="5"/>
    <n v="25"/>
    <s v="OK"/>
  </r>
  <r>
    <n v="1053"/>
    <s v="John Yang"/>
    <n v="37"/>
    <s v="1"/>
    <d v="2025-09-15T00:00:00"/>
    <d v="2024-05-09T00:00:00"/>
    <s v="Anthony Jensen"/>
    <x v="1"/>
    <s v="$442.77"/>
    <s v="High"/>
    <x v="5"/>
    <n v="494"/>
    <s v="Review"/>
  </r>
  <r>
    <n v="1052"/>
    <s v="Judy Blair"/>
    <n v="84"/>
    <s v="0"/>
    <d v="2025-09-08T00:00:00"/>
    <d v="2025-05-16T00:00:00"/>
    <s v="Kevin Benton"/>
    <x v="1"/>
    <s v="Rs175.63"/>
    <s v="High"/>
    <x v="5"/>
    <n v="115"/>
    <s v="OK"/>
  </r>
  <r>
    <n v="1018"/>
    <s v="Jennifer Long"/>
    <n v="55"/>
    <s v="F"/>
    <d v="2026-03-01T00:00:00"/>
    <d v="2024-06-03T00:00:00"/>
    <s v="Thomas Hernandez"/>
    <x v="2"/>
    <s v="€320.66"/>
    <s v="High"/>
    <x v="5"/>
    <n v="636"/>
    <s v="Review"/>
  </r>
  <r>
    <n v="1001"/>
    <s v="Melanie Gibson"/>
    <n v="50"/>
    <s v="male"/>
    <d v="2025-08-17T00:00:00"/>
    <d v="2024-09-23T00:00:00"/>
    <s v="Alison Stanton"/>
    <x v="1"/>
    <s v="$268.14"/>
    <s v="High"/>
    <x v="3"/>
    <n v="328"/>
    <s v="OK"/>
  </r>
  <r>
    <n v="1060"/>
    <s v="Amanda Jones"/>
    <n v="61"/>
    <s v="1"/>
    <d v="2025-11-19T00:00:00"/>
    <d v="2024-04-28T00:00:00"/>
    <s v="Christopher Morris"/>
    <x v="3"/>
    <s v="€499.75"/>
    <s v="High"/>
    <x v="1"/>
    <n v="570"/>
    <s v="Review"/>
  </r>
  <r>
    <n v="1055"/>
    <s v="Donna West"/>
    <n v="35"/>
    <s v="male"/>
    <d v="2025-05-24T00:00:00"/>
    <d v="2024-07-18T00:00:00"/>
    <s v="Troy Hill"/>
    <x v="1"/>
    <s v="Rs452.11"/>
    <s v="High"/>
    <x v="0"/>
    <n v="310"/>
    <s v="OK"/>
  </r>
  <r>
    <n v="1063"/>
    <s v="Edward Sanders"/>
    <n v="29"/>
    <s v=""/>
    <d v="2025-09-16T00:00:00"/>
    <d v="2025-04-29T00:00:00"/>
    <s v="Steven Bailey"/>
    <x v="1"/>
    <s v="Rs479.77"/>
    <s v="High"/>
    <x v="5"/>
    <n v="140"/>
    <s v="OK"/>
  </r>
  <r>
    <n v="1069"/>
    <s v="Michael Levine"/>
    <n v="72"/>
    <s v="0"/>
    <d v="2025-08-11T00:00:00"/>
    <d v="2024-04-01T00:00:00"/>
    <s v="Janet Ray"/>
    <x v="2"/>
    <s v="£213.35"/>
    <s v="High"/>
    <x v="1"/>
    <n v="497"/>
    <s v="Review"/>
  </r>
  <r>
    <n v="1095"/>
    <s v="Loretta Richardson"/>
    <n v="29"/>
    <s v="0"/>
    <d v="2025-08-22T00:00:00"/>
    <d v="2025-04-25T00:00:00"/>
    <s v="Shane Jackson"/>
    <x v="2"/>
    <s v="Rs120.34"/>
    <s v="High"/>
    <x v="3"/>
    <n v="119"/>
    <s v="OK"/>
  </r>
  <r>
    <n v="1005"/>
    <s v="Kathleen Jones"/>
    <n v="49"/>
    <s v="1"/>
    <d v="2025-06-12T00:00:00"/>
    <d v="2024-08-11T00:00:00"/>
    <s v="Diana Baker"/>
    <x v="0"/>
    <s v="Rs135.43"/>
    <s v="High"/>
    <x v="4"/>
    <n v="305"/>
    <s v="OK"/>
  </r>
  <r>
    <n v="1001"/>
    <s v="Michael Allen"/>
    <n v="64"/>
    <s v="female"/>
    <d v="2025-07-29T00:00:00"/>
    <d v="2024-06-08T00:00:00"/>
    <s v="Brian Osborne DVM"/>
    <x v="1"/>
    <s v="€214.44"/>
    <s v="High"/>
    <x v="4"/>
    <n v="416"/>
    <s v="Review"/>
  </r>
  <r>
    <n v="1024"/>
    <s v="Kari Jackson"/>
    <n v="34"/>
    <s v="female"/>
    <d v="2025-10-01T00:00:00"/>
    <d v="2024-10-13T00:00:00"/>
    <s v="Jeremiah Rose"/>
    <x v="1"/>
    <s v="Rs376.08"/>
    <s v="High"/>
    <x v="2"/>
    <n v="353"/>
    <s v="OK"/>
  </r>
  <r>
    <n v="1016"/>
    <s v="Kim Allen"/>
    <n v="35"/>
    <s v="0"/>
    <d v="2025-12-30T00:00:00"/>
    <d v="2025-03-31T00:00:00"/>
    <s v="Nancy Levine MD"/>
    <x v="1"/>
    <s v="€343.51"/>
    <s v="High"/>
    <x v="0"/>
    <n v="274"/>
    <s v="OK"/>
  </r>
  <r>
    <n v="1040"/>
    <s v="Regina Wilson"/>
    <n v="26"/>
    <s v="male"/>
    <d v="2025-08-14T00:00:00"/>
    <d v="2024-06-03T00:00:00"/>
    <s v="Jenny Zuniga"/>
    <x v="0"/>
    <s v="Rs185.66"/>
    <s v="High"/>
    <x v="3"/>
    <n v="437"/>
    <s v="Review"/>
  </r>
  <r>
    <n v="1042"/>
    <s v="Samantha Mosley"/>
    <n v="30"/>
    <s v="1"/>
    <d v="2025-12-05T00:00:00"/>
    <d v="2024-09-03T00:00:00"/>
    <s v="Thomas Thomas"/>
    <x v="2"/>
    <s v="€200.01"/>
    <s v="High"/>
    <x v="1"/>
    <n v="458"/>
    <s v="Review"/>
  </r>
  <r>
    <n v="1015"/>
    <s v="Kathleen Porter"/>
    <n v="66"/>
    <s v="male"/>
    <d v="2026-01-28T00:00:00"/>
    <d v="2025-05-06T00:00:00"/>
    <s v="Christine Calhoun"/>
    <x v="2"/>
    <s v="$367.06"/>
    <s v="High"/>
    <x v="5"/>
    <n v="267"/>
    <s v="OK"/>
  </r>
  <r>
    <n v="1053"/>
    <s v="Cheryl Michael"/>
    <n v="49"/>
    <s v="male"/>
    <d v="2025-08-06T00:00:00"/>
    <d v="2025-03-23T00:00:00"/>
    <s v="Thomas Bennett"/>
    <x v="2"/>
    <s v="Rs393.4"/>
    <s v="High"/>
    <x v="0"/>
    <n v="136"/>
    <s v="OK"/>
  </r>
  <r>
    <n v="1063"/>
    <s v="Lawrence Rios"/>
    <n v="62"/>
    <s v="female"/>
    <d v="2026-01-10T00:00:00"/>
    <d v="2024-12-11T00:00:00"/>
    <s v="Christopher Lee"/>
    <x v="2"/>
    <s v="£387.4"/>
    <s v="High"/>
    <x v="5"/>
    <n v="395"/>
    <s v="Review"/>
  </r>
  <r>
    <n v="1068"/>
    <s v="Vanessa Jones"/>
    <n v="63"/>
    <s v="F"/>
    <d v="2025-11-09T00:00:00"/>
    <d v="2025-09-10T00:00:00"/>
    <s v="Courtney Knight"/>
    <x v="1"/>
    <s v="$169.25"/>
    <s v="High"/>
    <x v="3"/>
    <n v="60"/>
    <s v="OK"/>
  </r>
  <r>
    <n v="1006"/>
    <s v="Tiffany Burke"/>
    <n v="48"/>
    <s v="0"/>
    <d v="2025-07-09T00:00:00"/>
    <d v="2025-04-03T00:00:00"/>
    <s v="Charles Lopez"/>
    <x v="2"/>
    <s v="$274.81"/>
    <s v="High"/>
    <x v="0"/>
    <n v="97"/>
    <s v="OK"/>
  </r>
  <r>
    <n v="1047"/>
    <s v="Joseph Church"/>
    <n v="87"/>
    <s v="male"/>
    <d v="2025-08-05T00:00:00"/>
    <d v="2025-02-03T00:00:00"/>
    <s v="Ricky Velazquez"/>
    <x v="1"/>
    <s v="Rs68.81"/>
    <s v="High"/>
    <x v="0"/>
    <n v="183"/>
    <s v="OK"/>
  </r>
  <r>
    <n v="1095"/>
    <s v="Heather Jackson"/>
    <n v="58"/>
    <s v="female"/>
    <d v="2025-06-04T00:00:00"/>
    <d v="2025-01-26T00:00:00"/>
    <s v="Todd Silva"/>
    <x v="2"/>
    <s v="Rs365.13"/>
    <s v="High"/>
    <x v="5"/>
    <n v="129"/>
    <s v="OK"/>
  </r>
  <r>
    <n v="1009"/>
    <s v="Adam Sanders"/>
    <n v="63"/>
    <s v="male"/>
    <d v="2025-08-08T00:00:00"/>
    <d v="2025-05-24T00:00:00"/>
    <s v="Patrick Floyd"/>
    <x v="3"/>
    <s v="$466.97"/>
    <s v="High"/>
    <x v="3"/>
    <n v="76"/>
    <s v="OK"/>
  </r>
  <r>
    <n v="1078"/>
    <s v="Edward Perry"/>
    <n v="54"/>
    <s v="0"/>
    <d v="2025-12-09T00:00:00"/>
    <d v="2025-07-12T00:00:00"/>
    <s v="James Miller"/>
    <x v="3"/>
    <s v="Rs484.52"/>
    <s v="High"/>
    <x v="2"/>
    <n v="150"/>
    <s v="OK"/>
  </r>
  <r>
    <n v="1019"/>
    <s v="Bonnie Boone"/>
    <n v="35"/>
    <s v="F"/>
    <d v="2025-11-24T00:00:00"/>
    <d v="2024-11-05T00:00:00"/>
    <s v="Lorraine Figueroa"/>
    <x v="1"/>
    <s v="€114.45"/>
    <s v="High"/>
    <x v="3"/>
    <n v="384"/>
    <s v="Review"/>
  </r>
  <r>
    <n v="1021"/>
    <s v="Robert Brown"/>
    <n v="39"/>
    <s v="M"/>
    <d v="2025-06-28T00:00:00"/>
    <d v="2024-03-27T00:00:00"/>
    <s v="Jamie Sosa"/>
    <x v="3"/>
    <s v="€195.21"/>
    <s v="High"/>
    <x v="0"/>
    <n v="458"/>
    <s v="Review"/>
  </r>
  <r>
    <n v="1018"/>
    <s v="Matthew Cross"/>
    <n v="78"/>
    <s v="1"/>
    <d v="2025-07-31T00:00:00"/>
    <d v="2025-06-24T00:00:00"/>
    <s v="Connie Wood"/>
    <x v="3"/>
    <s v="$149.8"/>
    <s v="High"/>
    <x v="0"/>
    <n v="37"/>
    <s v="OK"/>
  </r>
  <r>
    <n v="1077"/>
    <s v="Jennifer Stark"/>
    <n v="34"/>
    <s v=""/>
    <d v="2025-06-29T00:00:00"/>
    <d v="2024-12-04T00:00:00"/>
    <s v="Jason Williams"/>
    <x v="2"/>
    <s v="Rs270.33"/>
    <s v="High"/>
    <x v="4"/>
    <n v="207"/>
    <s v="OK"/>
  </r>
  <r>
    <n v="1063"/>
    <s v="Jordan Camacho Jr."/>
    <n v="21"/>
    <s v="male"/>
    <d v="2025-11-12T00:00:00"/>
    <d v="2025-06-30T00:00:00"/>
    <s v="Alexis Carter"/>
    <x v="2"/>
    <s v="$186.24"/>
    <s v="High"/>
    <x v="3"/>
    <n v="135"/>
    <s v="OK"/>
  </r>
  <r>
    <n v="1015"/>
    <s v="Elizabeth Bryant"/>
    <n v="37"/>
    <s v="0"/>
    <d v="2025-07-19T00:00:00"/>
    <d v="2024-06-10T00:00:00"/>
    <s v="Rebecca Kim"/>
    <x v="1"/>
    <s v="Rs425.63"/>
    <s v="High"/>
    <x v="2"/>
    <n v="404"/>
    <s v="Review"/>
  </r>
  <r>
    <n v="1068"/>
    <s v="Matthew Valdez"/>
    <n v="60"/>
    <s v="1"/>
    <d v="2026-02-19T00:00:00"/>
    <d v="2024-11-13T00:00:00"/>
    <s v="Rachel Terry"/>
    <x v="2"/>
    <s v="£91.77"/>
    <s v="High"/>
    <x v="0"/>
    <n v="463"/>
    <s v="Review"/>
  </r>
  <r>
    <n v="1010"/>
    <s v="Richard Woodard"/>
    <n v="38"/>
    <s v="female"/>
    <d v="2026-02-11T00:00:00"/>
    <d v="2025-09-28T00:00:00"/>
    <s v="Whitney Hoffman"/>
    <x v="1"/>
    <s v="€91.27"/>
    <s v="High"/>
    <x v="4"/>
    <n v="136"/>
    <s v="OK"/>
  </r>
  <r>
    <n v="1034"/>
    <s v="Chad Reed"/>
    <n v="68"/>
    <s v="male"/>
    <d v="2025-07-05T00:00:00"/>
    <d v="2025-01-23T00:00:00"/>
    <s v="Jennifer Adams"/>
    <x v="2"/>
    <s v="£453.06"/>
    <s v="High"/>
    <x v="4"/>
    <n v="163"/>
    <s v="OK"/>
  </r>
  <r>
    <n v="1095"/>
    <s v="Jessica Heath"/>
    <n v="86"/>
    <s v=""/>
    <d v="2025-06-25T00:00:00"/>
    <d v="2024-04-24T00:00:00"/>
    <s v="Sherri Long"/>
    <x v="0"/>
    <s v="€61.37"/>
    <s v="High"/>
    <x v="3"/>
    <n v="427"/>
    <s v="Review"/>
  </r>
  <r>
    <n v="1070"/>
    <s v="Clayton Williamson"/>
    <n v="85"/>
    <s v="1"/>
    <d v="2025-09-10T00:00:00"/>
    <d v="2024-08-20T00:00:00"/>
    <s v="Glen Diaz"/>
    <x v="2"/>
    <s v="$185.52"/>
    <s v="High"/>
    <x v="2"/>
    <n v="386"/>
    <s v="Review"/>
  </r>
  <r>
    <n v="1099"/>
    <s v="Timothy Walter"/>
    <n v="28"/>
    <s v="F"/>
    <d v="2025-07-21T00:00:00"/>
    <d v="2025-07-14T00:00:00"/>
    <s v="Miss Julie Rodriguez"/>
    <x v="2"/>
    <s v="£112.48"/>
    <s v="High"/>
    <x v="1"/>
    <n v="7"/>
    <s v="OK"/>
  </r>
  <r>
    <n v="1022"/>
    <s v="Katelyn Miller"/>
    <n v="23"/>
    <s v="female"/>
    <d v="2026-02-19T00:00:00"/>
    <d v="2024-09-16T00:00:00"/>
    <s v="Andrea Cruz"/>
    <x v="1"/>
    <s v="$382.34"/>
    <s v="High"/>
    <x v="3"/>
    <n v="521"/>
    <s v="Review"/>
  </r>
  <r>
    <n v="1095"/>
    <s v="Elizabeth Decker"/>
    <n v="86"/>
    <s v="F"/>
    <d v="2025-10-22T00:00:00"/>
    <d v="2025-07-19T00:00:00"/>
    <s v="Brandi Hale"/>
    <x v="1"/>
    <s v="Rs168.18"/>
    <s v="High"/>
    <x v="3"/>
    <n v="95"/>
    <s v="OK"/>
  </r>
  <r>
    <n v="1061"/>
    <s v="Jessica Smith"/>
    <n v="66"/>
    <s v="female"/>
    <d v="2025-08-20T00:00:00"/>
    <d v="2025-03-08T00:00:00"/>
    <s v="Crystal Mack"/>
    <x v="2"/>
    <s v=""/>
    <s v="High"/>
    <x v="3"/>
    <n v="165"/>
    <s v="OK"/>
  </r>
  <r>
    <n v="1088"/>
    <s v="James Johnston"/>
    <n v="22"/>
    <s v="male"/>
    <d v="2025-11-02T00:00:00"/>
    <d v="2025-04-24T00:00:00"/>
    <s v="Drew Bartlett"/>
    <x v="3"/>
    <s v="$206.53"/>
    <s v="High"/>
    <x v="0"/>
    <n v="192"/>
    <s v="OK"/>
  </r>
  <r>
    <n v="1008"/>
    <s v="Christine Price"/>
    <n v="69"/>
    <s v="F"/>
    <d v="2025-10-01T00:00:00"/>
    <d v="2024-05-23T00:00:00"/>
    <s v="Susan Brown"/>
    <x v="1"/>
    <s v="$258.21"/>
    <s v="High"/>
    <x v="5"/>
    <n v="496"/>
    <s v="Review"/>
  </r>
  <r>
    <n v="1014"/>
    <s v="Amy Mayer"/>
    <n v="26"/>
    <s v="0"/>
    <d v="2025-09-28T00:00:00"/>
    <d v="2024-07-08T00:00:00"/>
    <s v="Jim Patterson"/>
    <x v="0"/>
    <s v="€253.4"/>
    <s v="High"/>
    <x v="0"/>
    <n v="447"/>
    <s v="Review"/>
  </r>
  <r>
    <n v="1005"/>
    <s v="Samuel Moore"/>
    <n v="69"/>
    <s v="M"/>
    <d v="2026-03-02T00:00:00"/>
    <d v="2024-11-21T00:00:00"/>
    <s v="Heather Everett"/>
    <x v="3"/>
    <s v="Rs83.09"/>
    <s v="High"/>
    <x v="0"/>
    <n v="466"/>
    <s v="Review"/>
  </r>
  <r>
    <n v="1098"/>
    <s v="Jamie Mcclure"/>
    <n v="35"/>
    <s v="female"/>
    <d v="2026-03-13T00:00:00"/>
    <d v="2025-07-27T00:00:00"/>
    <s v="Katherine Sanders"/>
    <x v="1"/>
    <s v="$80.38"/>
    <s v="High"/>
    <x v="0"/>
    <n v="229"/>
    <s v="OK"/>
  </r>
  <r>
    <n v="1074"/>
    <s v="Luke Price"/>
    <n v="23"/>
    <s v="0"/>
    <d v="2025-12-13T00:00:00"/>
    <d v="2025-06-18T00:00:00"/>
    <s v="Virginia Lang"/>
    <x v="1"/>
    <s v="Rs260.4"/>
    <s v="High"/>
    <x v="1"/>
    <n v="178"/>
    <s v="OK"/>
  </r>
  <r>
    <n v="1097"/>
    <s v="Luis Rodriguez"/>
    <n v="50"/>
    <s v="M"/>
    <d v="2025-11-23T00:00:00"/>
    <d v="2025-09-24T00:00:00"/>
    <s v="Samantha Bass MD"/>
    <x v="1"/>
    <s v="$294.58"/>
    <s v="High"/>
    <x v="0"/>
    <n v="60"/>
    <s v="OK"/>
  </r>
  <r>
    <n v="1047"/>
    <s v="Pamela Brown"/>
    <n v="40"/>
    <s v="M"/>
    <d v="2026-02-25T00:00:00"/>
    <d v="2025-06-01T00:00:00"/>
    <s v="Melinda Duncan"/>
    <x v="1"/>
    <s v="$247.13"/>
    <s v="High"/>
    <x v="3"/>
    <n v="269"/>
    <s v="OK"/>
  </r>
  <r>
    <n v="1093"/>
    <s v="Craig Nixon"/>
    <n v="55"/>
    <s v=""/>
    <d v="2025-10-12T00:00:00"/>
    <d v="2025-08-20T00:00:00"/>
    <s v="William Key"/>
    <x v="2"/>
    <s v="£341.19"/>
    <s v="High"/>
    <x v="2"/>
    <n v="53"/>
    <s v="OK"/>
  </r>
  <r>
    <n v="1044"/>
    <s v="Justin Caldwell"/>
    <n v="57"/>
    <s v="0"/>
    <d v="2025-05-09T00:00:00"/>
    <d v="2024-12-18T00:00:00"/>
    <s v="Ronnie Miller"/>
    <x v="1"/>
    <s v="Rs383.69"/>
    <s v="High"/>
    <x v="4"/>
    <n v="142"/>
    <s v="OK"/>
  </r>
  <r>
    <n v="1050"/>
    <s v="Cassandra Collins"/>
    <n v="60"/>
    <s v="1"/>
    <d v="2025-10-03T00:00:00"/>
    <d v="2025-08-26T00:00:00"/>
    <s v="Mark Lutz"/>
    <x v="3"/>
    <s v="€243.78"/>
    <s v="High"/>
    <x v="1"/>
    <n v="38"/>
    <s v="OK"/>
  </r>
  <r>
    <n v="1100"/>
    <s v="Adam Torres"/>
    <n v="58"/>
    <s v="M"/>
    <d v="2025-07-03T00:00:00"/>
    <d v="2024-08-25T00:00:00"/>
    <s v="Daniel Le"/>
    <x v="2"/>
    <s v="Rs329.25"/>
    <s v="High"/>
    <x v="2"/>
    <n v="312"/>
    <s v="OK"/>
  </r>
  <r>
    <n v="1095"/>
    <s v="Carol Foster"/>
    <n v="61"/>
    <s v="male"/>
    <d v="2025-10-19T00:00:00"/>
    <d v="2025-08-22T00:00:00"/>
    <s v="Bryan Mann"/>
    <x v="2"/>
    <s v="€389.37"/>
    <s v="High"/>
    <x v="5"/>
    <n v="58"/>
    <s v="OK"/>
  </r>
  <r>
    <n v="1088"/>
    <s v="Chelsey Moore"/>
    <n v="34"/>
    <s v="female"/>
    <d v="2025-10-12T00:00:00"/>
    <d v="2025-01-15T00:00:00"/>
    <s v="Randy Garrett"/>
    <x v="0"/>
    <s v="£344.56"/>
    <s v="High"/>
    <x v="3"/>
    <n v="270"/>
    <s v="OK"/>
  </r>
  <r>
    <n v="1027"/>
    <s v="John Hensley"/>
    <n v="35"/>
    <s v="M"/>
    <d v="2025-09-23T00:00:00"/>
    <d v="2024-07-15T00:00:00"/>
    <s v="Paul Tate"/>
    <x v="1"/>
    <s v="Rs289.07"/>
    <s v="High"/>
    <x v="0"/>
    <n v="435"/>
    <s v="Review"/>
  </r>
  <r>
    <n v="1040"/>
    <s v="Chelsea Burns"/>
    <n v="62"/>
    <s v=""/>
    <d v="2025-12-29T00:00:00"/>
    <d v="2024-05-13T00:00:00"/>
    <s v="Michael Morales"/>
    <x v="0"/>
    <s v="Rs193.6"/>
    <s v="High"/>
    <x v="3"/>
    <n v="595"/>
    <s v="Review"/>
  </r>
  <r>
    <n v="1099"/>
    <s v="Ryan Miller"/>
    <n v="31"/>
    <s v="male"/>
    <d v="2025-07-11T00:00:00"/>
    <d v="2025-03-19T00:00:00"/>
    <s v="Alexa Peterson"/>
    <x v="1"/>
    <s v="Rs259.72"/>
    <s v="High"/>
    <x v="3"/>
    <n v="114"/>
    <s v="OK"/>
  </r>
  <r>
    <n v="1070"/>
    <s v="Jared Green"/>
    <n v="28"/>
    <s v="female"/>
    <d v="2025-10-08T00:00:00"/>
    <d v="2025-05-10T00:00:00"/>
    <s v="Brenda Castro"/>
    <x v="2"/>
    <s v="€235.69"/>
    <s v="High"/>
    <x v="2"/>
    <n v="151"/>
    <s v="OK"/>
  </r>
  <r>
    <n v="1058"/>
    <s v="Traci Chandler"/>
    <n v="18"/>
    <s v="female"/>
    <d v="2026-02-04T00:00:00"/>
    <d v="2024-12-10T00:00:00"/>
    <s v="Tyler Carter"/>
    <x v="3"/>
    <s v="€428.75"/>
    <s v="High"/>
    <x v="2"/>
    <n v="421"/>
    <s v="Review"/>
  </r>
  <r>
    <n v="1040"/>
    <s v="Kenneth Graham"/>
    <n v="34"/>
    <s v="0"/>
    <d v="2025-10-31T00:00:00"/>
    <d v="2025-03-19T00:00:00"/>
    <s v="Wayne Graham"/>
    <x v="2"/>
    <s v="$142.32"/>
    <s v="High"/>
    <x v="5"/>
    <n v="226"/>
    <s v="OK"/>
  </r>
  <r>
    <n v="1018"/>
    <s v="Angela Watkins"/>
    <n v="34"/>
    <s v="female"/>
    <d v="2025-12-25T00:00:00"/>
    <d v="2024-09-12T00:00:00"/>
    <s v="Kyle Russell"/>
    <x v="0"/>
    <s v="£109.31"/>
    <s v="High"/>
    <x v="2"/>
    <n v="469"/>
    <s v="Review"/>
  </r>
  <r>
    <n v="1052"/>
    <s v="Keith Becker"/>
    <n v="60"/>
    <s v="female"/>
    <d v="2025-11-07T00:00:00"/>
    <d v="2024-08-28T00:00:00"/>
    <s v="Kristopher Collier"/>
    <x v="3"/>
    <s v=""/>
    <s v="High"/>
    <x v="1"/>
    <n v="436"/>
    <s v="Review"/>
  </r>
  <r>
    <n v="1031"/>
    <s v="Nicole Hoffman"/>
    <n v="65"/>
    <s v="female"/>
    <d v="2025-06-08T00:00:00"/>
    <d v="2025-01-14T00:00:00"/>
    <s v="Robert Mitchell"/>
    <x v="3"/>
    <s v="$325.25"/>
    <s v="High"/>
    <x v="5"/>
    <n v="145"/>
    <s v="OK"/>
  </r>
  <r>
    <n v="1028"/>
    <s v="Hannah Perez"/>
    <n v="21"/>
    <s v="female"/>
    <d v="2025-11-07T00:00:00"/>
    <d v="2025-07-27T00:00:00"/>
    <s v="Rita Smith"/>
    <x v="2"/>
    <s v="£111.92"/>
    <s v="High"/>
    <x v="4"/>
    <n v="103"/>
    <s v="OK"/>
  </r>
  <r>
    <n v="1089"/>
    <s v="Amanda Fuller"/>
    <n v="56"/>
    <s v="male"/>
    <d v="2026-02-18T00:00:00"/>
    <d v="2024-12-08T00:00:00"/>
    <s v="Anthony Cruz"/>
    <x v="1"/>
    <s v="$347.68"/>
    <s v="High"/>
    <x v="0"/>
    <n v="437"/>
    <s v="Review"/>
  </r>
  <r>
    <n v="1092"/>
    <s v="Tina Lewis"/>
    <n v="40"/>
    <s v="female"/>
    <d v="2026-02-10T00:00:00"/>
    <d v="2025-12-18T00:00:00"/>
    <s v="Derrick Salazar"/>
    <x v="2"/>
    <s v="£59.67"/>
    <s v="High"/>
    <x v="3"/>
    <n v="54"/>
    <s v="OK"/>
  </r>
  <r>
    <n v="1088"/>
    <s v="Sarah Hahn"/>
    <n v="60"/>
    <s v=""/>
    <d v="2026-03-19T00:00:00"/>
    <d v="2024-10-18T00:00:00"/>
    <s v="Theresa Lee"/>
    <x v="3"/>
    <s v="Rs123.03"/>
    <s v="High"/>
    <x v="3"/>
    <n v="517"/>
    <s v="Review"/>
  </r>
  <r>
    <n v="1058"/>
    <s v="Destiny Martin"/>
    <n v="24"/>
    <s v="female"/>
    <d v="2026-02-16T00:00:00"/>
    <d v="2025-08-26T00:00:00"/>
    <s v="Lynn Jones"/>
    <x v="3"/>
    <s v="Rs420.58"/>
    <s v="High"/>
    <x v="5"/>
    <n v="174"/>
    <s v="OK"/>
  </r>
  <r>
    <n v="1078"/>
    <s v="Megan Mitchell"/>
    <n v="69"/>
    <s v="1"/>
    <d v="2025-11-27T00:00:00"/>
    <d v="2024-05-18T00:00:00"/>
    <s v="Desiree Giles"/>
    <x v="1"/>
    <s v="€351.17"/>
    <s v="High"/>
    <x v="2"/>
    <n v="558"/>
    <s v="Review"/>
  </r>
  <r>
    <n v="1027"/>
    <s v="Benjamin Hughes"/>
    <n v="32"/>
    <s v="F"/>
    <d v="2026-03-02T00:00:00"/>
    <d v="2025-12-17T00:00:00"/>
    <s v="Nicholas Mcneil"/>
    <x v="0"/>
    <s v="£125.31"/>
    <s v="High"/>
    <x v="0"/>
    <n v="75"/>
    <s v="OK"/>
  </r>
  <r>
    <n v="1062"/>
    <s v="John Anderson"/>
    <n v="60"/>
    <s v="male"/>
    <d v="2026-01-27T00:00:00"/>
    <d v="2026-01-18T00:00:00"/>
    <s v="Paul Blackburn"/>
    <x v="0"/>
    <s v="€253.42"/>
    <s v="High"/>
    <x v="2"/>
    <n v="9"/>
    <s v="OK"/>
  </r>
  <r>
    <n v="1015"/>
    <s v="Chelsea Matthews"/>
    <n v="68"/>
    <s v="F"/>
    <d v="2025-12-07T00:00:00"/>
    <d v="2025-03-24T00:00:00"/>
    <s v="Elizabeth Obrien"/>
    <x v="1"/>
    <s v="€359.78"/>
    <s v="High"/>
    <x v="1"/>
    <n v="258"/>
    <s v="OK"/>
  </r>
  <r>
    <n v="1018"/>
    <s v="Monica Horton"/>
    <n v="53"/>
    <s v=""/>
    <d v="2025-10-11T00:00:00"/>
    <d v="2024-03-30T00:00:00"/>
    <s v="Kayla Stein"/>
    <x v="2"/>
    <s v="$277.21"/>
    <s v="High"/>
    <x v="3"/>
    <n v="560"/>
    <s v="Review"/>
  </r>
  <r>
    <n v="1061"/>
    <s v="Joanna Tucker"/>
    <n v="18"/>
    <s v="male"/>
    <d v="2026-03-22T00:00:00"/>
    <d v="2024-10-05T00:00:00"/>
    <s v="Andrew Gray"/>
    <x v="2"/>
    <s v="£84.69"/>
    <s v="High"/>
    <x v="2"/>
    <n v="533"/>
    <s v="Review"/>
  </r>
  <r>
    <n v="1013"/>
    <s v="Dr. Peggy Mendoza"/>
    <n v="60"/>
    <s v="0"/>
    <d v="2025-04-12T00:00:00"/>
    <d v="2025-01-23T00:00:00"/>
    <s v="Ashley Flowers"/>
    <x v="2"/>
    <s v="€96.94"/>
    <s v="High"/>
    <x v="3"/>
    <n v="79"/>
    <s v="OK"/>
  </r>
  <r>
    <n v="1087"/>
    <s v="Victoria Gomez"/>
    <n v="72"/>
    <s v="female"/>
    <d v="2025-06-26T00:00:00"/>
    <d v="2025-05-19T00:00:00"/>
    <s v="Nicole Chandler"/>
    <x v="3"/>
    <s v="Rs205.35"/>
    <s v="High"/>
    <x v="0"/>
    <n v="38"/>
    <s v="OK"/>
  </r>
  <r>
    <n v="1090"/>
    <s v="Daniel Rivera"/>
    <n v="63"/>
    <s v="F"/>
    <d v="2025-12-28T00:00:00"/>
    <d v="2025-12-22T00:00:00"/>
    <s v="Morgan Green"/>
    <x v="2"/>
    <s v="Rs155.42"/>
    <s v="High"/>
    <x v="1"/>
    <n v="6"/>
    <s v="OK"/>
  </r>
  <r>
    <n v="1086"/>
    <s v="Harry Wallace"/>
    <n v="80"/>
    <s v="female"/>
    <d v="2025-12-01T00:00:00"/>
    <d v="2024-10-28T00:00:00"/>
    <s v="Nancy Hernandez"/>
    <x v="1"/>
    <s v="$493.0"/>
    <s v="High"/>
    <x v="3"/>
    <n v="399"/>
    <s v="Review"/>
  </r>
  <r>
    <n v="1047"/>
    <s v="Alicia Scott"/>
    <n v="39"/>
    <s v="M"/>
    <d v="2025-11-22T00:00:00"/>
    <d v="2024-11-14T00:00:00"/>
    <s v="William Cochran"/>
    <x v="2"/>
    <s v="$243.15"/>
    <s v="High"/>
    <x v="5"/>
    <n v="373"/>
    <s v="Review"/>
  </r>
  <r>
    <n v="1014"/>
    <s v="Melissa Lane"/>
    <n v="81"/>
    <s v="female"/>
    <d v="2025-06-01T00:00:00"/>
    <d v="2024-08-19T00:00:00"/>
    <s v="Vanessa Pittman"/>
    <x v="0"/>
    <s v="€122.6"/>
    <s v="High"/>
    <x v="4"/>
    <n v="286"/>
    <s v="OK"/>
  </r>
  <r>
    <n v="1047"/>
    <s v="Olivia Lambert"/>
    <n v="38"/>
    <s v="M"/>
    <d v="2025-12-15T00:00:00"/>
    <d v="2024-12-25T00:00:00"/>
    <s v="Melanie Blanchard"/>
    <x v="0"/>
    <s v="£100.34"/>
    <s v="High"/>
    <x v="1"/>
    <n v="355"/>
    <s v="OK"/>
  </r>
  <r>
    <n v="1073"/>
    <s v="Russell Taylor"/>
    <n v="38"/>
    <s v="0"/>
    <d v="2025-11-29T00:00:00"/>
    <d v="2025-07-11T00:00:00"/>
    <s v="Breanna Gray"/>
    <x v="1"/>
    <s v="Rs335.07"/>
    <s v="High"/>
    <x v="4"/>
    <n v="141"/>
    <s v="OK"/>
  </r>
  <r>
    <n v="1093"/>
    <s v="Joshua Sanchez DDS"/>
    <n v="79"/>
    <s v="female"/>
    <d v="2025-03-29T00:00:00"/>
    <d v="2024-06-27T00:00:00"/>
    <s v="George Flores"/>
    <x v="1"/>
    <s v="£154.29"/>
    <s v="High"/>
    <x v="1"/>
    <n v="275"/>
    <s v="OK"/>
  </r>
  <r>
    <n v="1027"/>
    <s v="Kayla Drake"/>
    <n v="54"/>
    <s v="female"/>
    <d v="2025-12-27T00:00:00"/>
    <d v="2025-05-27T00:00:00"/>
    <s v="Jennifer Long DDS"/>
    <x v="1"/>
    <s v="$412.07"/>
    <s v="High"/>
    <x v="5"/>
    <n v="214"/>
    <s v="OK"/>
  </r>
  <r>
    <n v="1037"/>
    <s v="Karen Carter"/>
    <n v="22"/>
    <s v="female"/>
    <d v="2026-02-28T00:00:00"/>
    <d v="2025-03-22T00:00:00"/>
    <s v="Chase Clark"/>
    <x v="2"/>
    <s v="Rs401.33"/>
    <s v="High"/>
    <x v="0"/>
    <n v="343"/>
    <s v="OK"/>
  </r>
  <r>
    <n v="1021"/>
    <s v="Andrew Baker"/>
    <n v="27"/>
    <s v="0"/>
    <d v="2025-05-04T00:00:00"/>
    <d v="2024-07-11T00:00:00"/>
    <s v="Michael Gillespie"/>
    <x v="3"/>
    <s v="$486.57"/>
    <s v="High"/>
    <x v="0"/>
    <n v="297"/>
    <s v="OK"/>
  </r>
  <r>
    <n v="1007"/>
    <s v="Richard Hernandez"/>
    <n v="20"/>
    <s v="male"/>
    <d v="2025-11-16T00:00:00"/>
    <d v="2025-09-18T00:00:00"/>
    <s v="Daniel Bradley"/>
    <x v="3"/>
    <s v="£482.25"/>
    <s v="High"/>
    <x v="5"/>
    <n v="59"/>
    <s v="OK"/>
  </r>
  <r>
    <n v="1043"/>
    <s v="Matthew Rivera"/>
    <n v="31"/>
    <s v="1"/>
    <d v="2025-07-03T00:00:00"/>
    <d v="2025-04-26T00:00:00"/>
    <s v="Theodore Bean"/>
    <x v="1"/>
    <s v="€255.82"/>
    <s v="High"/>
    <x v="4"/>
    <n v="68"/>
    <s v="OK"/>
  </r>
  <r>
    <n v="1081"/>
    <s v="Benjamin Jenkins"/>
    <n v="86"/>
    <s v="1"/>
    <d v="2025-07-23T00:00:00"/>
    <d v="2025-04-22T00:00:00"/>
    <s v="Michael Bond"/>
    <x v="3"/>
    <s v="€258.12"/>
    <s v="High"/>
    <x v="2"/>
    <n v="92"/>
    <s v="OK"/>
  </r>
  <r>
    <n v="1053"/>
    <s v="John Johnson"/>
    <n v="81"/>
    <s v=""/>
    <d v="2025-04-23T00:00:00"/>
    <d v="2024-12-30T00:00:00"/>
    <s v="Steve Bush"/>
    <x v="3"/>
    <s v="$162.94"/>
    <s v="High"/>
    <x v="4"/>
    <n v="114"/>
    <s v="OK"/>
  </r>
  <r>
    <n v="1035"/>
    <s v="Martha Zavala"/>
    <n v="58"/>
    <s v="M"/>
    <d v="2026-01-23T00:00:00"/>
    <d v="2024-04-14T00:00:00"/>
    <s v="Penny Freeman"/>
    <x v="0"/>
    <s v="£153.05"/>
    <s v="High"/>
    <x v="1"/>
    <n v="649"/>
    <s v="Review"/>
  </r>
  <r>
    <n v="1036"/>
    <s v="Daniel Ballard"/>
    <n v="38"/>
    <s v="1"/>
    <d v="2025-03-26T00:00:00"/>
    <d v="2025-03-02T00:00:00"/>
    <s v="Willie Williams"/>
    <x v="0"/>
    <s v="£114.64"/>
    <s v="High"/>
    <x v="4"/>
    <n v="24"/>
    <s v="OK"/>
  </r>
  <r>
    <n v="1052"/>
    <s v="Mariah Davis"/>
    <n v="22"/>
    <s v="female"/>
    <d v="2025-10-24T00:00:00"/>
    <d v="2025-01-06T00:00:00"/>
    <s v="Douglas Ford"/>
    <x v="1"/>
    <s v="£381.62"/>
    <s v="High"/>
    <x v="5"/>
    <n v="291"/>
    <s v="OK"/>
  </r>
  <r>
    <n v="1058"/>
    <s v="Timothy Osborne"/>
    <n v="83"/>
    <s v="female"/>
    <d v="2025-12-18T00:00:00"/>
    <d v="2025-04-21T00:00:00"/>
    <s v="Christopher Ferguson"/>
    <x v="2"/>
    <s v="£215.46"/>
    <s v="High"/>
    <x v="3"/>
    <n v="241"/>
    <s v="OK"/>
  </r>
  <r>
    <n v="1074"/>
    <s v="Kelsey Collins"/>
    <n v="19"/>
    <s v="F"/>
    <d v="2025-04-24T00:00:00"/>
    <d v="2024-10-08T00:00:00"/>
    <s v="Gabrielle Collins"/>
    <x v="2"/>
    <s v="$455.75"/>
    <s v="High"/>
    <x v="5"/>
    <n v="198"/>
    <s v="OK"/>
  </r>
  <r>
    <n v="1018"/>
    <s v="David Kramer"/>
    <n v="54"/>
    <s v="F"/>
    <d v="2026-03-25T00:00:00"/>
    <d v="2024-09-05T00:00:00"/>
    <s v="Anne Watkins"/>
    <x v="3"/>
    <s v="£325.97"/>
    <s v="High"/>
    <x v="0"/>
    <n v="566"/>
    <s v="Review"/>
  </r>
  <r>
    <n v="1033"/>
    <s v="Patricia King"/>
    <n v="68"/>
    <s v="male"/>
    <d v="2025-10-28T00:00:00"/>
    <d v="2024-10-16T00:00:00"/>
    <s v="Jennifer Adams"/>
    <x v="3"/>
    <s v="$468.06"/>
    <s v="High"/>
    <x v="3"/>
    <n v="377"/>
    <s v="Review"/>
  </r>
  <r>
    <n v="1045"/>
    <s v="Sheri Kline"/>
    <n v="55"/>
    <s v="female"/>
    <d v="2026-01-02T00:00:00"/>
    <d v="2024-04-11T00:00:00"/>
    <s v="Jennifer Russell"/>
    <x v="3"/>
    <s v="£377.14"/>
    <s v="High"/>
    <x v="3"/>
    <n v="631"/>
    <s v="Review"/>
  </r>
  <r>
    <n v="1087"/>
    <s v="Troy White"/>
    <n v="80"/>
    <s v="1"/>
    <d v="2026-01-07T00:00:00"/>
    <d v="2024-05-26T00:00:00"/>
    <s v="Cindy Cox"/>
    <x v="2"/>
    <s v="$87.2"/>
    <s v="High"/>
    <x v="2"/>
    <n v="591"/>
    <s v="Review"/>
  </r>
  <r>
    <n v="1043"/>
    <s v="David Young"/>
    <n v="58"/>
    <s v="1"/>
    <d v="2025-11-06T00:00:00"/>
    <d v="2025-05-15T00:00:00"/>
    <s v="Amy Williams"/>
    <x v="0"/>
    <s v="$226.97"/>
    <s v="High"/>
    <x v="5"/>
    <n v="175"/>
    <s v="OK"/>
  </r>
  <r>
    <n v="1020"/>
    <s v="Tim Flowers"/>
    <n v="31"/>
    <s v="1"/>
    <d v="2025-09-29T00:00:00"/>
    <d v="2024-11-04T00:00:00"/>
    <s v="Kimberly Henson"/>
    <x v="2"/>
    <s v="Rs139.81"/>
    <s v="High"/>
    <x v="1"/>
    <n v="329"/>
    <s v="OK"/>
  </r>
  <r>
    <n v="1089"/>
    <s v="Gregory Garcia"/>
    <n v="73"/>
    <s v="F"/>
    <d v="2025-05-01T00:00:00"/>
    <d v="2024-07-25T00:00:00"/>
    <s v="Megan Jensen"/>
    <x v="0"/>
    <s v="$466.08"/>
    <s v="High"/>
    <x v="4"/>
    <n v="280"/>
    <s v="OK"/>
  </r>
  <r>
    <n v="1005"/>
    <s v="Max Martinez"/>
    <n v="63"/>
    <s v="1"/>
    <d v="2025-09-21T00:00:00"/>
    <d v="2024-11-05T00:00:00"/>
    <s v="Joshua Sellers"/>
    <x v="0"/>
    <s v="Rs352.03"/>
    <s v="High"/>
    <x v="1"/>
    <n v="320"/>
    <s v="OK"/>
  </r>
  <r>
    <n v="1031"/>
    <s v="Paul Hinton"/>
    <n v="49"/>
    <s v="female"/>
    <d v="2026-01-02T00:00:00"/>
    <d v="2025-11-29T00:00:00"/>
    <s v="Lindsey Fitzpatrick"/>
    <x v="2"/>
    <s v="$461.19"/>
    <s v="High"/>
    <x v="4"/>
    <n v="34"/>
    <s v="OK"/>
  </r>
  <r>
    <n v="1069"/>
    <s v="Thomas Landry"/>
    <n v="60"/>
    <s v="1"/>
    <d v="2025-09-03T00:00:00"/>
    <d v="2025-08-01T00:00:00"/>
    <s v="Brandon Moore"/>
    <x v="3"/>
    <s v=""/>
    <s v="High"/>
    <x v="2"/>
    <n v="33"/>
    <s v="OK"/>
  </r>
  <r>
    <n v="1093"/>
    <s v="Alexander Le"/>
    <n v="77"/>
    <s v="female"/>
    <d v="2026-01-20T00:00:00"/>
    <d v="2024-04-04T00:00:00"/>
    <s v="Cynthia Booker"/>
    <x v="2"/>
    <s v="£252.22"/>
    <s v="High"/>
    <x v="0"/>
    <n v="656"/>
    <s v="Review"/>
  </r>
  <r>
    <n v="1073"/>
    <s v="Joseph Irwin"/>
    <n v="29"/>
    <s v="male"/>
    <d v="2025-07-27T00:00:00"/>
    <d v="2025-06-08T00:00:00"/>
    <s v="Jacob Kerr"/>
    <x v="3"/>
    <s v="£206.74"/>
    <s v="High"/>
    <x v="1"/>
    <n v="49"/>
    <s v="OK"/>
  </r>
  <r>
    <n v="1040"/>
    <s v="Corey Smith"/>
    <n v="52"/>
    <s v="male"/>
    <d v="2025-05-18T00:00:00"/>
    <d v="2025-02-15T00:00:00"/>
    <s v="Luke Williams"/>
    <x v="0"/>
    <s v="$130.7"/>
    <s v="High"/>
    <x v="4"/>
    <n v="92"/>
    <s v="OK"/>
  </r>
  <r>
    <n v="1066"/>
    <s v="Brandon Baker"/>
    <n v="54"/>
    <s v="male"/>
    <d v="2025-08-12T00:00:00"/>
    <d v="2025-07-25T00:00:00"/>
    <s v="Alison Walters"/>
    <x v="3"/>
    <s v="£106.33"/>
    <s v="High"/>
    <x v="0"/>
    <n v="18"/>
    <s v="OK"/>
  </r>
  <r>
    <n v="1047"/>
    <s v="John Campbell"/>
    <n v="67"/>
    <s v="0"/>
    <d v="2026-02-10T00:00:00"/>
    <d v="2024-06-21T00:00:00"/>
    <s v="Tanya Baxter"/>
    <x v="1"/>
    <s v=""/>
    <s v="High"/>
    <x v="4"/>
    <n v="599"/>
    <s v="Review"/>
  </r>
  <r>
    <n v="1021"/>
    <s v="Craig Hunt"/>
    <n v="38"/>
    <s v="female"/>
    <d v="2025-11-01T00:00:00"/>
    <d v="2024-05-25T00:00:00"/>
    <s v="Cynthia Brown"/>
    <x v="2"/>
    <s v="$122.56"/>
    <s v="High"/>
    <x v="3"/>
    <n v="525"/>
    <s v="Review"/>
  </r>
  <r>
    <n v="1072"/>
    <s v="Lisa Cameron"/>
    <n v="37"/>
    <s v="male"/>
    <d v="2025-08-14T00:00:00"/>
    <d v="2025-08-11T00:00:00"/>
    <s v="Karen Hunt"/>
    <x v="0"/>
    <s v="£238.81"/>
    <s v="High"/>
    <x v="5"/>
    <n v="3"/>
    <s v="OK"/>
  </r>
  <r>
    <n v="1011"/>
    <s v="Nathaniel Wood"/>
    <n v="66"/>
    <s v="male"/>
    <d v="2025-04-29T00:00:00"/>
    <d v="2025-04-07T00:00:00"/>
    <s v="Alec Hill"/>
    <x v="3"/>
    <s v="Rs413.21"/>
    <s v="High"/>
    <x v="0"/>
    <n v="22"/>
    <s v="OK"/>
  </r>
  <r>
    <n v="1097"/>
    <s v="Dr. Lindsey Arias DDS"/>
    <n v="48"/>
    <s v="0"/>
    <d v="2025-09-14T00:00:00"/>
    <d v="2024-11-28T00:00:00"/>
    <s v="Colton Williams"/>
    <x v="0"/>
    <s v="€91.87"/>
    <s v="High"/>
    <x v="4"/>
    <n v="290"/>
    <s v="OK"/>
  </r>
  <r>
    <n v="1028"/>
    <s v="Timothy Matthews"/>
    <n v="56"/>
    <s v="male"/>
    <d v="2025-10-30T00:00:00"/>
    <d v="2024-05-18T00:00:00"/>
    <s v="Brandy Sutton"/>
    <x v="1"/>
    <s v="€485.5"/>
    <s v="High"/>
    <x v="4"/>
    <n v="530"/>
    <s v="Review"/>
  </r>
  <r>
    <n v="1057"/>
    <s v="Katelyn Byrd"/>
    <n v="32"/>
    <s v="male"/>
    <d v="2025-03-30T00:00:00"/>
    <d v="2024-05-03T00:00:00"/>
    <s v="Barbara Chavez"/>
    <x v="3"/>
    <s v="£209.81"/>
    <s v="High"/>
    <x v="0"/>
    <n v="331"/>
    <s v="OK"/>
  </r>
  <r>
    <n v="1002"/>
    <s v="Jeffrey Bates"/>
    <n v="87"/>
    <s v="M"/>
    <d v="2025-04-08T00:00:00"/>
    <d v="2024-12-04T00:00:00"/>
    <s v="Lisa Ho"/>
    <x v="0"/>
    <s v="$401.55"/>
    <s v="High"/>
    <x v="3"/>
    <n v="125"/>
    <s v="OK"/>
  </r>
  <r>
    <n v="1065"/>
    <s v="Kevin Johnson"/>
    <n v="18"/>
    <s v="0"/>
    <d v="2025-10-25T00:00:00"/>
    <d v="2024-09-03T00:00:00"/>
    <s v="Lance Smith"/>
    <x v="2"/>
    <s v="Rs283.3"/>
    <s v="High"/>
    <x v="5"/>
    <n v="417"/>
    <s v="Review"/>
  </r>
  <r>
    <n v="1026"/>
    <s v="Kelly Mcknight"/>
    <n v="87"/>
    <s v="1"/>
    <d v="2026-02-03T00:00:00"/>
    <d v="2025-07-12T00:00:00"/>
    <s v="Jerry Lopez"/>
    <x v="2"/>
    <s v="£146.2"/>
    <s v="High"/>
    <x v="1"/>
    <n v="206"/>
    <s v="OK"/>
  </r>
  <r>
    <n v="1100"/>
    <s v="Jamie Wright"/>
    <n v="62"/>
    <s v="0"/>
    <d v="2025-04-03T00:00:00"/>
    <d v="2025-03-18T00:00:00"/>
    <s v="Lori Hall"/>
    <x v="1"/>
    <s v="€211.18"/>
    <s v="High"/>
    <x v="1"/>
    <n v="16"/>
    <s v="OK"/>
  </r>
  <r>
    <n v="1066"/>
    <s v="Kimberly Conner"/>
    <n v="86"/>
    <s v="F"/>
    <d v="2026-02-18T00:00:00"/>
    <d v="2024-10-12T00:00:00"/>
    <s v="Steven Holland"/>
    <x v="0"/>
    <s v="£476.99"/>
    <s v="High"/>
    <x v="0"/>
    <n v="494"/>
    <s v="Review"/>
  </r>
  <r>
    <n v="1025"/>
    <s v="Kelli Page"/>
    <n v="25"/>
    <s v="male"/>
    <d v="2025-10-08T00:00:00"/>
    <d v="2025-03-24T00:00:00"/>
    <s v="Stephanie Wall"/>
    <x v="1"/>
    <s v="$248.33"/>
    <s v="High"/>
    <x v="5"/>
    <n v="198"/>
    <s v="OK"/>
  </r>
  <r>
    <n v="1038"/>
    <s v="Deanna Abbott"/>
    <n v="46"/>
    <s v="female"/>
    <d v="2025-09-04T00:00:00"/>
    <d v="2025-05-08T00:00:00"/>
    <s v="Damon Hayes"/>
    <x v="1"/>
    <s v="£192.67"/>
    <s v="High"/>
    <x v="0"/>
    <n v="119"/>
    <s v="OK"/>
  </r>
  <r>
    <n v="1038"/>
    <s v="Lindsay Rodriguez"/>
    <n v="39"/>
    <s v="male"/>
    <d v="2025-10-23T00:00:00"/>
    <d v="2025-07-18T00:00:00"/>
    <s v="Troy Lynch"/>
    <x v="1"/>
    <s v=""/>
    <s v="High"/>
    <x v="5"/>
    <n v="97"/>
    <s v="OK"/>
  </r>
  <r>
    <n v="1000"/>
    <s v="Christopher Singleton"/>
    <n v="81"/>
    <s v="F"/>
    <d v="2025-10-26T00:00:00"/>
    <d v="2025-02-19T00:00:00"/>
    <s v="Brandy Graves"/>
    <x v="3"/>
    <s v="$65.06"/>
    <s v="High"/>
    <x v="0"/>
    <n v="249"/>
    <s v="OK"/>
  </r>
  <r>
    <n v="1008"/>
    <s v="Michael Walsh"/>
    <n v="69"/>
    <s v="0"/>
    <d v="2025-05-08T00:00:00"/>
    <d v="2025-01-24T00:00:00"/>
    <s v="Tammy Watts"/>
    <x v="2"/>
    <s v="£117.14"/>
    <s v="High"/>
    <x v="3"/>
    <n v="104"/>
    <s v="OK"/>
  </r>
  <r>
    <n v="1078"/>
    <s v="Caroline Reed"/>
    <n v="54"/>
    <s v="0"/>
    <d v="2025-07-29T00:00:00"/>
    <d v="2024-06-06T00:00:00"/>
    <s v="Eric Kelly"/>
    <x v="2"/>
    <s v="Rs433.77"/>
    <s v="High"/>
    <x v="2"/>
    <n v="418"/>
    <s v="Review"/>
  </r>
  <r>
    <n v="1038"/>
    <s v="Jennifer Wells"/>
    <n v="79"/>
    <s v="F"/>
    <d v="2025-05-13T00:00:00"/>
    <d v="2024-09-02T00:00:00"/>
    <s v="David Cole"/>
    <x v="1"/>
    <s v="$82.84"/>
    <s v="High"/>
    <x v="2"/>
    <n v="253"/>
    <s v="OK"/>
  </r>
  <r>
    <n v="1082"/>
    <s v="Gary Walker"/>
    <n v="87"/>
    <s v=""/>
    <d v="2025-03-26T00:00:00"/>
    <d v="2024-03-26T00:00:00"/>
    <s v="Matthew Lopez"/>
    <x v="1"/>
    <s v="Rs216.23"/>
    <s v="High"/>
    <x v="3"/>
    <n v="365"/>
    <s v="OK"/>
  </r>
  <r>
    <n v="1028"/>
    <s v="Michelle Johnson"/>
    <n v="24"/>
    <s v="male"/>
    <d v="2025-12-19T00:00:00"/>
    <d v="2025-07-01T00:00:00"/>
    <s v="Jennifer Brooks"/>
    <x v="3"/>
    <s v="€492.98"/>
    <s v="High"/>
    <x v="3"/>
    <n v="171"/>
    <s v="OK"/>
  </r>
  <r>
    <n v="1048"/>
    <s v="Malik Robinson"/>
    <n v="77"/>
    <s v="female"/>
    <d v="2025-10-21T00:00:00"/>
    <d v="2024-07-18T00:00:00"/>
    <s v="Amber Little"/>
    <x v="3"/>
    <s v="Rs280.77"/>
    <s v="High"/>
    <x v="4"/>
    <n v="460"/>
    <s v="Review"/>
  </r>
  <r>
    <n v="1035"/>
    <s v="Michael Glenn"/>
    <n v="60"/>
    <s v="1"/>
    <d v="2025-11-13T00:00:00"/>
    <d v="2025-06-23T00:00:00"/>
    <s v="Robert Martinez"/>
    <x v="0"/>
    <s v="$99.19"/>
    <s v="High"/>
    <x v="4"/>
    <n v="143"/>
    <s v="OK"/>
  </r>
  <r>
    <n v="1010"/>
    <s v="Anthony Cortez"/>
    <n v="57"/>
    <s v="male"/>
    <d v="2025-05-25T00:00:00"/>
    <d v="2025-03-28T00:00:00"/>
    <s v="Derrick Cook"/>
    <x v="3"/>
    <s v="$225.83"/>
    <s v="High"/>
    <x v="1"/>
    <n v="58"/>
    <s v="OK"/>
  </r>
  <r>
    <n v="1043"/>
    <s v="Daniel Cole"/>
    <n v="69"/>
    <s v="male"/>
    <d v="2025-05-06T00:00:00"/>
    <d v="2024-09-28T00:00:00"/>
    <s v="Dustin Jones"/>
    <x v="0"/>
    <s v="$458.12"/>
    <s v="High"/>
    <x v="3"/>
    <n v="220"/>
    <s v="OK"/>
  </r>
  <r>
    <n v="1083"/>
    <s v="Matthew Lloyd"/>
    <n v="58"/>
    <s v="M"/>
    <d v="2026-01-17T00:00:00"/>
    <d v="2025-07-21T00:00:00"/>
    <s v="Timothy Morgan"/>
    <x v="0"/>
    <s v="€244.78"/>
    <s v="High"/>
    <x v="4"/>
    <n v="180"/>
    <s v="OK"/>
  </r>
  <r>
    <n v="1026"/>
    <s v="Jason Hicks"/>
    <n v="86"/>
    <s v="F"/>
    <d v="2025-12-17T00:00:00"/>
    <d v="2025-09-19T00:00:00"/>
    <s v="Stacey Garcia"/>
    <x v="1"/>
    <s v="€330.37"/>
    <s v="High"/>
    <x v="5"/>
    <n v="89"/>
    <s v="OK"/>
  </r>
  <r>
    <n v="1046"/>
    <s v="Stephanie Cisneros"/>
    <n v="50"/>
    <s v="F"/>
    <d v="2025-12-03T00:00:00"/>
    <d v="2024-08-02T00:00:00"/>
    <s v="Rachel Richards"/>
    <x v="1"/>
    <s v="£98.14"/>
    <s v="High"/>
    <x v="3"/>
    <n v="488"/>
    <s v="Review"/>
  </r>
  <r>
    <n v="1084"/>
    <s v="Troy Taylor"/>
    <n v="52"/>
    <s v=""/>
    <d v="2025-12-28T00:00:00"/>
    <d v="2025-02-24T00:00:00"/>
    <s v="Jason Gill"/>
    <x v="3"/>
    <s v="£464.69"/>
    <s v="High"/>
    <x v="3"/>
    <n v="307"/>
    <s v="OK"/>
  </r>
  <r>
    <n v="1006"/>
    <s v="Charles Cruz"/>
    <n v="54"/>
    <s v="female"/>
    <d v="2026-01-27T00:00:00"/>
    <d v="2024-09-01T00:00:00"/>
    <s v="Jessica Sawyer"/>
    <x v="1"/>
    <s v="£91.65"/>
    <s v="High"/>
    <x v="2"/>
    <n v="513"/>
    <s v="Review"/>
  </r>
  <r>
    <n v="1015"/>
    <s v="Brenda Ward"/>
    <n v="43"/>
    <s v="0"/>
    <d v="2025-11-26T00:00:00"/>
    <d v="2025-08-25T00:00:00"/>
    <s v="Tonya Smith"/>
    <x v="2"/>
    <s v="Rs425.67"/>
    <s v="High"/>
    <x v="1"/>
    <n v="93"/>
    <s v="OK"/>
  </r>
  <r>
    <n v="1091"/>
    <s v="David Martinez"/>
    <n v="80"/>
    <s v="male"/>
    <d v="2025-09-13T00:00:00"/>
    <d v="2025-07-07T00:00:00"/>
    <s v="Amber Braun"/>
    <x v="0"/>
    <s v=""/>
    <s v="High"/>
    <x v="1"/>
    <n v="68"/>
    <s v="OK"/>
  </r>
  <r>
    <n v="1024"/>
    <s v="Alex Webster"/>
    <n v="34"/>
    <s v="M"/>
    <d v="2026-02-11T00:00:00"/>
    <d v="2024-12-24T00:00:00"/>
    <s v="Lorraine Schroeder"/>
    <x v="1"/>
    <s v="€140.86"/>
    <s v="High"/>
    <x v="0"/>
    <n v="414"/>
    <s v="Review"/>
  </r>
  <r>
    <n v="1033"/>
    <s v="Carl Sanchez"/>
    <n v="87"/>
    <s v="female"/>
    <d v="2025-04-06T00:00:00"/>
    <d v="2024-08-02T00:00:00"/>
    <s v="Christina Price"/>
    <x v="1"/>
    <s v="$446.06"/>
    <s v="High"/>
    <x v="4"/>
    <n v="247"/>
    <s v="OK"/>
  </r>
  <r>
    <n v="1010"/>
    <s v="Lucas Ray"/>
    <n v="21"/>
    <s v="F"/>
    <d v="2026-02-12T00:00:00"/>
    <d v="2025-02-07T00:00:00"/>
    <s v="Carrie Larsen"/>
    <x v="2"/>
    <s v="£138.59"/>
    <s v="High"/>
    <x v="1"/>
    <n v="370"/>
    <s v="Review"/>
  </r>
  <r>
    <n v="1082"/>
    <s v="Cynthia Wells"/>
    <n v="37"/>
    <s v="M"/>
    <d v="2025-11-17T00:00:00"/>
    <d v="2025-01-07T00:00:00"/>
    <s v="Ashlee Romero"/>
    <x v="1"/>
    <s v="£448.6"/>
    <s v="High"/>
    <x v="5"/>
    <n v="314"/>
    <s v="OK"/>
  </r>
  <r>
    <n v="1096"/>
    <s v="Dwayne Clarke"/>
    <n v="42"/>
    <s v="male"/>
    <d v="2025-08-12T00:00:00"/>
    <d v="2024-09-08T00:00:00"/>
    <s v="Andrew Meadows"/>
    <x v="2"/>
    <s v="€150.94"/>
    <s v="High"/>
    <x v="2"/>
    <n v="338"/>
    <s v="OK"/>
  </r>
  <r>
    <n v="1011"/>
    <s v="James Jimenez"/>
    <n v="53"/>
    <s v="1"/>
    <d v="2025-10-26T00:00:00"/>
    <d v="2025-09-14T00:00:00"/>
    <s v="Ryan Marsh"/>
    <x v="2"/>
    <s v="€339.19"/>
    <s v="High"/>
    <x v="5"/>
    <n v="42"/>
    <s v="OK"/>
  </r>
  <r>
    <n v="1002"/>
    <s v="Dr. Michele Copeland"/>
    <n v="35"/>
    <s v="1"/>
    <d v="2025-09-25T00:00:00"/>
    <d v="2024-05-24T00:00:00"/>
    <s v="Debra Castillo"/>
    <x v="2"/>
    <s v="€187.28"/>
    <s v="High"/>
    <x v="1"/>
    <n v="489"/>
    <s v="Review"/>
  </r>
  <r>
    <n v="1016"/>
    <s v="Travis Allen MD"/>
    <n v="44"/>
    <s v="male"/>
    <d v="2025-06-22T00:00:00"/>
    <d v="2024-06-18T00:00:00"/>
    <s v="Karen White"/>
    <x v="1"/>
    <s v="€157.66"/>
    <s v="High"/>
    <x v="0"/>
    <n v="369"/>
    <s v="Review"/>
  </r>
  <r>
    <n v="1077"/>
    <s v="Bradley Fuller"/>
    <n v="83"/>
    <s v="male"/>
    <d v="2025-05-13T00:00:00"/>
    <d v="2025-02-28T00:00:00"/>
    <s v="John Yang"/>
    <x v="3"/>
    <s v="Rs69.97"/>
    <s v="High"/>
    <x v="3"/>
    <n v="74"/>
    <s v="OK"/>
  </r>
  <r>
    <n v="1026"/>
    <s v="Miss Crystal Davis DDS"/>
    <n v="25"/>
    <s v="female"/>
    <d v="2025-07-07T00:00:00"/>
    <d v="2024-06-06T00:00:00"/>
    <s v="Christopher Hayes"/>
    <x v="3"/>
    <s v="£490.55"/>
    <s v="High"/>
    <x v="1"/>
    <n v="396"/>
    <s v="Review"/>
  </r>
  <r>
    <n v="1052"/>
    <s v="Kara White"/>
    <n v="59"/>
    <s v="0"/>
    <d v="2026-03-14T00:00:00"/>
    <d v="2025-01-26T00:00:00"/>
    <s v="Kyle Dawson"/>
    <x v="1"/>
    <s v="€315.64"/>
    <s v="High"/>
    <x v="4"/>
    <n v="412"/>
    <s v="Review"/>
  </r>
  <r>
    <n v="1040"/>
    <s v="Briana Guerrero"/>
    <n v="33"/>
    <s v="female"/>
    <d v="2026-01-19T00:00:00"/>
    <d v="2024-03-30T00:00:00"/>
    <s v="Molly Warner"/>
    <x v="3"/>
    <s v="£231.08"/>
    <s v="High"/>
    <x v="0"/>
    <n v="660"/>
    <s v="Review"/>
  </r>
  <r>
    <n v="1068"/>
    <s v="Judy Nguyen"/>
    <n v="29"/>
    <s v="male"/>
    <d v="2025-05-27T00:00:00"/>
    <d v="2024-10-23T00:00:00"/>
    <s v="Michelle Ortega"/>
    <x v="3"/>
    <s v="$429.14"/>
    <s v="High"/>
    <x v="3"/>
    <n v="216"/>
    <s v="OK"/>
  </r>
  <r>
    <n v="1013"/>
    <s v="Sandra Murphy"/>
    <n v="25"/>
    <s v="M"/>
    <d v="2025-11-01T00:00:00"/>
    <d v="2024-07-29T00:00:00"/>
    <s v="Shelby Brown"/>
    <x v="1"/>
    <s v="Rs93.12"/>
    <s v="High"/>
    <x v="2"/>
    <n v="460"/>
    <s v="Review"/>
  </r>
  <r>
    <n v="1024"/>
    <s v="Debra Ford"/>
    <n v="33"/>
    <s v="0"/>
    <d v="2026-02-22T00:00:00"/>
    <d v="2025-09-19T00:00:00"/>
    <s v="Allison Smith"/>
    <x v="1"/>
    <s v="£461.81"/>
    <s v="High"/>
    <x v="1"/>
    <n v="156"/>
    <s v="OK"/>
  </r>
  <r>
    <n v="1033"/>
    <s v="Michelle Harris"/>
    <n v="56"/>
    <s v="0"/>
    <d v="2025-11-07T00:00:00"/>
    <d v="2024-12-06T00:00:00"/>
    <s v="Matthew Garrett"/>
    <x v="1"/>
    <s v="€130.72"/>
    <s v="High"/>
    <x v="3"/>
    <n v="336"/>
    <s v="OK"/>
  </r>
  <r>
    <n v="1067"/>
    <s v="Ariel Davis"/>
    <n v="85"/>
    <s v="male"/>
    <d v="2025-10-25T00:00:00"/>
    <d v="2025-02-21T00:00:00"/>
    <s v="Jason Gallagher"/>
    <x v="1"/>
    <s v="Rs85.63"/>
    <s v="High"/>
    <x v="1"/>
    <n v="246"/>
    <s v="OK"/>
  </r>
  <r>
    <n v="1045"/>
    <s v="Anna Garrett"/>
    <n v="24"/>
    <s v="female"/>
    <d v="2025-05-30T00:00:00"/>
    <d v="2025-03-20T00:00:00"/>
    <s v="Alice Lucas"/>
    <x v="2"/>
    <s v="€394.9"/>
    <s v="High"/>
    <x v="3"/>
    <n v="71"/>
    <s v="OK"/>
  </r>
  <r>
    <n v="1087"/>
    <s v="Kimberly Guzman"/>
    <n v="31"/>
    <s v="0"/>
    <d v="2025-11-18T00:00:00"/>
    <d v="2025-04-02T00:00:00"/>
    <s v="Kristin Reeves"/>
    <x v="3"/>
    <s v=""/>
    <s v="High"/>
    <x v="1"/>
    <n v="230"/>
    <s v="OK"/>
  </r>
  <r>
    <n v="1056"/>
    <s v="Terry Miller"/>
    <n v="24"/>
    <s v="F"/>
    <d v="2025-04-22T00:00:00"/>
    <d v="2025-03-24T00:00:00"/>
    <s v="John Lyons"/>
    <x v="3"/>
    <s v=""/>
    <s v="High"/>
    <x v="3"/>
    <n v="29"/>
    <s v="OK"/>
  </r>
  <r>
    <n v="1053"/>
    <s v="Marissa Davidson"/>
    <n v="81"/>
    <s v="female"/>
    <d v="2025-04-13T00:00:00"/>
    <d v="2024-12-03T00:00:00"/>
    <s v="Philip Davis"/>
    <x v="0"/>
    <s v="£499.67"/>
    <s v="High"/>
    <x v="1"/>
    <n v="131"/>
    <s v="OK"/>
  </r>
  <r>
    <n v="1059"/>
    <s v="Emma Martin"/>
    <n v="79"/>
    <s v="male"/>
    <d v="2025-08-24T00:00:00"/>
    <d v="2025-08-21T00:00:00"/>
    <s v="Charles Mcmillan"/>
    <x v="1"/>
    <s v="€66.64"/>
    <s v="High"/>
    <x v="3"/>
    <n v="3"/>
    <s v="OK"/>
  </r>
  <r>
    <n v="1050"/>
    <s v="William Lewis"/>
    <n v="32"/>
    <s v="M"/>
    <d v="2025-04-04T00:00:00"/>
    <d v="2024-05-16T00:00:00"/>
    <s v="Wesley Johnson"/>
    <x v="1"/>
    <s v="Rs361.31"/>
    <s v="High"/>
    <x v="1"/>
    <n v="323"/>
    <s v="OK"/>
  </r>
  <r>
    <n v="1044"/>
    <s v="Robert Mclaughlin"/>
    <n v="21"/>
    <s v="female"/>
    <d v="2025-06-22T00:00:00"/>
    <d v="2024-06-09T00:00:00"/>
    <s v="Shannon Mejia"/>
    <x v="1"/>
    <s v="£205.31"/>
    <s v="High"/>
    <x v="4"/>
    <n v="378"/>
    <s v="Review"/>
  </r>
  <r>
    <n v="1089"/>
    <s v="William Sparks"/>
    <n v="48"/>
    <s v="1"/>
    <d v="2025-03-26T00:00:00"/>
    <d v="2024-12-03T00:00:00"/>
    <s v="Jeffrey Ashley Jr."/>
    <x v="0"/>
    <s v="Rs193.18"/>
    <s v="High"/>
    <x v="5"/>
    <n v="113"/>
    <s v="OK"/>
  </r>
  <r>
    <n v="1074"/>
    <s v="David Kidd"/>
    <n v="23"/>
    <s v="male"/>
    <d v="2025-11-23T00:00:00"/>
    <d v="2025-09-10T00:00:00"/>
    <s v="Kathy Thompson"/>
    <x v="1"/>
    <s v="£321.34"/>
    <s v="High"/>
    <x v="4"/>
    <n v="74"/>
    <s v="OK"/>
  </r>
  <r>
    <n v="1026"/>
    <s v="Brandon Martin"/>
    <n v="87"/>
    <s v="0"/>
    <d v="2026-02-06T00:00:00"/>
    <d v="2024-08-11T00:00:00"/>
    <s v="John Miller"/>
    <x v="2"/>
    <s v="$446.44"/>
    <s v="High"/>
    <x v="3"/>
    <n v="544"/>
    <s v="Review"/>
  </r>
  <r>
    <n v="1059"/>
    <s v="Amanda Martinez"/>
    <n v="27"/>
    <s v="0"/>
    <d v="2025-08-23T00:00:00"/>
    <d v="2024-11-12T00:00:00"/>
    <s v="Gary Bowman"/>
    <x v="3"/>
    <s v="$165.8"/>
    <s v="High"/>
    <x v="1"/>
    <n v="284"/>
    <s v="OK"/>
  </r>
  <r>
    <n v="1065"/>
    <s v="Nancy Barry"/>
    <n v="71"/>
    <s v="female"/>
    <d v="2026-03-07T00:00:00"/>
    <d v="2025-03-30T00:00:00"/>
    <s v="Katherine Espinoza"/>
    <x v="0"/>
    <s v="Rs493.59"/>
    <s v="High"/>
    <x v="0"/>
    <n v="342"/>
    <s v="OK"/>
  </r>
  <r>
    <n v="1085"/>
    <s v="Clinton Estrada"/>
    <n v="75"/>
    <s v="male"/>
    <d v="2025-11-06T00:00:00"/>
    <d v="2024-10-14T00:00:00"/>
    <s v="Jacob Bender"/>
    <x v="1"/>
    <s v=""/>
    <s v="High"/>
    <x v="1"/>
    <n v="388"/>
    <s v="Review"/>
  </r>
  <r>
    <n v="1024"/>
    <s v="Maria Douglas"/>
    <n v="86"/>
    <s v="1"/>
    <d v="2026-02-17T00:00:00"/>
    <d v="2026-01-15T00:00:00"/>
    <s v="Daniel Evans"/>
    <x v="1"/>
    <s v="€489.64"/>
    <s v="High"/>
    <x v="3"/>
    <n v="33"/>
    <s v="OK"/>
  </r>
  <r>
    <n v="1048"/>
    <s v="Walter Webb"/>
    <n v="33"/>
    <s v=""/>
    <d v="2025-09-26T00:00:00"/>
    <d v="2024-09-03T00:00:00"/>
    <s v="Dale Herrera"/>
    <x v="2"/>
    <s v=""/>
    <s v="High"/>
    <x v="1"/>
    <n v="388"/>
    <s v="Review"/>
  </r>
  <r>
    <n v="1069"/>
    <s v="Megan Avery"/>
    <n v="73"/>
    <s v="F"/>
    <d v="2026-01-08T00:00:00"/>
    <d v="2024-08-13T00:00:00"/>
    <s v="Michael Arroyo Jr."/>
    <x v="3"/>
    <s v="$96.48"/>
    <s v="High"/>
    <x v="3"/>
    <n v="513"/>
    <s v="Review"/>
  </r>
  <r>
    <n v="1071"/>
    <s v="Brianna Morris"/>
    <n v="73"/>
    <s v="1"/>
    <d v="2025-11-03T00:00:00"/>
    <d v="2024-04-26T00:00:00"/>
    <s v="Gregory West DDS"/>
    <x v="1"/>
    <s v="€422.79"/>
    <s v="High"/>
    <x v="1"/>
    <n v="556"/>
    <s v="Review"/>
  </r>
  <r>
    <n v="1076"/>
    <s v="Judy Avila"/>
    <n v="21"/>
    <s v="female"/>
    <d v="2025-10-19T00:00:00"/>
    <d v="2025-08-02T00:00:00"/>
    <s v="Morgan Ramos"/>
    <x v="1"/>
    <s v="Rs330.43"/>
    <s v="High"/>
    <x v="3"/>
    <n v="78"/>
    <s v="OK"/>
  </r>
  <r>
    <n v="1057"/>
    <s v="Erika Davis"/>
    <n v="28"/>
    <s v="1"/>
    <d v="2025-06-08T00:00:00"/>
    <d v="2025-06-06T00:00:00"/>
    <s v="Allison Parker"/>
    <x v="2"/>
    <s v="£440.72"/>
    <s v="High"/>
    <x v="4"/>
    <n v="2"/>
    <s v="OK"/>
  </r>
  <r>
    <n v="1029"/>
    <s v="Jeffrey Solis"/>
    <n v="49"/>
    <s v="female"/>
    <d v="2025-05-15T00:00:00"/>
    <d v="2025-04-09T00:00:00"/>
    <s v="William Nichols"/>
    <x v="2"/>
    <s v="€287.03"/>
    <s v="High"/>
    <x v="3"/>
    <n v="36"/>
    <s v="OK"/>
  </r>
  <r>
    <n v="1049"/>
    <s v="Scott Graves"/>
    <n v="65"/>
    <s v="male"/>
    <d v="2026-01-10T00:00:00"/>
    <d v="2026-01-06T00:00:00"/>
    <s v="Marie Clark"/>
    <x v="3"/>
    <s v="€489.0"/>
    <s v="High"/>
    <x v="1"/>
    <n v="4"/>
    <s v="OK"/>
  </r>
  <r>
    <n v="1049"/>
    <s v="Ellen Fitzpatrick"/>
    <n v="59"/>
    <s v="male"/>
    <d v="2025-11-14T00:00:00"/>
    <d v="2025-04-23T00:00:00"/>
    <s v="Grant Parker"/>
    <x v="2"/>
    <s v="£201.19"/>
    <s v="High"/>
    <x v="2"/>
    <n v="205"/>
    <s v="OK"/>
  </r>
  <r>
    <n v="1076"/>
    <s v="Mark Harrison"/>
    <n v="24"/>
    <s v="F"/>
    <d v="2025-10-06T00:00:00"/>
    <d v="2024-06-13T00:00:00"/>
    <s v="Jennifer Hernandez"/>
    <x v="1"/>
    <s v="€155.45"/>
    <s v="High"/>
    <x v="3"/>
    <n v="480"/>
    <s v="Review"/>
  </r>
  <r>
    <n v="1083"/>
    <s v="Daniel Barajas"/>
    <n v="56"/>
    <s v="female"/>
    <d v="2025-04-07T00:00:00"/>
    <d v="2025-01-08T00:00:00"/>
    <s v="Joshua Burnett"/>
    <x v="2"/>
    <s v="£236.44"/>
    <s v="High"/>
    <x v="0"/>
    <n v="89"/>
    <s v="OK"/>
  </r>
  <r>
    <n v="1083"/>
    <s v="Christine Murphy"/>
    <n v="21"/>
    <s v="0"/>
    <d v="2025-08-18T00:00:00"/>
    <d v="2024-07-23T00:00:00"/>
    <s v="Amanda Mendoza"/>
    <x v="0"/>
    <s v="$96.21"/>
    <s v="High"/>
    <x v="0"/>
    <n v="391"/>
    <s v="Review"/>
  </r>
  <r>
    <n v="1091"/>
    <s v="Richard Wagner"/>
    <n v="20"/>
    <s v="M"/>
    <d v="2025-12-06T00:00:00"/>
    <d v="2025-11-25T00:00:00"/>
    <s v="Christopher Sherman"/>
    <x v="3"/>
    <s v="€270.47"/>
    <s v="High"/>
    <x v="3"/>
    <n v="11"/>
    <s v="OK"/>
  </r>
  <r>
    <n v="1099"/>
    <s v="Eric Coffey"/>
    <n v="23"/>
    <s v="1"/>
    <d v="2025-08-28T00:00:00"/>
    <d v="2024-09-04T00:00:00"/>
    <s v="Jeffrey Burns"/>
    <x v="0"/>
    <s v="Rs284.29"/>
    <s v="High"/>
    <x v="4"/>
    <n v="358"/>
    <s v="OK"/>
  </r>
  <r>
    <n v="1098"/>
    <s v="Tony Gibbs"/>
    <n v="39"/>
    <s v="0"/>
    <d v="2025-11-01T00:00:00"/>
    <d v="2024-10-13T00:00:00"/>
    <s v="Brandon Morris"/>
    <x v="3"/>
    <s v="€354.36"/>
    <s v="High"/>
    <x v="4"/>
    <n v="384"/>
    <s v="Review"/>
  </r>
  <r>
    <n v="1060"/>
    <s v="Stephanie Bryant"/>
    <n v="32"/>
    <s v=""/>
    <d v="2026-01-02T00:00:00"/>
    <d v="2025-02-18T00:00:00"/>
    <s v="Sara Booth"/>
    <x v="1"/>
    <s v="£452.69"/>
    <s v="High"/>
    <x v="3"/>
    <n v="318"/>
    <s v="OK"/>
  </r>
  <r>
    <n v="1091"/>
    <s v="Eric Allen"/>
    <n v="67"/>
    <s v="1"/>
    <d v="2025-08-01T00:00:00"/>
    <d v="2025-05-09T00:00:00"/>
    <s v="Amanda Mclaughlin"/>
    <x v="2"/>
    <s v="£329.83"/>
    <s v="High"/>
    <x v="5"/>
    <n v="84"/>
    <s v="OK"/>
  </r>
  <r>
    <n v="1031"/>
    <s v="Robert Jimenez"/>
    <n v="23"/>
    <s v="male"/>
    <d v="2026-03-06T00:00:00"/>
    <d v="2024-07-20T00:00:00"/>
    <s v="Tony Randall"/>
    <x v="0"/>
    <s v="€450.86"/>
    <s v="High"/>
    <x v="3"/>
    <n v="594"/>
    <s v="Review"/>
  </r>
  <r>
    <n v="1018"/>
    <s v="Chris Wells"/>
    <n v="71"/>
    <s v="M"/>
    <d v="2025-05-17T00:00:00"/>
    <d v="2024-12-25T00:00:00"/>
    <s v="Crystal Medina"/>
    <x v="2"/>
    <s v="Rs132.38"/>
    <s v="High"/>
    <x v="3"/>
    <n v="143"/>
    <s v="OK"/>
  </r>
  <r>
    <n v="1054"/>
    <s v="Danny Gray"/>
    <n v="68"/>
    <s v="male"/>
    <d v="2025-04-14T00:00:00"/>
    <d v="2025-02-13T00:00:00"/>
    <s v="Patricia Carpenter"/>
    <x v="3"/>
    <s v="€199.55"/>
    <s v="High"/>
    <x v="5"/>
    <n v="60"/>
    <s v="OK"/>
  </r>
  <r>
    <n v="1038"/>
    <s v="Alicia Davis"/>
    <n v="19"/>
    <s v="1"/>
    <d v="2025-03-31T00:00:00"/>
    <d v="2024-10-27T00:00:00"/>
    <s v="John Gonzalez"/>
    <x v="0"/>
    <s v="€296.7"/>
    <s v="High"/>
    <x v="4"/>
    <n v="155"/>
    <s v="OK"/>
  </r>
  <r>
    <n v="1067"/>
    <s v="Dr. John Hernandez"/>
    <n v="33"/>
    <s v="0"/>
    <d v="2025-12-29T00:00:00"/>
    <d v="2024-05-29T00:00:00"/>
    <s v="Michelle Austin"/>
    <x v="3"/>
    <s v="$409.96"/>
    <s v="High"/>
    <x v="2"/>
    <n v="579"/>
    <s v="Review"/>
  </r>
  <r>
    <n v="1070"/>
    <s v="Andres Mills"/>
    <n v="54"/>
    <s v="M"/>
    <d v="2025-06-23T00:00:00"/>
    <d v="2024-08-24T00:00:00"/>
    <s v="Paul Weaver"/>
    <x v="2"/>
    <s v="£386.53"/>
    <s v="High"/>
    <x v="5"/>
    <n v="303"/>
    <s v="OK"/>
  </r>
  <r>
    <n v="1097"/>
    <s v="Vanessa Allen"/>
    <n v="52"/>
    <s v="male"/>
    <d v="2026-01-09T00:00:00"/>
    <d v="2025-08-06T00:00:00"/>
    <s v="Amy Chavez"/>
    <x v="2"/>
    <s v="Rs243.94"/>
    <s v="High"/>
    <x v="3"/>
    <n v="156"/>
    <s v="OK"/>
  </r>
  <r>
    <n v="1056"/>
    <s v="Virginia Flores"/>
    <n v="70"/>
    <s v="female"/>
    <d v="2025-12-26T00:00:00"/>
    <d v="2025-08-13T00:00:00"/>
    <s v="Leonard Macias"/>
    <x v="3"/>
    <s v="$364.83"/>
    <s v="High"/>
    <x v="1"/>
    <n v="135"/>
    <s v="OK"/>
  </r>
  <r>
    <n v="1078"/>
    <s v="Mackenzie Walker"/>
    <n v="56"/>
    <s v="female"/>
    <d v="2025-03-27T00:00:00"/>
    <d v="2024-05-20T00:00:00"/>
    <s v="Jenny Wright"/>
    <x v="1"/>
    <s v="$335.95"/>
    <s v="High"/>
    <x v="0"/>
    <n v="311"/>
    <s v="OK"/>
  </r>
  <r>
    <n v="1031"/>
    <s v="Kayla Berger"/>
    <n v="29"/>
    <s v="female"/>
    <d v="2025-08-05T00:00:00"/>
    <d v="2024-09-27T00:00:00"/>
    <s v="Todd Oconnor"/>
    <x v="1"/>
    <s v=""/>
    <s v="High"/>
    <x v="1"/>
    <n v="312"/>
    <s v="OK"/>
  </r>
  <r>
    <n v="1035"/>
    <s v="Brian White"/>
    <n v="80"/>
    <s v="male"/>
    <d v="2025-08-03T00:00:00"/>
    <d v="2025-04-03T00:00:00"/>
    <s v="Rachel Howell"/>
    <x v="2"/>
    <s v="€387.58"/>
    <s v="High"/>
    <x v="3"/>
    <n v="122"/>
    <s v="OK"/>
  </r>
  <r>
    <n v="1079"/>
    <s v="Dale Fisher"/>
    <n v="24"/>
    <s v="M"/>
    <d v="2026-01-16T00:00:00"/>
    <d v="2024-04-20T00:00:00"/>
    <s v="Dr. Heidi Johnson"/>
    <x v="0"/>
    <s v="Rs360.39"/>
    <s v="High"/>
    <x v="4"/>
    <n v="636"/>
    <s v="Review"/>
  </r>
  <r>
    <n v="1062"/>
    <s v="Brian Griffith"/>
    <n v="20"/>
    <s v="M"/>
    <d v="2025-06-15T00:00:00"/>
    <d v="2025-04-11T00:00:00"/>
    <s v="Robert Stanley"/>
    <x v="0"/>
    <s v="£288.24"/>
    <s v="High"/>
    <x v="0"/>
    <n v="65"/>
    <s v="OK"/>
  </r>
  <r>
    <n v="1006"/>
    <s v="Theresa Sanchez"/>
    <n v="56"/>
    <s v="0"/>
    <d v="2026-02-03T00:00:00"/>
    <d v="2024-08-16T00:00:00"/>
    <s v="Amber Sullivan"/>
    <x v="3"/>
    <s v="€286.43"/>
    <s v="High"/>
    <x v="0"/>
    <n v="536"/>
    <s v="Review"/>
  </r>
  <r>
    <n v="1034"/>
    <s v="Kimberly Watson"/>
    <n v="60"/>
    <s v="female"/>
    <d v="2026-01-11T00:00:00"/>
    <d v="2025-07-25T00:00:00"/>
    <s v="Joseph Meyers"/>
    <x v="2"/>
    <s v=""/>
    <s v="High"/>
    <x v="5"/>
    <n v="170"/>
    <s v="OK"/>
  </r>
  <r>
    <n v="1021"/>
    <s v="Christopher Miller"/>
    <n v="51"/>
    <s v="male"/>
    <d v="2025-12-27T00:00:00"/>
    <d v="2025-01-11T00:00:00"/>
    <s v="Christine Arnold"/>
    <x v="3"/>
    <s v="€476.26"/>
    <s v="High"/>
    <x v="4"/>
    <n v="350"/>
    <s v="OK"/>
  </r>
  <r>
    <n v="1089"/>
    <s v="Brian Davis"/>
    <n v="72"/>
    <s v="female"/>
    <d v="2025-12-26T00:00:00"/>
    <d v="2024-08-05T00:00:00"/>
    <s v="Michelle Smith"/>
    <x v="2"/>
    <s v="£480.75"/>
    <s v="High"/>
    <x v="3"/>
    <n v="508"/>
    <s v="Review"/>
  </r>
  <r>
    <n v="1054"/>
    <s v="Deborah Wagner"/>
    <n v="74"/>
    <s v="0"/>
    <d v="2026-02-15T00:00:00"/>
    <d v="2025-05-30T00:00:00"/>
    <s v="Cesar Sanchez"/>
    <x v="2"/>
    <s v="Rs277.6"/>
    <s v="High"/>
    <x v="5"/>
    <n v="261"/>
    <s v="OK"/>
  </r>
  <r>
    <n v="1026"/>
    <s v="Christine Vega"/>
    <n v="80"/>
    <s v="male"/>
    <d v="2025-04-27T00:00:00"/>
    <d v="2025-03-23T00:00:00"/>
    <s v="Jordan Cole"/>
    <x v="3"/>
    <s v="Rs301.11"/>
    <s v="High"/>
    <x v="1"/>
    <n v="35"/>
    <s v="OK"/>
  </r>
  <r>
    <n v="1015"/>
    <s v="Zachary Jones"/>
    <n v="53"/>
    <s v="0"/>
    <d v="2025-10-03T00:00:00"/>
    <d v="2025-07-01T00:00:00"/>
    <s v="Alexander Lee"/>
    <x v="1"/>
    <s v="£304.51"/>
    <s v="High"/>
    <x v="5"/>
    <n v="94"/>
    <s v="OK"/>
  </r>
  <r>
    <n v="1015"/>
    <s v="Stephen Hicks"/>
    <n v="88"/>
    <s v=""/>
    <d v="2025-10-19T00:00:00"/>
    <d v="2025-06-05T00:00:00"/>
    <s v="Christopher Underwood"/>
    <x v="1"/>
    <s v="£266.53"/>
    <s v="High"/>
    <x v="0"/>
    <n v="136"/>
    <s v="OK"/>
  </r>
  <r>
    <n v="1060"/>
    <s v="Haley Taylor"/>
    <n v="51"/>
    <s v="female"/>
    <d v="2025-07-06T00:00:00"/>
    <d v="2025-04-18T00:00:00"/>
    <s v="Christopher Wolfe"/>
    <x v="3"/>
    <s v="Rs433.55"/>
    <s v="High"/>
    <x v="1"/>
    <n v="79"/>
    <s v="OK"/>
  </r>
  <r>
    <n v="1003"/>
    <s v="Melissa Miranda"/>
    <n v="77"/>
    <s v="male"/>
    <d v="2025-06-03T00:00:00"/>
    <d v="2024-05-18T00:00:00"/>
    <s v="Jennifer Jones"/>
    <x v="1"/>
    <s v="£70.47"/>
    <s v="High"/>
    <x v="0"/>
    <n v="381"/>
    <s v="Review"/>
  </r>
  <r>
    <n v="1022"/>
    <s v="Linda Nicholson"/>
    <n v="24"/>
    <s v="female"/>
    <d v="2025-08-19T00:00:00"/>
    <d v="2025-05-10T00:00:00"/>
    <s v="Melissa Daniels"/>
    <x v="2"/>
    <s v="$425.91"/>
    <s v="High"/>
    <x v="3"/>
    <n v="101"/>
    <s v="OK"/>
  </r>
  <r>
    <n v="1093"/>
    <s v="Whitney Bradley"/>
    <n v="31"/>
    <s v=""/>
    <d v="2025-05-27T00:00:00"/>
    <d v="2024-12-20T00:00:00"/>
    <s v="Ryan White"/>
    <x v="3"/>
    <s v="€111.71"/>
    <s v="High"/>
    <x v="5"/>
    <n v="158"/>
    <s v="OK"/>
  </r>
  <r>
    <n v="1089"/>
    <s v="Carolyn Jacobson"/>
    <n v="47"/>
    <s v="female"/>
    <d v="2026-02-11T00:00:00"/>
    <d v="2025-02-14T00:00:00"/>
    <s v="Katrina Johnston"/>
    <x v="0"/>
    <s v="£365.37"/>
    <s v="High"/>
    <x v="2"/>
    <n v="362"/>
    <s v="OK"/>
  </r>
  <r>
    <n v="1094"/>
    <s v="Jordan Hudson"/>
    <n v="74"/>
    <s v="1"/>
    <d v="2025-06-17T00:00:00"/>
    <d v="2024-04-25T00:00:00"/>
    <s v="Linda Martin"/>
    <x v="0"/>
    <s v="€475.27"/>
    <s v="High"/>
    <x v="0"/>
    <n v="418"/>
    <s v="Review"/>
  </r>
  <r>
    <n v="1016"/>
    <s v="Joseph Banks"/>
    <n v="36"/>
    <s v="F"/>
    <d v="2025-12-05T00:00:00"/>
    <d v="2024-06-15T00:00:00"/>
    <s v="Susan Kelley"/>
    <x v="2"/>
    <s v="$108.6"/>
    <s v="High"/>
    <x v="4"/>
    <n v="538"/>
    <s v="Review"/>
  </r>
  <r>
    <n v="1045"/>
    <s v="Brad West"/>
    <n v="34"/>
    <s v="F"/>
    <d v="2025-05-14T00:00:00"/>
    <d v="2024-05-19T00:00:00"/>
    <s v="Samuel Stone"/>
    <x v="0"/>
    <s v="£455.05"/>
    <s v="High"/>
    <x v="4"/>
    <n v="360"/>
    <s v="OK"/>
  </r>
  <r>
    <n v="1036"/>
    <s v="Kelsey Johnson"/>
    <n v="29"/>
    <s v="1"/>
    <d v="2026-01-28T00:00:00"/>
    <d v="2024-12-03T00:00:00"/>
    <s v="Mallory Torres"/>
    <x v="2"/>
    <s v="£264.45"/>
    <s v="High"/>
    <x v="2"/>
    <n v="421"/>
    <s v="Review"/>
  </r>
  <r>
    <n v="1031"/>
    <s v="Jared Parrish"/>
    <n v="42"/>
    <s v="F"/>
    <d v="2025-08-05T00:00:00"/>
    <d v="2025-07-27T00:00:00"/>
    <s v="Wendy Herrera"/>
    <x v="1"/>
    <s v="Rs132.57"/>
    <s v="High"/>
    <x v="2"/>
    <n v="9"/>
    <s v="OK"/>
  </r>
  <r>
    <n v="1097"/>
    <s v="Megan Murphy"/>
    <n v="35"/>
    <s v=""/>
    <d v="2025-04-19T00:00:00"/>
    <d v="2025-04-11T00:00:00"/>
    <s v="Kevin Coleman"/>
    <x v="0"/>
    <s v="Rs359.5"/>
    <s v="High"/>
    <x v="4"/>
    <n v="8"/>
    <s v="OK"/>
  </r>
  <r>
    <n v="1062"/>
    <s v="Laura Lopez"/>
    <n v="25"/>
    <s v="male"/>
    <d v="2025-10-06T00:00:00"/>
    <d v="2024-06-13T00:00:00"/>
    <s v="Julie Phillips"/>
    <x v="0"/>
    <s v="Rs464.57"/>
    <s v="High"/>
    <x v="5"/>
    <n v="480"/>
    <s v="Review"/>
  </r>
  <r>
    <n v="1056"/>
    <s v="Joshua Sanford"/>
    <n v="57"/>
    <s v="female"/>
    <d v="2025-06-20T00:00:00"/>
    <d v="2025-02-13T00:00:00"/>
    <s v="Tara Montoya"/>
    <x v="2"/>
    <s v="$186.61"/>
    <s v="High"/>
    <x v="0"/>
    <n v="127"/>
    <s v="OK"/>
  </r>
  <r>
    <n v="1058"/>
    <s v="Mark Bowers"/>
    <n v="19"/>
    <s v="1"/>
    <d v="2025-05-11T00:00:00"/>
    <d v="2025-04-02T00:00:00"/>
    <s v="Antonio Bryant"/>
    <x v="2"/>
    <s v="$116.69"/>
    <s v="High"/>
    <x v="3"/>
    <n v="39"/>
    <s v="OK"/>
  </r>
  <r>
    <n v="1053"/>
    <s v="Nicole West"/>
    <n v="30"/>
    <s v="female"/>
    <d v="2026-03-24T00:00:00"/>
    <d v="2024-03-26T00:00:00"/>
    <s v="Marissa Jacobs"/>
    <x v="3"/>
    <s v="€218.44"/>
    <s v="High"/>
    <x v="5"/>
    <n v="728"/>
    <s v="Review"/>
  </r>
  <r>
    <n v="1032"/>
    <s v="Amy Wood"/>
    <n v="43"/>
    <s v="F"/>
    <d v="2025-06-22T00:00:00"/>
    <d v="2025-01-25T00:00:00"/>
    <s v="John Shannon"/>
    <x v="2"/>
    <s v="€255.67"/>
    <s v="High"/>
    <x v="5"/>
    <n v="148"/>
    <s v="OK"/>
  </r>
  <r>
    <n v="1049"/>
    <s v="Robert Montoya"/>
    <n v="79"/>
    <s v="1"/>
    <d v="2025-12-06T00:00:00"/>
    <d v="2024-09-09T00:00:00"/>
    <s v="Gregg Bennett"/>
    <x v="2"/>
    <s v=""/>
    <s v="High"/>
    <x v="2"/>
    <n v="453"/>
    <s v="Review"/>
  </r>
  <r>
    <n v="1068"/>
    <s v="Robert Torres"/>
    <n v="61"/>
    <s v="male"/>
    <d v="2025-10-20T00:00:00"/>
    <d v="2025-08-07T00:00:00"/>
    <s v="Kyle Phillips"/>
    <x v="2"/>
    <s v="$129.48"/>
    <s v="High"/>
    <x v="4"/>
    <n v="74"/>
    <s v="OK"/>
  </r>
  <r>
    <n v="1015"/>
    <s v="Mason Morgan"/>
    <n v="53"/>
    <s v="male"/>
    <d v="2025-04-21T00:00:00"/>
    <d v="2024-08-25T00:00:00"/>
    <s v="James Cobb"/>
    <x v="3"/>
    <s v="Rs299.03"/>
    <s v="High"/>
    <x v="2"/>
    <n v="239"/>
    <s v="OK"/>
  </r>
  <r>
    <n v="1090"/>
    <s v="Jeffrey Hart"/>
    <n v="70"/>
    <s v="female"/>
    <d v="2025-12-09T00:00:00"/>
    <d v="2024-11-16T00:00:00"/>
    <s v="Jacob Townsend"/>
    <x v="1"/>
    <s v="Rs459.66"/>
    <s v="High"/>
    <x v="1"/>
    <n v="388"/>
    <s v="Review"/>
  </r>
  <r>
    <n v="1086"/>
    <s v="Jessica Pitts"/>
    <n v="72"/>
    <s v="0"/>
    <d v="2026-03-10T00:00:00"/>
    <d v="2025-10-22T00:00:00"/>
    <s v="Miguel Hayes"/>
    <x v="1"/>
    <s v="£403.61"/>
    <s v="High"/>
    <x v="5"/>
    <n v="139"/>
    <s v="OK"/>
  </r>
  <r>
    <n v="1088"/>
    <s v="Amy King"/>
    <n v="49"/>
    <s v="female"/>
    <d v="2025-09-15T00:00:00"/>
    <d v="2025-01-30T00:00:00"/>
    <s v="Peter Wells"/>
    <x v="3"/>
    <s v="£241.48"/>
    <s v="High"/>
    <x v="1"/>
    <n v="228"/>
    <s v="OK"/>
  </r>
  <r>
    <n v="1034"/>
    <s v="Lisa Fisher"/>
    <n v="44"/>
    <s v=""/>
    <d v="2025-07-16T00:00:00"/>
    <d v="2025-06-12T00:00:00"/>
    <s v="Karen Martin"/>
    <x v="2"/>
    <s v="$417.38"/>
    <s v="High"/>
    <x v="3"/>
    <n v="34"/>
    <s v="OK"/>
  </r>
  <r>
    <n v="1070"/>
    <s v="Donna Jenkins"/>
    <n v="68"/>
    <s v="female"/>
    <d v="2025-05-30T00:00:00"/>
    <d v="2024-05-14T00:00:00"/>
    <s v="Rachel Allen"/>
    <x v="3"/>
    <s v="Rs390.97"/>
    <s v="High"/>
    <x v="3"/>
    <n v="381"/>
    <s v="Review"/>
  </r>
  <r>
    <n v="1032"/>
    <s v="Matthew Cox"/>
    <n v="88"/>
    <s v="M"/>
    <d v="2026-01-22T00:00:00"/>
    <d v="2024-04-07T00:00:00"/>
    <s v="Alexander Horton"/>
    <x v="3"/>
    <s v="Rs100.2"/>
    <s v="High"/>
    <x v="2"/>
    <n v="655"/>
    <s v="Review"/>
  </r>
  <r>
    <n v="1036"/>
    <s v="Melissa Berry MD"/>
    <n v="75"/>
    <s v="1"/>
    <d v="2026-02-23T00:00:00"/>
    <d v="2024-10-16T00:00:00"/>
    <s v="Kathryn Hooper"/>
    <x v="0"/>
    <s v="£462.97"/>
    <s v="High"/>
    <x v="4"/>
    <n v="495"/>
    <s v="Review"/>
  </r>
  <r>
    <n v="1098"/>
    <s v="Zachary Frazier"/>
    <n v="88"/>
    <s v="female"/>
    <d v="2026-02-14T00:00:00"/>
    <d v="2024-12-27T00:00:00"/>
    <s v="Tamara Thompson"/>
    <x v="1"/>
    <s v="$481.92"/>
    <s v="High"/>
    <x v="5"/>
    <n v="414"/>
    <s v="Review"/>
  </r>
  <r>
    <n v="1071"/>
    <s v="Jose Bryant"/>
    <n v="49"/>
    <s v="male"/>
    <d v="2025-05-24T00:00:00"/>
    <d v="2024-12-10T00:00:00"/>
    <s v="Ryan Lopez"/>
    <x v="1"/>
    <s v="£350.41"/>
    <s v="High"/>
    <x v="4"/>
    <n v="165"/>
    <s v="OK"/>
  </r>
  <r>
    <n v="1054"/>
    <s v="Thomas Smith"/>
    <n v="82"/>
    <s v="1"/>
    <d v="2025-11-23T00:00:00"/>
    <d v="2024-12-07T00:00:00"/>
    <s v="Kenneth Turner"/>
    <x v="0"/>
    <s v="Rs392.87"/>
    <s v="High"/>
    <x v="3"/>
    <n v="351"/>
    <s v="OK"/>
  </r>
  <r>
    <n v="1054"/>
    <s v="Jason Harrington"/>
    <n v="62"/>
    <s v="male"/>
    <d v="2026-01-16T00:00:00"/>
    <d v="2025-07-14T00:00:00"/>
    <s v="Stacey Miller"/>
    <x v="1"/>
    <s v=""/>
    <s v="High"/>
    <x v="2"/>
    <n v="186"/>
    <s v="OK"/>
  </r>
  <r>
    <n v="1090"/>
    <s v="Autumn Griffin"/>
    <n v="55"/>
    <s v="0"/>
    <d v="2025-09-21T00:00:00"/>
    <d v="2024-06-18T00:00:00"/>
    <s v="Isabel Harris"/>
    <x v="1"/>
    <s v="$202.41"/>
    <s v="High"/>
    <x v="5"/>
    <n v="460"/>
    <s v="Review"/>
  </r>
  <r>
    <n v="1027"/>
    <s v="Adam Shelton"/>
    <n v="83"/>
    <s v="1"/>
    <d v="2025-06-26T00:00:00"/>
    <d v="2025-06-12T00:00:00"/>
    <s v="Mary Thompson"/>
    <x v="2"/>
    <s v="$225.1"/>
    <s v="High"/>
    <x v="3"/>
    <n v="14"/>
    <s v="OK"/>
  </r>
  <r>
    <n v="1017"/>
    <s v="Amber Trevino"/>
    <n v="86"/>
    <s v="F"/>
    <d v="2025-05-28T00:00:00"/>
    <d v="2024-07-10T00:00:00"/>
    <s v="Sarah Holder"/>
    <x v="0"/>
    <s v=""/>
    <s v="High"/>
    <x v="0"/>
    <n v="322"/>
    <s v="OK"/>
  </r>
  <r>
    <n v="1027"/>
    <s v="Jamie Aguilar"/>
    <n v="77"/>
    <s v="female"/>
    <d v="2025-09-19T00:00:00"/>
    <d v="2024-08-20T00:00:00"/>
    <s v="Michael Duke"/>
    <x v="0"/>
    <s v="€400.01"/>
    <s v="High"/>
    <x v="1"/>
    <n v="395"/>
    <s v="Review"/>
  </r>
  <r>
    <n v="1026"/>
    <s v="Alyssa Lucas"/>
    <n v="47"/>
    <s v="F"/>
    <d v="2026-01-06T00:00:00"/>
    <d v="2024-10-11T00:00:00"/>
    <s v="Daniel Ryan"/>
    <x v="2"/>
    <s v="$400.52"/>
    <s v="High"/>
    <x v="3"/>
    <n v="452"/>
    <s v="Review"/>
  </r>
  <r>
    <n v="1080"/>
    <s v="Theresa Young"/>
    <n v="69"/>
    <s v="male"/>
    <d v="2025-10-15T00:00:00"/>
    <d v="2025-06-11T00:00:00"/>
    <s v="Brenda Booth"/>
    <x v="3"/>
    <s v="£152.7"/>
    <s v="High"/>
    <x v="5"/>
    <n v="126"/>
    <s v="OK"/>
  </r>
  <r>
    <n v="1039"/>
    <s v="Donna Clark"/>
    <n v="40"/>
    <s v="0"/>
    <d v="2025-09-03T00:00:00"/>
    <d v="2024-04-08T00:00:00"/>
    <s v="Joanne Adams"/>
    <x v="0"/>
    <s v="€154.68"/>
    <s v="High"/>
    <x v="3"/>
    <n v="513"/>
    <s v="Review"/>
  </r>
  <r>
    <n v="1059"/>
    <s v="Michael White"/>
    <n v="32"/>
    <s v="male"/>
    <d v="2026-03-11T00:00:00"/>
    <d v="2025-07-23T00:00:00"/>
    <s v="Seth Ramirez"/>
    <x v="3"/>
    <s v="$300.71"/>
    <s v="High"/>
    <x v="3"/>
    <n v="231"/>
    <s v="OK"/>
  </r>
  <r>
    <n v="1043"/>
    <s v="Jessica Johnson"/>
    <n v="66"/>
    <s v="1"/>
    <d v="2025-11-22T00:00:00"/>
    <d v="2025-09-07T00:00:00"/>
    <s v="Kevin Weaver"/>
    <x v="2"/>
    <s v="£166.59"/>
    <s v="High"/>
    <x v="3"/>
    <n v="76"/>
    <s v="OK"/>
  </r>
  <r>
    <n v="1066"/>
    <s v="Victor Anderson MD"/>
    <n v="28"/>
    <s v="male"/>
    <d v="2025-09-10T00:00:00"/>
    <d v="2025-04-21T00:00:00"/>
    <s v="Dr. William Terry"/>
    <x v="0"/>
    <s v="£357.83"/>
    <s v="High"/>
    <x v="0"/>
    <n v="142"/>
    <s v="OK"/>
  </r>
  <r>
    <n v="1040"/>
    <s v="Jodi Floyd"/>
    <n v="35"/>
    <s v="M"/>
    <d v="2025-08-19T00:00:00"/>
    <d v="2025-06-15T00:00:00"/>
    <s v="Brett Arnold"/>
    <x v="3"/>
    <s v="Rs458.11"/>
    <s v="High"/>
    <x v="4"/>
    <n v="65"/>
    <s v="OK"/>
  </r>
  <r>
    <n v="1090"/>
    <s v="Bradley Leach"/>
    <n v="25"/>
    <s v="female"/>
    <d v="2025-11-13T00:00:00"/>
    <d v="2024-12-13T00:00:00"/>
    <s v="Amanda Flores"/>
    <x v="3"/>
    <s v="€85.07"/>
    <s v="High"/>
    <x v="0"/>
    <n v="335"/>
    <s v="OK"/>
  </r>
  <r>
    <n v="1003"/>
    <s v="Stephen Butler"/>
    <n v="81"/>
    <s v="female"/>
    <d v="2025-05-22T00:00:00"/>
    <d v="2024-04-15T00:00:00"/>
    <s v="Shannon Martinez"/>
    <x v="2"/>
    <s v="£209.67"/>
    <s v="High"/>
    <x v="1"/>
    <n v="402"/>
    <s v="Review"/>
  </r>
  <r>
    <n v="1054"/>
    <s v="Jennifer Martin"/>
    <n v="30"/>
    <s v="male"/>
    <d v="2026-02-22T00:00:00"/>
    <d v="2025-07-04T00:00:00"/>
    <s v="Jeffery Smith"/>
    <x v="3"/>
    <s v="£239.39"/>
    <s v="High"/>
    <x v="4"/>
    <n v="233"/>
    <s v="OK"/>
  </r>
  <r>
    <n v="1003"/>
    <s v="Janet Gordon"/>
    <n v="41"/>
    <s v="0"/>
    <d v="2025-05-14T00:00:00"/>
    <d v="2024-04-05T00:00:00"/>
    <s v="Michelle Johnson"/>
    <x v="3"/>
    <s v="Rs398.73"/>
    <s v="High"/>
    <x v="2"/>
    <n v="404"/>
    <s v="Review"/>
  </r>
  <r>
    <n v="1011"/>
    <s v="Susan Bautista"/>
    <n v="54"/>
    <s v="0"/>
    <d v="2026-02-13T00:00:00"/>
    <d v="2024-11-06T00:00:00"/>
    <s v="Michael Schmidt"/>
    <x v="1"/>
    <s v="€325.86"/>
    <s v="High"/>
    <x v="4"/>
    <n v="464"/>
    <s v="Review"/>
  </r>
  <r>
    <n v="1029"/>
    <s v="Steve Ramirez"/>
    <n v="30"/>
    <s v="F"/>
    <d v="2025-07-19T00:00:00"/>
    <d v="2025-05-12T00:00:00"/>
    <s v="Michelle Jones"/>
    <x v="1"/>
    <s v="$451.11"/>
    <s v="High"/>
    <x v="4"/>
    <n v="68"/>
    <s v="OK"/>
  </r>
  <r>
    <n v="1051"/>
    <s v="Kristine Logan"/>
    <n v="53"/>
    <s v="0"/>
    <d v="2025-06-29T00:00:00"/>
    <d v="2024-09-13T00:00:00"/>
    <s v="Regina Cox"/>
    <x v="2"/>
    <s v="£416.39"/>
    <s v="High"/>
    <x v="2"/>
    <n v="289"/>
    <s v="OK"/>
  </r>
  <r>
    <n v="1041"/>
    <s v="Janet Lewis"/>
    <n v="65"/>
    <s v="1"/>
    <d v="2025-10-28T00:00:00"/>
    <d v="2025-08-18T00:00:00"/>
    <s v="Gregory Neal"/>
    <x v="2"/>
    <s v="€303.42"/>
    <s v="High"/>
    <x v="4"/>
    <n v="71"/>
    <s v="OK"/>
  </r>
  <r>
    <n v="1004"/>
    <s v="Phillip Blevins"/>
    <n v="64"/>
    <s v=""/>
    <d v="2026-03-12T00:00:00"/>
    <d v="2024-06-04T00:00:00"/>
    <s v="Darryl Garcia"/>
    <x v="3"/>
    <s v="$124.85"/>
    <s v="High"/>
    <x v="0"/>
    <n v="646"/>
    <s v="Review"/>
  </r>
  <r>
    <n v="1054"/>
    <s v="Robert Mason"/>
    <n v="78"/>
    <s v="male"/>
    <d v="2025-12-25T00:00:00"/>
    <d v="2024-12-13T00:00:00"/>
    <s v="Steven Mercer"/>
    <x v="2"/>
    <s v="$370.37"/>
    <s v="High"/>
    <x v="2"/>
    <n v="377"/>
    <s v="Review"/>
  </r>
  <r>
    <n v="1006"/>
    <s v="Rachel Nguyen"/>
    <n v="63"/>
    <s v="M"/>
    <d v="2025-12-13T00:00:00"/>
    <d v="2025-03-05T00:00:00"/>
    <s v="John Wolf"/>
    <x v="2"/>
    <s v="Rs416.85"/>
    <s v="High"/>
    <x v="4"/>
    <n v="283"/>
    <s v="OK"/>
  </r>
  <r>
    <n v="1076"/>
    <s v="John Nguyen"/>
    <n v="23"/>
    <s v="male"/>
    <d v="2025-10-05T00:00:00"/>
    <d v="2025-03-20T00:00:00"/>
    <s v="David Robertson"/>
    <x v="3"/>
    <s v=""/>
    <s v="High"/>
    <x v="2"/>
    <n v="199"/>
    <s v="OK"/>
  </r>
  <r>
    <n v="1054"/>
    <s v="Jennifer Stevens"/>
    <n v="70"/>
    <s v="0"/>
    <d v="2025-11-03T00:00:00"/>
    <d v="2025-06-16T00:00:00"/>
    <s v="Joseph Park"/>
    <x v="0"/>
    <s v="£231.18"/>
    <s v="High"/>
    <x v="3"/>
    <n v="140"/>
    <s v="OK"/>
  </r>
  <r>
    <n v="1021"/>
    <s v="Matthew Davis"/>
    <n v="54"/>
    <s v="male"/>
    <d v="2025-09-20T00:00:00"/>
    <d v="2024-06-24T00:00:00"/>
    <s v="Megan Lopez"/>
    <x v="0"/>
    <s v="Rs119.4"/>
    <s v="High"/>
    <x v="5"/>
    <n v="453"/>
    <s v="Review"/>
  </r>
  <r>
    <n v="1015"/>
    <s v="Ashley Daniels"/>
    <n v="50"/>
    <s v="0"/>
    <d v="2025-08-25T00:00:00"/>
    <d v="2024-06-18T00:00:00"/>
    <s v="Robert Davies"/>
    <x v="2"/>
    <s v="$63.38"/>
    <s v="High"/>
    <x v="3"/>
    <n v="433"/>
    <s v="Review"/>
  </r>
  <r>
    <n v="1014"/>
    <s v="Dana Park"/>
    <n v="79"/>
    <s v="0"/>
    <d v="2026-01-28T00:00:00"/>
    <d v="2024-04-03T00:00:00"/>
    <s v="Christopher Garrett"/>
    <x v="2"/>
    <s v="Rs341.27"/>
    <s v="High"/>
    <x v="3"/>
    <n v="665"/>
    <s v="Review"/>
  </r>
  <r>
    <n v="1088"/>
    <s v="Michael Short"/>
    <n v="83"/>
    <s v="male"/>
    <d v="2026-01-03T00:00:00"/>
    <d v="2024-12-21T00:00:00"/>
    <s v="Charles Hess"/>
    <x v="1"/>
    <s v="$483.19"/>
    <s v="High"/>
    <x v="3"/>
    <n v="378"/>
    <s v="Review"/>
  </r>
  <r>
    <n v="1034"/>
    <s v="Anthony Mitchell"/>
    <n v="37"/>
    <s v="0"/>
    <d v="2025-10-09T00:00:00"/>
    <d v="2025-04-05T00:00:00"/>
    <s v="Theresa Osborne"/>
    <x v="2"/>
    <s v="€371.49"/>
    <s v="High"/>
    <x v="4"/>
    <n v="187"/>
    <s v="OK"/>
  </r>
  <r>
    <n v="1020"/>
    <s v="Jamie Peck"/>
    <n v="40"/>
    <s v="female"/>
    <d v="2026-01-14T00:00:00"/>
    <d v="2025-11-13T00:00:00"/>
    <s v="Lisa Garcia"/>
    <x v="2"/>
    <s v="€406.43"/>
    <s v="High"/>
    <x v="4"/>
    <n v="62"/>
    <s v="OK"/>
  </r>
  <r>
    <n v="1053"/>
    <s v="Kelsey Kelly"/>
    <n v="76"/>
    <s v="male"/>
    <d v="2025-06-19T00:00:00"/>
    <d v="2025-04-30T00:00:00"/>
    <s v="Denise Hall"/>
    <x v="0"/>
    <s v="€334.38"/>
    <s v="High"/>
    <x v="5"/>
    <n v="50"/>
    <s v="OK"/>
  </r>
  <r>
    <n v="1011"/>
    <s v="Allison Mcgrath"/>
    <n v="60"/>
    <s v="male"/>
    <d v="2025-06-22T00:00:00"/>
    <d v="2024-04-26T00:00:00"/>
    <s v="Morgan Mccoy"/>
    <x v="0"/>
    <s v="Rs125.6"/>
    <s v="High"/>
    <x v="5"/>
    <n v="422"/>
    <s v="Review"/>
  </r>
  <r>
    <n v="1074"/>
    <s v="Denise Anderson"/>
    <n v="51"/>
    <s v="M"/>
    <d v="2025-12-28T00:00:00"/>
    <d v="2025-04-17T00:00:00"/>
    <s v="Timothy Beasley"/>
    <x v="3"/>
    <s v="£377.85"/>
    <s v="High"/>
    <x v="4"/>
    <n v="255"/>
    <s v="OK"/>
  </r>
  <r>
    <n v="1051"/>
    <s v="Louis Thomas"/>
    <n v="52"/>
    <s v="0"/>
    <d v="2025-09-07T00:00:00"/>
    <d v="2024-04-23T00:00:00"/>
    <s v="Michelle Carter"/>
    <x v="0"/>
    <s v="£450.24"/>
    <s v="High"/>
    <x v="0"/>
    <n v="502"/>
    <s v="Review"/>
  </r>
  <r>
    <n v="1029"/>
    <s v="Sarah Taylor"/>
    <n v="43"/>
    <s v="female"/>
    <d v="2025-09-25T00:00:00"/>
    <d v="2024-10-30T00:00:00"/>
    <s v="Christopher Sexton"/>
    <x v="0"/>
    <s v="€382.81"/>
    <s v="High"/>
    <x v="0"/>
    <n v="330"/>
    <s v="OK"/>
  </r>
  <r>
    <n v="1043"/>
    <s v="Dustin Perry"/>
    <n v="38"/>
    <s v="male"/>
    <d v="2026-01-25T00:00:00"/>
    <d v="2024-04-09T00:00:00"/>
    <s v="Adam Moore"/>
    <x v="2"/>
    <s v="$424.21"/>
    <s v="High"/>
    <x v="4"/>
    <n v="656"/>
    <s v="Review"/>
  </r>
  <r>
    <n v="1095"/>
    <s v="Shawn Tucker"/>
    <n v="84"/>
    <s v="F"/>
    <d v="2026-02-15T00:00:00"/>
    <d v="2025-11-21T00:00:00"/>
    <s v="Melissa Schmidt"/>
    <x v="1"/>
    <s v="€258.38"/>
    <s v="High"/>
    <x v="1"/>
    <n v="86"/>
    <s v="OK"/>
  </r>
  <r>
    <n v="1080"/>
    <s v="Rachel Russo"/>
    <n v="40"/>
    <s v="1"/>
    <d v="2025-08-27T00:00:00"/>
    <d v="2025-07-13T00:00:00"/>
    <s v="Christine Wilson"/>
    <x v="1"/>
    <s v="Rs366.15"/>
    <s v="High"/>
    <x v="3"/>
    <n v="45"/>
    <s v="OK"/>
  </r>
  <r>
    <n v="1082"/>
    <s v="Dana Martinez"/>
    <n v="89"/>
    <s v="1"/>
    <d v="2025-03-27T00:00:00"/>
    <d v="2024-12-16T00:00:00"/>
    <s v="Barry Bennett"/>
    <x v="0"/>
    <s v="Rs466.92"/>
    <s v="High"/>
    <x v="4"/>
    <n v="101"/>
    <s v="OK"/>
  </r>
  <r>
    <n v="1058"/>
    <s v="Shane Fowler"/>
    <n v="57"/>
    <s v="0"/>
    <d v="2025-10-30T00:00:00"/>
    <d v="2024-08-27T00:00:00"/>
    <s v="Kimberly Douglas"/>
    <x v="2"/>
    <s v="£114.67"/>
    <s v="High"/>
    <x v="1"/>
    <n v="429"/>
    <s v="Review"/>
  </r>
  <r>
    <n v="1088"/>
    <s v="Kimberly Robinson"/>
    <n v="26"/>
    <s v="female"/>
    <d v="2026-03-04T00:00:00"/>
    <d v="2025-12-28T00:00:00"/>
    <s v="Michael Wright"/>
    <x v="0"/>
    <s v="Rs71.67"/>
    <s v="High"/>
    <x v="5"/>
    <n v="66"/>
    <s v="OK"/>
  </r>
  <r>
    <n v="1039"/>
    <s v="Robert Rodriguez"/>
    <n v="61"/>
    <s v="0"/>
    <d v="2025-11-07T00:00:00"/>
    <d v="2025-09-21T00:00:00"/>
    <s v="Stephanie Douglas"/>
    <x v="3"/>
    <s v="Rs264.27"/>
    <s v="High"/>
    <x v="5"/>
    <n v="47"/>
    <s v="OK"/>
  </r>
  <r>
    <n v="1016"/>
    <s v="Rita Joyce"/>
    <n v="78"/>
    <s v="F"/>
    <d v="2025-05-21T00:00:00"/>
    <d v="2024-08-18T00:00:00"/>
    <s v="Diana Neal"/>
    <x v="2"/>
    <s v="Rs92.45"/>
    <s v="High"/>
    <x v="1"/>
    <n v="276"/>
    <s v="OK"/>
  </r>
  <r>
    <n v="1098"/>
    <s v="Kimberly Meyer"/>
    <n v="35"/>
    <s v="1"/>
    <d v="2025-12-17T00:00:00"/>
    <d v="2024-04-27T00:00:00"/>
    <s v="Christopher Perez"/>
    <x v="1"/>
    <s v="Rs441.33"/>
    <s v="High"/>
    <x v="4"/>
    <n v="599"/>
    <s v="Review"/>
  </r>
  <r>
    <n v="1025"/>
    <s v="Kelly Morris"/>
    <n v="40"/>
    <s v="male"/>
    <d v="2025-08-11T00:00:00"/>
    <d v="2024-08-02T00:00:00"/>
    <s v="Matthew Mccann"/>
    <x v="1"/>
    <s v="Rs258.78"/>
    <s v="High"/>
    <x v="5"/>
    <n v="374"/>
    <s v="Review"/>
  </r>
  <r>
    <n v="1012"/>
    <s v="Kevin Thompson"/>
    <n v="59"/>
    <s v="female"/>
    <d v="2025-05-01T00:00:00"/>
    <d v="2024-10-02T00:00:00"/>
    <s v="Lynn Cruz"/>
    <x v="3"/>
    <s v="Rs156.71"/>
    <s v="High"/>
    <x v="0"/>
    <n v="211"/>
    <s v="OK"/>
  </r>
  <r>
    <n v="1038"/>
    <s v="April Braun"/>
    <n v="57"/>
    <s v="female"/>
    <d v="2025-04-29T00:00:00"/>
    <d v="2024-04-16T00:00:00"/>
    <s v="Jacob Mendoza"/>
    <x v="2"/>
    <s v="Rs110.47"/>
    <s v="High"/>
    <x v="1"/>
    <n v="378"/>
    <s v="Review"/>
  </r>
  <r>
    <n v="1000"/>
    <s v="Alejandro Lopez"/>
    <n v="85"/>
    <s v="M"/>
    <d v="2025-06-15T00:00:00"/>
    <d v="2024-07-03T00:00:00"/>
    <s v="Brian Bowman"/>
    <x v="2"/>
    <s v="€361.32"/>
    <s v="High"/>
    <x v="5"/>
    <n v="347"/>
    <s v="OK"/>
  </r>
  <r>
    <n v="1020"/>
    <s v="Scott Bishop"/>
    <n v="76"/>
    <s v="female"/>
    <d v="2025-05-30T00:00:00"/>
    <d v="2024-07-27T00:00:00"/>
    <s v="Dylan Gibson"/>
    <x v="3"/>
    <s v="€405.85"/>
    <s v="High"/>
    <x v="2"/>
    <n v="307"/>
    <s v="OK"/>
  </r>
  <r>
    <n v="1010"/>
    <s v="Steven Baldwin"/>
    <n v="87"/>
    <s v=""/>
    <d v="2025-06-05T00:00:00"/>
    <d v="2024-04-14T00:00:00"/>
    <s v="Lori Reid"/>
    <x v="2"/>
    <s v="Rs496.78"/>
    <s v="High"/>
    <x v="0"/>
    <n v="417"/>
    <s v="Review"/>
  </r>
  <r>
    <n v="1031"/>
    <s v="Randy Austin"/>
    <n v="40"/>
    <s v="1"/>
    <d v="2026-02-12T00:00:00"/>
    <d v="2024-04-12T00:00:00"/>
    <s v="Dr. Deborah Fitzgerald"/>
    <x v="2"/>
    <s v="$364.33"/>
    <s v="High"/>
    <x v="4"/>
    <n v="671"/>
    <s v="Review"/>
  </r>
  <r>
    <n v="1006"/>
    <s v="Anthony Martin"/>
    <n v="54"/>
    <s v="female"/>
    <d v="2025-06-18T00:00:00"/>
    <d v="2024-11-06T00:00:00"/>
    <s v="Alex Richards"/>
    <x v="2"/>
    <s v="Rs119.63"/>
    <s v="High"/>
    <x v="2"/>
    <n v="224"/>
    <s v="OK"/>
  </r>
  <r>
    <n v="1078"/>
    <s v="Patricia Ramsey"/>
    <n v="85"/>
    <s v="F"/>
    <d v="2025-07-20T00:00:00"/>
    <d v="2024-11-27T00:00:00"/>
    <s v="Jennifer Tanner"/>
    <x v="3"/>
    <s v="£399.55"/>
    <s v="High"/>
    <x v="5"/>
    <n v="235"/>
    <s v="OK"/>
  </r>
  <r>
    <n v="1021"/>
    <s v="Lauren Gardner"/>
    <n v="43"/>
    <s v="F"/>
    <d v="2025-04-25T00:00:00"/>
    <d v="2025-04-01T00:00:00"/>
    <s v="Alison Castro"/>
    <x v="2"/>
    <s v="Rs186.4"/>
    <s v="High"/>
    <x v="5"/>
    <n v="24"/>
    <s v="OK"/>
  </r>
  <r>
    <n v="1084"/>
    <s v="Daniel Willis"/>
    <n v="53"/>
    <s v="female"/>
    <d v="2025-11-05T00:00:00"/>
    <d v="2025-08-01T00:00:00"/>
    <s v="Megan Austin"/>
    <x v="2"/>
    <s v="Rs234.99"/>
    <s v="High"/>
    <x v="3"/>
    <n v="96"/>
    <s v="OK"/>
  </r>
  <r>
    <n v="1025"/>
    <s v="Shawn Moore"/>
    <n v="55"/>
    <s v="female"/>
    <d v="2025-11-15T00:00:00"/>
    <d v="2024-07-06T00:00:00"/>
    <s v="Rebecca Ward"/>
    <x v="3"/>
    <s v="Rs316.26"/>
    <s v="High"/>
    <x v="2"/>
    <n v="497"/>
    <s v="Review"/>
  </r>
  <r>
    <n v="1015"/>
    <s v="Sherry Wilson"/>
    <n v="21"/>
    <s v="F"/>
    <d v="2025-12-07T00:00:00"/>
    <d v="2025-02-28T00:00:00"/>
    <s v="Pamela Wiley"/>
    <x v="1"/>
    <s v="Rs129.91"/>
    <s v="High"/>
    <x v="0"/>
    <n v="282"/>
    <s v="OK"/>
  </r>
  <r>
    <n v="1084"/>
    <s v="Teresa Peters"/>
    <n v="78"/>
    <s v="male"/>
    <d v="2026-02-11T00:00:00"/>
    <d v="2024-11-14T00:00:00"/>
    <s v="Tracey Johnson"/>
    <x v="2"/>
    <s v="€468.01"/>
    <s v="High"/>
    <x v="5"/>
    <n v="454"/>
    <s v="Review"/>
  </r>
  <r>
    <n v="1015"/>
    <s v="Nicole Evans"/>
    <n v="86"/>
    <s v="F"/>
    <d v="2025-08-13T00:00:00"/>
    <d v="2024-09-21T00:00:00"/>
    <s v="Ashley Cuevas"/>
    <x v="0"/>
    <s v="Rs459.41"/>
    <s v="High"/>
    <x v="1"/>
    <n v="326"/>
    <s v="OK"/>
  </r>
  <r>
    <n v="1091"/>
    <s v="Brandon Sanders"/>
    <n v="27"/>
    <s v="male"/>
    <d v="2026-01-09T00:00:00"/>
    <d v="2025-03-16T00:00:00"/>
    <s v="Amy Dunlap"/>
    <x v="1"/>
    <s v="€370.25"/>
    <s v="High"/>
    <x v="5"/>
    <n v="299"/>
    <s v="OK"/>
  </r>
  <r>
    <n v="1065"/>
    <s v="Samantha Wallace"/>
    <n v="76"/>
    <s v="male"/>
    <d v="2025-06-28T00:00:00"/>
    <d v="2024-12-22T00:00:00"/>
    <s v="Charles Jackson"/>
    <x v="1"/>
    <s v="Rs145.83"/>
    <s v="High"/>
    <x v="1"/>
    <n v="188"/>
    <s v="OK"/>
  </r>
  <r>
    <n v="1045"/>
    <s v="Jared Butler"/>
    <n v="38"/>
    <s v="male"/>
    <d v="2025-08-19T00:00:00"/>
    <d v="2025-06-09T00:00:00"/>
    <s v="Jason Morales"/>
    <x v="3"/>
    <s v="€243.78"/>
    <s v="High"/>
    <x v="3"/>
    <n v="71"/>
    <s v="OK"/>
  </r>
  <r>
    <n v="1050"/>
    <s v="Tracey Beck"/>
    <n v="81"/>
    <s v="male"/>
    <d v="2025-05-27T00:00:00"/>
    <d v="2024-09-20T00:00:00"/>
    <s v="Logan Cooper"/>
    <x v="0"/>
    <s v="$184.28"/>
    <s v="High"/>
    <x v="1"/>
    <n v="249"/>
    <s v="OK"/>
  </r>
  <r>
    <n v="1058"/>
    <s v="Brianna Mcpherson"/>
    <n v="90"/>
    <s v="male"/>
    <d v="2025-05-13T00:00:00"/>
    <d v="2024-06-17T00:00:00"/>
    <s v="Nathaniel Thompson"/>
    <x v="3"/>
    <s v="£109.61"/>
    <s v="High"/>
    <x v="3"/>
    <n v="330"/>
    <s v="OK"/>
  </r>
  <r>
    <n v="1047"/>
    <s v="Ray Mcbride"/>
    <n v="87"/>
    <s v="female"/>
    <d v="2025-10-06T00:00:00"/>
    <d v="2024-12-02T00:00:00"/>
    <s v="Natalie Turner"/>
    <x v="3"/>
    <s v="$135.41"/>
    <s v="High"/>
    <x v="4"/>
    <n v="308"/>
    <s v="OK"/>
  </r>
  <r>
    <n v="1044"/>
    <s v="Tammy Thomas"/>
    <n v="74"/>
    <s v="F"/>
    <d v="2025-04-02T00:00:00"/>
    <d v="2025-01-19T00:00:00"/>
    <s v="Kurt Cain"/>
    <x v="1"/>
    <s v="£109.02"/>
    <s v="High"/>
    <x v="5"/>
    <n v="73"/>
    <s v="OK"/>
  </r>
  <r>
    <n v="1049"/>
    <s v="Kelly Mason"/>
    <n v="65"/>
    <s v="female"/>
    <d v="2026-02-17T00:00:00"/>
    <d v="2024-05-31T00:00:00"/>
    <s v="Laura Edwards"/>
    <x v="0"/>
    <s v="$205.16"/>
    <s v="High"/>
    <x v="0"/>
    <n v="627"/>
    <s v="Review"/>
  </r>
  <r>
    <n v="1095"/>
    <s v="Nicholas Kelly"/>
    <n v="53"/>
    <s v="F"/>
    <d v="2026-03-23T00:00:00"/>
    <d v="2025-04-02T00:00:00"/>
    <s v="Paula Freeman"/>
    <x v="0"/>
    <s v=""/>
    <s v="High"/>
    <x v="1"/>
    <n v="355"/>
    <s v="OK"/>
  </r>
  <r>
    <n v="1098"/>
    <s v="Anne Jones DVM"/>
    <n v="48"/>
    <s v="F"/>
    <d v="2026-01-05T00:00:00"/>
    <d v="2025-05-30T00:00:00"/>
    <s v="Linda French"/>
    <x v="3"/>
    <s v="$296.43"/>
    <s v="High"/>
    <x v="3"/>
    <n v="220"/>
    <s v="OK"/>
  </r>
  <r>
    <n v="1066"/>
    <s v="Andrea Mendez"/>
    <n v="33"/>
    <s v="M"/>
    <d v="2025-07-02T00:00:00"/>
    <d v="2024-08-14T00:00:00"/>
    <s v="Joshua Reed"/>
    <x v="3"/>
    <s v="$233.98"/>
    <s v="High"/>
    <x v="2"/>
    <n v="322"/>
    <s v="OK"/>
  </r>
  <r>
    <n v="1014"/>
    <s v="Jennifer Schwartz"/>
    <n v="90"/>
    <s v=""/>
    <d v="2026-02-12T00:00:00"/>
    <d v="2024-08-14T00:00:00"/>
    <s v="Mrs. Michelle Ramsey"/>
    <x v="1"/>
    <s v="€474.34"/>
    <s v="High"/>
    <x v="4"/>
    <n v="547"/>
    <s v="Review"/>
  </r>
  <r>
    <n v="1003"/>
    <s v="Zachary Cross"/>
    <n v="61"/>
    <s v="1"/>
    <d v="2025-07-31T00:00:00"/>
    <d v="2025-04-23T00:00:00"/>
    <s v="Toni Rodriguez"/>
    <x v="2"/>
    <s v="£317.84"/>
    <s v="High"/>
    <x v="5"/>
    <n v="99"/>
    <s v="OK"/>
  </r>
  <r>
    <n v="1056"/>
    <s v="Andrea Murray"/>
    <n v="46"/>
    <s v="1"/>
    <d v="2026-03-12T00:00:00"/>
    <d v="2025-08-11T00:00:00"/>
    <s v="Alexa Martin"/>
    <x v="2"/>
    <s v="Rs435.55"/>
    <s v="High"/>
    <x v="5"/>
    <n v="213"/>
    <s v="OK"/>
  </r>
  <r>
    <n v="1033"/>
    <s v="Michele Green"/>
    <n v="48"/>
    <s v="0"/>
    <d v="2025-06-30T00:00:00"/>
    <d v="2025-01-24T00:00:00"/>
    <s v="Nancy Hernandez"/>
    <x v="1"/>
    <s v="Rs88.58"/>
    <s v="High"/>
    <x v="2"/>
    <n v="157"/>
    <s v="OK"/>
  </r>
  <r>
    <n v="1095"/>
    <s v="Summer Bishop"/>
    <n v="37"/>
    <s v="1"/>
    <d v="2025-10-21T00:00:00"/>
    <d v="2025-08-07T00:00:00"/>
    <s v="Cynthia Green"/>
    <x v="0"/>
    <s v=""/>
    <s v="High"/>
    <x v="3"/>
    <n v="75"/>
    <s v="OK"/>
  </r>
  <r>
    <n v="1036"/>
    <s v="Daniel Braun"/>
    <n v="27"/>
    <s v="male"/>
    <d v="2026-03-20T00:00:00"/>
    <d v="2026-02-09T00:00:00"/>
    <s v="Tonya Kennedy"/>
    <x v="0"/>
    <s v="€252.38"/>
    <s v="High"/>
    <x v="1"/>
    <n v="39"/>
    <s v="OK"/>
  </r>
  <r>
    <n v="1082"/>
    <s v="Kyle Jones"/>
    <n v="29"/>
    <s v="M"/>
    <d v="2025-11-01T00:00:00"/>
    <d v="2025-03-17T00:00:00"/>
    <s v="Cheryl Mullins"/>
    <x v="2"/>
    <s v="$366.49"/>
    <s v="High"/>
    <x v="4"/>
    <n v="229"/>
    <s v="OK"/>
  </r>
  <r>
    <n v="1063"/>
    <s v="Erin Baker"/>
    <n v="36"/>
    <s v="male"/>
    <d v="2025-10-02T00:00:00"/>
    <d v="2025-09-12T00:00:00"/>
    <s v="Carla King"/>
    <x v="3"/>
    <s v="Rs239.5"/>
    <s v="High"/>
    <x v="3"/>
    <n v="20"/>
    <s v="OK"/>
  </r>
  <r>
    <n v="1003"/>
    <s v="Cheryl Calderon"/>
    <n v="29"/>
    <s v="female"/>
    <d v="2026-02-23T00:00:00"/>
    <d v="2024-04-04T00:00:00"/>
    <s v="Michael Adams"/>
    <x v="1"/>
    <s v="Rs55.55"/>
    <s v="High"/>
    <x v="4"/>
    <n v="690"/>
    <s v="Review"/>
  </r>
  <r>
    <n v="1005"/>
    <s v="Andrea Mcbride"/>
    <n v="64"/>
    <s v="female"/>
    <d v="2025-09-15T00:00:00"/>
    <d v="2025-01-19T00:00:00"/>
    <s v="Laura Newman"/>
    <x v="2"/>
    <s v="£112.28"/>
    <s v="High"/>
    <x v="2"/>
    <n v="239"/>
    <s v="OK"/>
  </r>
  <r>
    <n v="1058"/>
    <s v="Danielle Barrett"/>
    <n v="36"/>
    <s v="female"/>
    <d v="2025-12-20T00:00:00"/>
    <d v="2024-03-27T00:00:00"/>
    <s v="Gregory Griffin"/>
    <x v="3"/>
    <s v="Rs386.16"/>
    <s v="High"/>
    <x v="0"/>
    <n v="633"/>
    <s v="Review"/>
  </r>
  <r>
    <n v="1061"/>
    <s v="Madison Wilson"/>
    <n v="23"/>
    <s v="male"/>
    <d v="2026-01-08T00:00:00"/>
    <d v="2024-11-29T00:00:00"/>
    <s v="Ryan Steele"/>
    <x v="0"/>
    <s v="€230.73"/>
    <s v="High"/>
    <x v="4"/>
    <n v="405"/>
    <s v="Review"/>
  </r>
  <r>
    <n v="1004"/>
    <s v="Thomas Crawford"/>
    <n v="63"/>
    <s v="female"/>
    <d v="2025-05-13T00:00:00"/>
    <d v="2024-04-22T00:00:00"/>
    <s v="Ashley Shaw"/>
    <x v="3"/>
    <s v="€296.85"/>
    <s v="High"/>
    <x v="5"/>
    <n v="386"/>
    <s v="Review"/>
  </r>
  <r>
    <n v="1057"/>
    <s v="Sheila Thomas"/>
    <n v="58"/>
    <s v="1"/>
    <d v="2025-09-08T00:00:00"/>
    <d v="2025-02-24T00:00:00"/>
    <s v="Catherine Gamble"/>
    <x v="0"/>
    <s v="£64.79"/>
    <s v="High"/>
    <x v="5"/>
    <n v="196"/>
    <s v="OK"/>
  </r>
  <r>
    <n v="1036"/>
    <s v="Daniel Long"/>
    <n v="38"/>
    <s v="female"/>
    <d v="2025-11-17T00:00:00"/>
    <d v="2024-10-09T00:00:00"/>
    <s v="Jean Lawson DDS"/>
    <x v="2"/>
    <s v="€101.1"/>
    <s v="High"/>
    <x v="3"/>
    <n v="404"/>
    <s v="Review"/>
  </r>
  <r>
    <n v="1095"/>
    <s v="James Fox"/>
    <n v="60"/>
    <s v="female"/>
    <d v="2025-12-22T00:00:00"/>
    <d v="2024-05-17T00:00:00"/>
    <s v="Victoria Osborne"/>
    <x v="3"/>
    <s v="Rs204.86"/>
    <s v="High"/>
    <x v="3"/>
    <n v="584"/>
    <s v="Review"/>
  </r>
  <r>
    <n v="1036"/>
    <s v="Evan Price"/>
    <n v="87"/>
    <s v="1"/>
    <d v="2025-07-31T00:00:00"/>
    <d v="2024-11-02T00:00:00"/>
    <s v="Brooke Ramos"/>
    <x v="0"/>
    <s v="$369.12"/>
    <s v="High"/>
    <x v="0"/>
    <n v="271"/>
    <s v="OK"/>
  </r>
  <r>
    <n v="1049"/>
    <s v="Vanessa Graves"/>
    <n v="58"/>
    <s v="female"/>
    <d v="2025-08-07T00:00:00"/>
    <d v="2025-01-02T00:00:00"/>
    <s v="Leslie Smith"/>
    <x v="0"/>
    <s v="Rs474.33"/>
    <s v="High"/>
    <x v="1"/>
    <n v="217"/>
    <s v="OK"/>
  </r>
  <r>
    <n v="1036"/>
    <s v="Barbara Drake"/>
    <n v="20"/>
    <s v="1"/>
    <d v="2025-08-26T00:00:00"/>
    <d v="2025-01-09T00:00:00"/>
    <s v="Julie Jacobs"/>
    <x v="0"/>
    <s v="€285.97"/>
    <s v="High"/>
    <x v="2"/>
    <n v="229"/>
    <s v="OK"/>
  </r>
  <r>
    <n v="1050"/>
    <s v="Logan Gonzalez"/>
    <n v="81"/>
    <s v=""/>
    <d v="2026-02-17T00:00:00"/>
    <d v="2025-04-03T00:00:00"/>
    <s v="John Anderson"/>
    <x v="2"/>
    <s v="€209.27"/>
    <s v="High"/>
    <x v="1"/>
    <n v="320"/>
    <s v="OK"/>
  </r>
  <r>
    <n v="1019"/>
    <s v="Brittney Gonzales"/>
    <n v="38"/>
    <s v=""/>
    <d v="2025-12-20T00:00:00"/>
    <d v="2025-08-14T00:00:00"/>
    <s v="Kimberly Caldwell"/>
    <x v="1"/>
    <s v="Rs347.87"/>
    <s v="High"/>
    <x v="0"/>
    <n v="128"/>
    <s v="OK"/>
  </r>
  <r>
    <n v="1082"/>
    <s v="Nichole Phillips"/>
    <n v="56"/>
    <s v="M"/>
    <d v="2025-09-17T00:00:00"/>
    <d v="2025-08-19T00:00:00"/>
    <s v="Michael Jackson"/>
    <x v="0"/>
    <s v=""/>
    <s v="High"/>
    <x v="1"/>
    <n v="29"/>
    <s v="OK"/>
  </r>
  <r>
    <n v="1074"/>
    <s v="James Wise"/>
    <n v="67"/>
    <s v="F"/>
    <d v="2025-09-05T00:00:00"/>
    <d v="2024-05-19T00:00:00"/>
    <s v="Karen Schmidt"/>
    <x v="2"/>
    <s v="€98.07"/>
    <s v="High"/>
    <x v="1"/>
    <n v="474"/>
    <s v="Review"/>
  </r>
  <r>
    <n v="1084"/>
    <s v="Logan Sampson"/>
    <n v="64"/>
    <s v="male"/>
    <d v="2025-12-31T00:00:00"/>
    <d v="2025-04-19T00:00:00"/>
    <s v="Tiffany Melendez"/>
    <x v="1"/>
    <s v="Rs154.03"/>
    <s v="High"/>
    <x v="0"/>
    <n v="256"/>
    <s v="OK"/>
  </r>
  <r>
    <n v="1084"/>
    <s v="Tamara Ramirez MD"/>
    <n v="79"/>
    <s v="F"/>
    <d v="2025-12-23T00:00:00"/>
    <d v="2025-01-12T00:00:00"/>
    <s v="Emily Mcintosh"/>
    <x v="2"/>
    <s v="£126.87"/>
    <s v="High"/>
    <x v="3"/>
    <n v="345"/>
    <s v="OK"/>
  </r>
  <r>
    <n v="1004"/>
    <s v="Sheryl Lopez"/>
    <n v="27"/>
    <s v="M"/>
    <d v="2025-08-26T00:00:00"/>
    <d v="2024-09-10T00:00:00"/>
    <s v="Barbara Alvarado"/>
    <x v="2"/>
    <s v=""/>
    <s v="High"/>
    <x v="3"/>
    <n v="350"/>
    <s v="OK"/>
  </r>
  <r>
    <n v="1006"/>
    <s v="Shannon Ramos"/>
    <n v="42"/>
    <s v="male"/>
    <d v="2025-11-04T00:00:00"/>
    <d v="2024-11-05T00:00:00"/>
    <s v="James Huber"/>
    <x v="1"/>
    <s v=""/>
    <s v="High"/>
    <x v="3"/>
    <n v="364"/>
    <s v="OK"/>
  </r>
  <r>
    <n v="1096"/>
    <s v="Daniel Vazquez"/>
    <n v="83"/>
    <s v="female"/>
    <d v="2026-03-21T00:00:00"/>
    <d v="2025-12-09T00:00:00"/>
    <s v="Lisa Fry"/>
    <x v="2"/>
    <s v="£194.82"/>
    <s v="High"/>
    <x v="0"/>
    <n v="102"/>
    <s v="OK"/>
  </r>
  <r>
    <n v="1022"/>
    <s v="Kimberly Heath"/>
    <n v="19"/>
    <s v="1"/>
    <d v="2025-10-19T00:00:00"/>
    <d v="2025-09-19T00:00:00"/>
    <s v="Amber Avila"/>
    <x v="1"/>
    <s v="€145.75"/>
    <s v="High"/>
    <x v="3"/>
    <n v="30"/>
    <s v="OK"/>
  </r>
  <r>
    <n v="1089"/>
    <s v="Tammy Yates"/>
    <n v="35"/>
    <s v="0"/>
    <d v="2025-10-29T00:00:00"/>
    <d v="2025-09-06T00:00:00"/>
    <s v="Nancy Luna"/>
    <x v="0"/>
    <s v="€58.55"/>
    <s v="High"/>
    <x v="2"/>
    <n v="53"/>
    <s v="OK"/>
  </r>
  <r>
    <n v="1058"/>
    <s v="Alison Wolfe"/>
    <n v="29"/>
    <s v="male"/>
    <d v="2025-05-30T00:00:00"/>
    <d v="2024-03-26T00:00:00"/>
    <s v="Michelle Thomas"/>
    <x v="3"/>
    <s v="$481.22"/>
    <s v="High"/>
    <x v="3"/>
    <n v="430"/>
    <s v="Review"/>
  </r>
  <r>
    <n v="1024"/>
    <s v="Natalie Miller"/>
    <n v="55"/>
    <s v="F"/>
    <d v="2025-10-12T00:00:00"/>
    <d v="2024-10-28T00:00:00"/>
    <s v="Derrick Glass"/>
    <x v="3"/>
    <s v="€56.37"/>
    <s v="High"/>
    <x v="1"/>
    <n v="349"/>
    <s v="OK"/>
  </r>
  <r>
    <n v="1016"/>
    <s v="Kara Schneider"/>
    <n v="81"/>
    <s v="female"/>
    <d v="2025-07-21T00:00:00"/>
    <d v="2024-07-08T00:00:00"/>
    <s v="Ivan Russo"/>
    <x v="3"/>
    <s v="£456.26"/>
    <s v="High"/>
    <x v="0"/>
    <n v="378"/>
    <s v="Review"/>
  </r>
  <r>
    <n v="1022"/>
    <s v="Kevin Jackson"/>
    <n v="56"/>
    <s v="male"/>
    <d v="2025-06-16T00:00:00"/>
    <d v="2024-05-31T00:00:00"/>
    <s v="David Love"/>
    <x v="0"/>
    <s v="$157.36"/>
    <s v="High"/>
    <x v="2"/>
    <n v="381"/>
    <s v="Review"/>
  </r>
  <r>
    <n v="1088"/>
    <s v="Mary Werner"/>
    <n v="32"/>
    <s v=""/>
    <d v="2025-07-22T00:00:00"/>
    <d v="2024-04-12T00:00:00"/>
    <s v="Bonnie Walker"/>
    <x v="1"/>
    <s v="$69.13"/>
    <s v="High"/>
    <x v="3"/>
    <n v="466"/>
    <s v="Review"/>
  </r>
  <r>
    <n v="1016"/>
    <s v="Jennifer Barber"/>
    <n v="74"/>
    <s v="M"/>
    <d v="2025-12-06T00:00:00"/>
    <d v="2024-10-04T00:00:00"/>
    <s v="Christopher Smith"/>
    <x v="2"/>
    <s v="€56.63"/>
    <s v="High"/>
    <x v="1"/>
    <n v="428"/>
    <s v="Review"/>
  </r>
  <r>
    <n v="1039"/>
    <s v="Emily Miller"/>
    <n v="55"/>
    <s v="male"/>
    <d v="2025-04-01T00:00:00"/>
    <d v="2024-09-13T00:00:00"/>
    <s v="Nicole Bates"/>
    <x v="1"/>
    <s v="$432.84"/>
    <s v="High"/>
    <x v="2"/>
    <n v="200"/>
    <s v="OK"/>
  </r>
  <r>
    <n v="1075"/>
    <s v="Christine Lane"/>
    <n v="27"/>
    <s v="female"/>
    <d v="2025-04-07T00:00:00"/>
    <d v="2024-04-02T00:00:00"/>
    <s v="Kimberly Long"/>
    <x v="1"/>
    <s v="£208.8"/>
    <s v="High"/>
    <x v="4"/>
    <n v="370"/>
    <s v="Review"/>
  </r>
  <r>
    <n v="1013"/>
    <s v="Gabriela Pope"/>
    <n v="62"/>
    <s v="female"/>
    <d v="2026-01-02T00:00:00"/>
    <d v="2025-02-26T00:00:00"/>
    <s v="Melissa Brown"/>
    <x v="2"/>
    <s v="$413.25"/>
    <s v="High"/>
    <x v="0"/>
    <n v="310"/>
    <s v="OK"/>
  </r>
  <r>
    <n v="1089"/>
    <s v="Alexa Landry"/>
    <n v="24"/>
    <s v="male"/>
    <d v="2025-09-16T00:00:00"/>
    <d v="2025-01-16T00:00:00"/>
    <s v="Larry Delgado"/>
    <x v="1"/>
    <s v="$73.59"/>
    <s v="High"/>
    <x v="3"/>
    <n v="243"/>
    <s v="OK"/>
  </r>
  <r>
    <n v="1084"/>
    <s v="Erica Thompson"/>
    <n v="34"/>
    <s v="F"/>
    <d v="2025-12-07T00:00:00"/>
    <d v="2025-10-11T00:00:00"/>
    <s v="Jill Kelley"/>
    <x v="3"/>
    <s v="Rs466.72"/>
    <s v="High"/>
    <x v="5"/>
    <n v="57"/>
    <s v="OK"/>
  </r>
  <r>
    <n v="1018"/>
    <s v="James Noble"/>
    <n v="68"/>
    <s v="1"/>
    <d v="2025-06-25T00:00:00"/>
    <d v="2025-06-05T00:00:00"/>
    <s v="Dylan George"/>
    <x v="0"/>
    <s v="€213.67"/>
    <s v="High"/>
    <x v="1"/>
    <n v="20"/>
    <s v="OK"/>
  </r>
  <r>
    <n v="1026"/>
    <s v="Sandra Russo"/>
    <n v="42"/>
    <s v="1"/>
    <d v="2026-01-25T00:00:00"/>
    <d v="2024-12-09T00:00:00"/>
    <s v="Michael Alexander"/>
    <x v="3"/>
    <s v="$156.9"/>
    <s v="High"/>
    <x v="4"/>
    <n v="412"/>
    <s v="Review"/>
  </r>
  <r>
    <n v="1001"/>
    <s v="Robert Hampton"/>
    <n v="90"/>
    <s v="M"/>
    <d v="2025-11-12T00:00:00"/>
    <d v="2025-09-04T00:00:00"/>
    <s v="Kevin Wilkinson"/>
    <x v="2"/>
    <s v="£323.18"/>
    <s v="High"/>
    <x v="2"/>
    <n v="69"/>
    <s v="OK"/>
  </r>
  <r>
    <n v="1004"/>
    <s v="Rachel Simmons"/>
    <n v="65"/>
    <s v="male"/>
    <d v="2025-08-12T00:00:00"/>
    <d v="2024-12-27T00:00:00"/>
    <s v="Robert Sanchez"/>
    <x v="0"/>
    <s v="$188.72"/>
    <s v="High"/>
    <x v="1"/>
    <n v="228"/>
    <s v="OK"/>
  </r>
  <r>
    <n v="1013"/>
    <s v="Eduardo Martinez"/>
    <n v="89"/>
    <s v="male"/>
    <d v="2025-10-14T00:00:00"/>
    <d v="2024-09-16T00:00:00"/>
    <s v="Craig Kelly"/>
    <x v="0"/>
    <s v="£411.32"/>
    <s v="High"/>
    <x v="0"/>
    <n v="393"/>
    <s v="Review"/>
  </r>
  <r>
    <n v="1009"/>
    <s v="Edward Taylor"/>
    <n v="67"/>
    <s v="female"/>
    <d v="2025-07-02T00:00:00"/>
    <d v="2024-06-04T00:00:00"/>
    <s v="Yvette Johnson"/>
    <x v="1"/>
    <s v="€388.8"/>
    <s v="High"/>
    <x v="5"/>
    <n v="393"/>
    <s v="Review"/>
  </r>
  <r>
    <n v="1021"/>
    <s v="Ashley Martinez"/>
    <n v="68"/>
    <s v=""/>
    <d v="2025-05-07T00:00:00"/>
    <d v="2024-10-18T00:00:00"/>
    <s v="Spencer Torres"/>
    <x v="1"/>
    <s v="$296.8"/>
    <s v="High"/>
    <x v="4"/>
    <n v="201"/>
    <s v="OK"/>
  </r>
  <r>
    <n v="1100"/>
    <s v="Megan Edwards"/>
    <n v="69"/>
    <s v="1"/>
    <d v="2025-10-08T00:00:00"/>
    <d v="2025-05-19T00:00:00"/>
    <s v="Eric Arellano"/>
    <x v="2"/>
    <s v="€439.46"/>
    <s v="High"/>
    <x v="2"/>
    <n v="142"/>
    <s v="OK"/>
  </r>
  <r>
    <n v="1005"/>
    <s v="Mr. Phillip Baxter"/>
    <n v="80"/>
    <s v="M"/>
    <d v="2025-07-24T00:00:00"/>
    <d v="2025-01-16T00:00:00"/>
    <s v="Tricia Hunt"/>
    <x v="3"/>
    <s v="$320.72"/>
    <s v="High"/>
    <x v="4"/>
    <n v="189"/>
    <s v="OK"/>
  </r>
  <r>
    <n v="1071"/>
    <s v="Diana Schroeder"/>
    <n v="73"/>
    <s v="1"/>
    <d v="2025-08-24T00:00:00"/>
    <d v="2025-07-04T00:00:00"/>
    <s v="Alexandra Lee"/>
    <x v="2"/>
    <s v="$262.84"/>
    <s v="High"/>
    <x v="2"/>
    <n v="51"/>
    <s v="OK"/>
  </r>
  <r>
    <n v="1070"/>
    <s v="Katelyn Miller"/>
    <n v="78"/>
    <s v="M"/>
    <d v="2025-12-19T00:00:00"/>
    <d v="2024-11-25T00:00:00"/>
    <s v="Justin Chen"/>
    <x v="0"/>
    <s v="Rs274.94"/>
    <s v="High"/>
    <x v="5"/>
    <n v="389"/>
    <s v="Review"/>
  </r>
  <r>
    <n v="1020"/>
    <s v="Brian Garrett"/>
    <n v="65"/>
    <s v="female"/>
    <d v="2026-01-24T00:00:00"/>
    <d v="2026-01-04T00:00:00"/>
    <s v="Tamara Williams"/>
    <x v="0"/>
    <s v="£182.77"/>
    <s v="High"/>
    <x v="2"/>
    <n v="20"/>
    <s v="OK"/>
  </r>
  <r>
    <n v="1074"/>
    <s v="Aaron Clay"/>
    <n v="87"/>
    <s v="M"/>
    <d v="2025-10-31T00:00:00"/>
    <d v="2025-05-22T00:00:00"/>
    <s v="Timothy Barker"/>
    <x v="0"/>
    <s v="€312.88"/>
    <s v="High"/>
    <x v="3"/>
    <n v="162"/>
    <s v="OK"/>
  </r>
  <r>
    <n v="1001"/>
    <s v="Brian Bolton"/>
    <n v="78"/>
    <s v="male"/>
    <d v="2025-08-18T00:00:00"/>
    <d v="2024-05-26T00:00:00"/>
    <s v="Natalie Patrick"/>
    <x v="2"/>
    <s v="£163.58"/>
    <s v="High"/>
    <x v="5"/>
    <n v="449"/>
    <s v="Review"/>
  </r>
  <r>
    <n v="1067"/>
    <s v="Karla Bush"/>
    <n v="66"/>
    <s v=""/>
    <d v="2025-05-23T00:00:00"/>
    <d v="2024-08-14T00:00:00"/>
    <s v="Victor Hernandez"/>
    <x v="0"/>
    <s v="Rs135.85"/>
    <s v="High"/>
    <x v="1"/>
    <n v="282"/>
    <s v="OK"/>
  </r>
  <r>
    <n v="1074"/>
    <s v="Michelle Edwards"/>
    <n v="30"/>
    <s v="female"/>
    <d v="2025-12-03T00:00:00"/>
    <d v="2025-07-27T00:00:00"/>
    <s v="Charles Harvey"/>
    <x v="1"/>
    <s v="£242.2"/>
    <s v="High"/>
    <x v="3"/>
    <n v="129"/>
    <s v="OK"/>
  </r>
  <r>
    <n v="1053"/>
    <s v="Jack Sutton"/>
    <n v="76"/>
    <s v="female"/>
    <d v="2025-11-28T00:00:00"/>
    <d v="2025-04-20T00:00:00"/>
    <s v="Paul Giles"/>
    <x v="3"/>
    <s v="$374.72"/>
    <s v="High"/>
    <x v="3"/>
    <n v="222"/>
    <s v="OK"/>
  </r>
  <r>
    <n v="1020"/>
    <s v="Joseph Hart"/>
    <n v="69"/>
    <s v="female"/>
    <d v="2025-09-04T00:00:00"/>
    <d v="2025-02-16T00:00:00"/>
    <s v="Ralph Fernandez"/>
    <x v="3"/>
    <s v="€326.58"/>
    <s v="High"/>
    <x v="2"/>
    <n v="200"/>
    <s v="OK"/>
  </r>
  <r>
    <n v="1013"/>
    <s v="Rachel Carlson"/>
    <n v="27"/>
    <s v="female"/>
    <d v="2026-01-05T00:00:00"/>
    <d v="2024-12-12T00:00:00"/>
    <s v="Paul Martinez"/>
    <x v="2"/>
    <s v="$379.39"/>
    <s v="High"/>
    <x v="1"/>
    <n v="389"/>
    <s v="Review"/>
  </r>
  <r>
    <n v="1027"/>
    <s v="Miss Stacey Weaver"/>
    <n v="75"/>
    <s v="male"/>
    <d v="2025-04-14T00:00:00"/>
    <d v="2024-06-20T00:00:00"/>
    <s v="Rachel Wilson"/>
    <x v="1"/>
    <s v="Rs442.41"/>
    <s v="High"/>
    <x v="5"/>
    <n v="298"/>
    <s v="OK"/>
  </r>
  <r>
    <n v="1070"/>
    <s v="Steven Giles"/>
    <n v="58"/>
    <s v="F"/>
    <d v="2025-12-01T00:00:00"/>
    <d v="2024-12-29T00:00:00"/>
    <s v="Kevin Vaughan"/>
    <x v="3"/>
    <s v="€358.98"/>
    <s v="High"/>
    <x v="5"/>
    <n v="337"/>
    <s v="OK"/>
  </r>
  <r>
    <n v="1050"/>
    <s v="Trevor Taylor"/>
    <n v="61"/>
    <s v="female"/>
    <d v="2025-06-19T00:00:00"/>
    <d v="2024-09-01T00:00:00"/>
    <s v="William Schneider"/>
    <x v="2"/>
    <s v="£235.74"/>
    <s v="High"/>
    <x v="5"/>
    <n v="291"/>
    <s v="OK"/>
  </r>
  <r>
    <n v="1010"/>
    <s v="Erica Robbins"/>
    <n v="68"/>
    <s v="female"/>
    <d v="2025-07-04T00:00:00"/>
    <d v="2024-10-31T00:00:00"/>
    <s v="Matthew Carlson"/>
    <x v="3"/>
    <s v="$400.6"/>
    <s v="High"/>
    <x v="0"/>
    <n v="246"/>
    <s v="OK"/>
  </r>
  <r>
    <n v="1017"/>
    <s v="Alexander Rios"/>
    <n v="43"/>
    <s v="0"/>
    <d v="2025-05-18T00:00:00"/>
    <d v="2024-07-22T00:00:00"/>
    <s v="Bryan Parker"/>
    <x v="1"/>
    <s v="€305.19"/>
    <s v="High"/>
    <x v="2"/>
    <n v="300"/>
    <s v="OK"/>
  </r>
  <r>
    <n v="1085"/>
    <s v="Jennifer Reese"/>
    <n v="62"/>
    <s v="0"/>
    <d v="2025-11-07T00:00:00"/>
    <d v="2024-08-11T00:00:00"/>
    <s v="James Aguilar"/>
    <x v="0"/>
    <s v="£357.15"/>
    <s v="High"/>
    <x v="4"/>
    <n v="453"/>
    <s v="Review"/>
  </r>
  <r>
    <n v="1023"/>
    <s v="Daniel Valenzuela"/>
    <n v="45"/>
    <s v="male"/>
    <d v="2025-06-21T00:00:00"/>
    <d v="2025-03-13T00:00:00"/>
    <s v="Karen Brewer"/>
    <x v="0"/>
    <s v="$245.21"/>
    <s v="High"/>
    <x v="3"/>
    <n v="100"/>
    <s v="OK"/>
  </r>
  <r>
    <n v="1066"/>
    <s v="Alexander Jones"/>
    <n v="85"/>
    <s v="female"/>
    <d v="2025-12-09T00:00:00"/>
    <d v="2025-01-30T00:00:00"/>
    <s v="Mary Ward"/>
    <x v="3"/>
    <s v="Rs498.26"/>
    <s v="High"/>
    <x v="1"/>
    <n v="313"/>
    <s v="OK"/>
  </r>
  <r>
    <n v="1038"/>
    <s v="Robert Myers DDS"/>
    <n v="72"/>
    <s v="female"/>
    <d v="2025-08-27T00:00:00"/>
    <d v="2024-12-07T00:00:00"/>
    <s v="Luis Smith"/>
    <x v="2"/>
    <s v="Rs499.72"/>
    <s v="High"/>
    <x v="3"/>
    <n v="263"/>
    <s v="OK"/>
  </r>
  <r>
    <n v="1048"/>
    <s v="Jennifer Sims"/>
    <n v="63"/>
    <s v="female"/>
    <d v="2025-10-15T00:00:00"/>
    <d v="2025-02-02T00:00:00"/>
    <s v="Janet Coffey"/>
    <x v="0"/>
    <s v="€315.71"/>
    <s v="High"/>
    <x v="1"/>
    <n v="255"/>
    <s v="OK"/>
  </r>
  <r>
    <n v="1082"/>
    <s v="Jenna Williams"/>
    <n v="67"/>
    <s v="0"/>
    <d v="2025-07-19T00:00:00"/>
    <d v="2024-12-04T00:00:00"/>
    <s v="Ryan Mitchell"/>
    <x v="3"/>
    <s v="$149.33"/>
    <s v="High"/>
    <x v="3"/>
    <n v="227"/>
    <s v="OK"/>
  </r>
  <r>
    <n v="1085"/>
    <s v="Jamie Nixon"/>
    <n v="69"/>
    <s v="1"/>
    <d v="2026-03-16T00:00:00"/>
    <d v="2024-06-19T00:00:00"/>
    <s v="Scott Allen"/>
    <x v="3"/>
    <s v="$412.82"/>
    <s v="High"/>
    <x v="4"/>
    <n v="635"/>
    <s v="Review"/>
  </r>
  <r>
    <n v="1046"/>
    <s v="Maria Harris"/>
    <n v="24"/>
    <s v="F"/>
    <d v="2025-07-19T00:00:00"/>
    <d v="2024-08-29T00:00:00"/>
    <s v="Henry Hall"/>
    <x v="1"/>
    <s v="£372.5"/>
    <s v="High"/>
    <x v="5"/>
    <n v="324"/>
    <s v="OK"/>
  </r>
  <r>
    <n v="1093"/>
    <s v="Angela Davis"/>
    <n v="87"/>
    <s v="F"/>
    <d v="2026-01-22T00:00:00"/>
    <d v="2024-11-03T00:00:00"/>
    <s v="Danielle Meyer"/>
    <x v="1"/>
    <s v="£60.76"/>
    <s v="High"/>
    <x v="5"/>
    <n v="445"/>
    <s v="Review"/>
  </r>
  <r>
    <n v="1072"/>
    <s v="Alex Burns"/>
    <n v="68"/>
    <s v="1"/>
    <d v="2026-01-10T00:00:00"/>
    <d v="2025-09-11T00:00:00"/>
    <s v="Raymond Bond"/>
    <x v="0"/>
    <s v="€290.52"/>
    <s v="High"/>
    <x v="4"/>
    <n v="121"/>
    <s v="OK"/>
  </r>
  <r>
    <n v="1089"/>
    <s v="Thomas Banks"/>
    <n v="80"/>
    <s v="1"/>
    <d v="2025-12-09T00:00:00"/>
    <d v="2025-10-21T00:00:00"/>
    <s v="George Stevens"/>
    <x v="0"/>
    <s v="Rs451.66"/>
    <s v="High"/>
    <x v="5"/>
    <n v="49"/>
    <s v="OK"/>
  </r>
  <r>
    <n v="1007"/>
    <s v="Courtney Everett"/>
    <n v="39"/>
    <s v="female"/>
    <d v="2026-01-09T00:00:00"/>
    <d v="2024-08-09T00:00:00"/>
    <s v="Ryan Chavez"/>
    <x v="0"/>
    <s v="£260.91"/>
    <s v="High"/>
    <x v="5"/>
    <n v="518"/>
    <s v="Review"/>
  </r>
  <r>
    <n v="1030"/>
    <s v="Lori Montgomery"/>
    <n v="18"/>
    <s v="M"/>
    <d v="2026-02-26T00:00:00"/>
    <d v="2025-09-07T00:00:00"/>
    <s v="Christy Fisher"/>
    <x v="1"/>
    <s v="$117.12"/>
    <s v="High"/>
    <x v="0"/>
    <n v="172"/>
    <s v="OK"/>
  </r>
  <r>
    <n v="1088"/>
    <s v="Sarah Fuller"/>
    <n v="80"/>
    <s v="M"/>
    <d v="2026-03-06T00:00:00"/>
    <d v="2025-06-18T00:00:00"/>
    <s v="Cody Ortega"/>
    <x v="0"/>
    <s v="Rs460.11"/>
    <s v="High"/>
    <x v="1"/>
    <n v="261"/>
    <s v="OK"/>
  </r>
  <r>
    <n v="1077"/>
    <s v="Julia Mckenzie"/>
    <n v="30"/>
    <s v="male"/>
    <d v="2025-08-13T00:00:00"/>
    <d v="2025-02-10T00:00:00"/>
    <s v="Sarah Scott"/>
    <x v="0"/>
    <s v="€91.94"/>
    <s v="High"/>
    <x v="0"/>
    <n v="184"/>
    <s v="OK"/>
  </r>
  <r>
    <n v="1019"/>
    <s v="Eric Kim"/>
    <n v="33"/>
    <s v="female"/>
    <d v="2025-06-13T00:00:00"/>
    <d v="2024-06-09T00:00:00"/>
    <s v="Arthur Harris"/>
    <x v="3"/>
    <s v=""/>
    <s v="High"/>
    <x v="2"/>
    <n v="369"/>
    <s v="Review"/>
  </r>
  <r>
    <n v="1065"/>
    <s v="Anne Jacobs"/>
    <n v="31"/>
    <s v="1"/>
    <d v="2026-03-04T00:00:00"/>
    <d v="2026-01-28T00:00:00"/>
    <s v="Lauren Clark"/>
    <x v="1"/>
    <s v="£347.38"/>
    <s v="High"/>
    <x v="1"/>
    <n v="35"/>
    <s v="OK"/>
  </r>
  <r>
    <n v="1081"/>
    <s v="Brandy Navarro"/>
    <n v="27"/>
    <s v="0"/>
    <d v="2025-07-16T00:00:00"/>
    <d v="2025-06-13T00:00:00"/>
    <s v="Matthew Nichols"/>
    <x v="1"/>
    <s v="Rs288.43"/>
    <s v="High"/>
    <x v="3"/>
    <n v="33"/>
    <s v="OK"/>
  </r>
  <r>
    <n v="1058"/>
    <s v="Jennifer Lowery"/>
    <n v="21"/>
    <s v="0"/>
    <d v="2025-09-16T00:00:00"/>
    <d v="2025-03-23T00:00:00"/>
    <s v="Tracy Johnson"/>
    <x v="0"/>
    <s v="€222.2"/>
    <s v="High"/>
    <x v="5"/>
    <n v="177"/>
    <s v="OK"/>
  </r>
  <r>
    <n v="1034"/>
    <s v="Thomas Nash"/>
    <n v="75"/>
    <s v="F"/>
    <d v="2025-06-05T00:00:00"/>
    <d v="2025-01-20T00:00:00"/>
    <s v="Justin Flores"/>
    <x v="0"/>
    <s v="Rs180.6"/>
    <s v="High"/>
    <x v="0"/>
    <n v="136"/>
    <s v="OK"/>
  </r>
  <r>
    <n v="1068"/>
    <s v="Yolanda Thomas"/>
    <n v="61"/>
    <s v="female"/>
    <d v="2025-12-15T00:00:00"/>
    <d v="2024-07-10T00:00:00"/>
    <s v="Keith Lee"/>
    <x v="2"/>
    <s v=""/>
    <s v="High"/>
    <x v="0"/>
    <n v="523"/>
    <s v="Review"/>
  </r>
  <r>
    <n v="1030"/>
    <s v="Victor Simmons"/>
    <n v="80"/>
    <s v="male"/>
    <d v="2026-02-10T00:00:00"/>
    <d v="2025-01-17T00:00:00"/>
    <s v="Christopher Nelson"/>
    <x v="0"/>
    <s v="€485.31"/>
    <s v="High"/>
    <x v="4"/>
    <n v="389"/>
    <s v="Review"/>
  </r>
  <r>
    <n v="1013"/>
    <s v="Edward Holland"/>
    <n v="86"/>
    <s v="male"/>
    <d v="2025-09-07T00:00:00"/>
    <d v="2025-01-11T00:00:00"/>
    <s v="Joe Rodriguez"/>
    <x v="2"/>
    <s v="£255.9"/>
    <s v="High"/>
    <x v="5"/>
    <n v="239"/>
    <s v="OK"/>
  </r>
  <r>
    <n v="1092"/>
    <s v="Mary Foster"/>
    <n v="42"/>
    <s v="M"/>
    <d v="2025-04-20T00:00:00"/>
    <d v="2024-10-09T00:00:00"/>
    <s v="Terry Welch"/>
    <x v="0"/>
    <s v="€443.13"/>
    <s v="High"/>
    <x v="0"/>
    <n v="193"/>
    <s v="OK"/>
  </r>
  <r>
    <n v="1027"/>
    <s v="Michael Sullivan"/>
    <n v="63"/>
    <s v="M"/>
    <d v="2025-07-09T00:00:00"/>
    <d v="2024-07-31T00:00:00"/>
    <s v="Angela Thomas"/>
    <x v="1"/>
    <s v="Rs318.88"/>
    <s v="High"/>
    <x v="1"/>
    <n v="343"/>
    <s v="OK"/>
  </r>
  <r>
    <n v="1067"/>
    <s v="Thomas Smith"/>
    <n v="54"/>
    <s v="female"/>
    <d v="2025-09-11T00:00:00"/>
    <d v="2025-09-05T00:00:00"/>
    <s v="Brandon Garcia"/>
    <x v="0"/>
    <s v="$108.91"/>
    <s v="High"/>
    <x v="5"/>
    <n v="6"/>
    <s v="OK"/>
  </r>
  <r>
    <n v="1059"/>
    <s v="Melissa Ramirez"/>
    <n v="34"/>
    <s v="male"/>
    <d v="2025-09-10T00:00:00"/>
    <d v="2024-10-30T00:00:00"/>
    <s v="Amber Clayton"/>
    <x v="2"/>
    <s v="£167.18"/>
    <s v="High"/>
    <x v="3"/>
    <n v="315"/>
    <s v="OK"/>
  </r>
  <r>
    <n v="1040"/>
    <s v="Rachel Baker"/>
    <n v="22"/>
    <s v="female"/>
    <d v="2025-12-15T00:00:00"/>
    <d v="2024-05-18T00:00:00"/>
    <s v="Maria Gentry"/>
    <x v="1"/>
    <s v="£444.67"/>
    <s v="High"/>
    <x v="4"/>
    <n v="576"/>
    <s v="Review"/>
  </r>
  <r>
    <n v="1058"/>
    <s v="Penny West"/>
    <n v="84"/>
    <s v="female"/>
    <d v="2025-10-24T00:00:00"/>
    <d v="2025-03-27T00:00:00"/>
    <s v="Heather Ortiz"/>
    <x v="2"/>
    <s v="$396.57"/>
    <s v="High"/>
    <x v="3"/>
    <n v="211"/>
    <s v="OK"/>
  </r>
  <r>
    <n v="1080"/>
    <s v="Michelle Mcclain"/>
    <n v="45"/>
    <s v="female"/>
    <d v="2025-11-11T00:00:00"/>
    <d v="2025-06-10T00:00:00"/>
    <s v="Mrs. Amy Miller"/>
    <x v="0"/>
    <s v="Rs185.29"/>
    <s v="High"/>
    <x v="5"/>
    <n v="154"/>
    <s v="OK"/>
  </r>
  <r>
    <n v="1026"/>
    <s v="Jennifer Davis"/>
    <n v="47"/>
    <s v="female"/>
    <d v="2026-02-17T00:00:00"/>
    <d v="2024-05-09T00:00:00"/>
    <s v="Michael Bryant"/>
    <x v="0"/>
    <s v="$215.89"/>
    <s v="High"/>
    <x v="2"/>
    <n v="649"/>
    <s v="Review"/>
  </r>
  <r>
    <n v="1058"/>
    <s v="Kimberly Lee"/>
    <n v="88"/>
    <s v=""/>
    <d v="2025-10-19T00:00:00"/>
    <d v="2024-11-16T00:00:00"/>
    <s v="Vanessa Ramirez"/>
    <x v="2"/>
    <s v="£438.81"/>
    <s v="High"/>
    <x v="4"/>
    <n v="337"/>
    <s v="OK"/>
  </r>
  <r>
    <n v="1065"/>
    <s v="Paul Perez"/>
    <n v="28"/>
    <s v="male"/>
    <d v="2025-08-24T00:00:00"/>
    <d v="2025-07-29T00:00:00"/>
    <s v="Nancy Young"/>
    <x v="2"/>
    <s v="€231.7"/>
    <s v="High"/>
    <x v="0"/>
    <n v="26"/>
    <s v="OK"/>
  </r>
  <r>
    <n v="1016"/>
    <s v="Tyler Smith"/>
    <n v="42"/>
    <s v="1"/>
    <d v="2025-11-05T00:00:00"/>
    <d v="2024-08-03T00:00:00"/>
    <s v="Melinda Smith"/>
    <x v="3"/>
    <s v=""/>
    <s v="High"/>
    <x v="1"/>
    <n v="459"/>
    <s v="Review"/>
  </r>
  <r>
    <n v="1064"/>
    <s v="Anthony Boyd"/>
    <n v="27"/>
    <s v="female"/>
    <d v="2026-02-20T00:00:00"/>
    <d v="2025-07-06T00:00:00"/>
    <s v="Bradley Gibson"/>
    <x v="3"/>
    <s v="£173.85"/>
    <s v="High"/>
    <x v="3"/>
    <n v="229"/>
    <s v="OK"/>
  </r>
  <r>
    <n v="1036"/>
    <s v="Henry Snyder"/>
    <n v="59"/>
    <s v="1"/>
    <d v="2025-10-16T00:00:00"/>
    <d v="2024-04-29T00:00:00"/>
    <s v="Theresa Simon"/>
    <x v="0"/>
    <s v="$285.44"/>
    <s v="High"/>
    <x v="3"/>
    <n v="535"/>
    <s v="Review"/>
  </r>
  <r>
    <n v="1017"/>
    <s v="Sabrina Wade"/>
    <n v="34"/>
    <s v="female"/>
    <d v="2025-07-20T00:00:00"/>
    <d v="2025-05-14T00:00:00"/>
    <s v="Randy Vargas"/>
    <x v="3"/>
    <s v="Rs202.92"/>
    <s v="High"/>
    <x v="4"/>
    <n v="67"/>
    <s v="OK"/>
  </r>
  <r>
    <n v="1005"/>
    <s v="Cody Scott"/>
    <n v="69"/>
    <s v="male"/>
    <d v="2025-10-06T00:00:00"/>
    <d v="2024-11-29T00:00:00"/>
    <s v="Larry Cohen"/>
    <x v="2"/>
    <s v="€383.47"/>
    <s v="High"/>
    <x v="3"/>
    <n v="311"/>
    <s v="OK"/>
  </r>
  <r>
    <n v="1086"/>
    <s v="David Mcdonald"/>
    <n v="84"/>
    <s v="1"/>
    <d v="2025-12-24T00:00:00"/>
    <d v="2024-08-30T00:00:00"/>
    <s v="Donald Garcia"/>
    <x v="3"/>
    <s v="£302.66"/>
    <s v="High"/>
    <x v="1"/>
    <n v="481"/>
    <s v="Review"/>
  </r>
  <r>
    <n v="1095"/>
    <s v="Sherri Guzman"/>
    <n v="37"/>
    <s v="1"/>
    <d v="2025-09-14T00:00:00"/>
    <d v="2024-05-20T00:00:00"/>
    <s v="Carlos Morton"/>
    <x v="1"/>
    <s v="£472.57"/>
    <s v="High"/>
    <x v="3"/>
    <n v="482"/>
    <s v="Review"/>
  </r>
  <r>
    <n v="1030"/>
    <s v="Mr. Brian Anderson"/>
    <n v="25"/>
    <s v="F"/>
    <d v="2025-04-24T00:00:00"/>
    <d v="2024-04-14T00:00:00"/>
    <s v="Adrienne Roberts"/>
    <x v="1"/>
    <s v="€417.21"/>
    <s v="High"/>
    <x v="2"/>
    <n v="375"/>
    <s v="Review"/>
  </r>
  <r>
    <n v="1059"/>
    <s v="Kayla Mccormick"/>
    <n v="84"/>
    <s v="female"/>
    <d v="2026-03-16T00:00:00"/>
    <d v="2024-12-04T00:00:00"/>
    <s v="Robert Burton"/>
    <x v="2"/>
    <s v="$244.68"/>
    <s v="High"/>
    <x v="3"/>
    <n v="467"/>
    <s v="Review"/>
  </r>
  <r>
    <n v="1012"/>
    <s v="Mark Reeves"/>
    <n v="30"/>
    <s v="0"/>
    <d v="2026-01-08T00:00:00"/>
    <d v="2025-08-19T00:00:00"/>
    <s v="Mark Hill"/>
    <x v="0"/>
    <s v="$70.7"/>
    <s v="High"/>
    <x v="1"/>
    <n v="142"/>
    <s v="OK"/>
  </r>
  <r>
    <n v="1074"/>
    <s v="Debra Short"/>
    <n v="64"/>
    <s v="male"/>
    <d v="2025-06-24T00:00:00"/>
    <d v="2024-10-06T00:00:00"/>
    <s v="Karla Baker"/>
    <x v="3"/>
    <s v="€386.37"/>
    <s v="High"/>
    <x v="2"/>
    <n v="261"/>
    <s v="OK"/>
  </r>
  <r>
    <n v="1082"/>
    <s v="Melissa Richmond"/>
    <n v="33"/>
    <s v="male"/>
    <d v="2025-06-11T00:00:00"/>
    <d v="2025-02-19T00:00:00"/>
    <s v="Jasmin Holmes"/>
    <x v="2"/>
    <s v="$387.75"/>
    <s v="High"/>
    <x v="3"/>
    <n v="112"/>
    <s v="OK"/>
  </r>
  <r>
    <n v="1009"/>
    <s v="Linda Murphy"/>
    <n v="63"/>
    <s v="male"/>
    <d v="2026-02-17T00:00:00"/>
    <d v="2026-01-11T00:00:00"/>
    <s v="Margaret Montoya"/>
    <x v="0"/>
    <s v="Rs176.68"/>
    <s v="High"/>
    <x v="4"/>
    <n v="37"/>
    <s v="OK"/>
  </r>
  <r>
    <n v="1091"/>
    <s v="Michael Gonzales"/>
    <n v="86"/>
    <s v="male"/>
    <d v="2025-12-23T00:00:00"/>
    <d v="2024-11-24T00:00:00"/>
    <s v="Richard Torres"/>
    <x v="3"/>
    <s v="Rs491.64"/>
    <s v="High"/>
    <x v="5"/>
    <n v="394"/>
    <s v="Review"/>
  </r>
  <r>
    <n v="1038"/>
    <s v="Samantha Garner"/>
    <n v="54"/>
    <s v="0"/>
    <d v="2025-06-16T00:00:00"/>
    <d v="2025-04-24T00:00:00"/>
    <s v="Jacob Hobbs"/>
    <x v="3"/>
    <s v="$325.91"/>
    <s v="High"/>
    <x v="5"/>
    <n v="53"/>
    <s v="OK"/>
  </r>
  <r>
    <n v="1037"/>
    <s v="David Reeves"/>
    <n v="52"/>
    <s v="1"/>
    <d v="2025-12-06T00:00:00"/>
    <d v="2025-01-19T00:00:00"/>
    <s v="Marc Copeland"/>
    <x v="3"/>
    <s v=""/>
    <s v="High"/>
    <x v="4"/>
    <n v="321"/>
    <s v="OK"/>
  </r>
  <r>
    <n v="1053"/>
    <s v="Jennifer Schwartz"/>
    <n v="30"/>
    <s v="female"/>
    <d v="2025-12-31T00:00:00"/>
    <d v="2025-11-14T00:00:00"/>
    <s v="Tamara Smith"/>
    <x v="0"/>
    <s v="$280.21"/>
    <s v="High"/>
    <x v="1"/>
    <n v="47"/>
    <s v="OK"/>
  </r>
  <r>
    <n v="1043"/>
    <s v="William Conley"/>
    <n v="28"/>
    <s v="0"/>
    <d v="2025-09-27T00:00:00"/>
    <d v="2025-06-19T00:00:00"/>
    <s v="Thomas Wallace"/>
    <x v="3"/>
    <s v="Rs88.29"/>
    <s v="High"/>
    <x v="5"/>
    <n v="100"/>
    <s v="OK"/>
  </r>
  <r>
    <n v="1021"/>
    <s v="Kelly Ayers"/>
    <n v="53"/>
    <s v="male"/>
    <d v="2026-02-16T00:00:00"/>
    <d v="2025-04-04T00:00:00"/>
    <s v="Justin Taylor"/>
    <x v="2"/>
    <s v="$443.75"/>
    <s v="High"/>
    <x v="1"/>
    <n v="318"/>
    <s v="OK"/>
  </r>
  <r>
    <n v="1059"/>
    <s v="James Perry"/>
    <n v="57"/>
    <s v="M"/>
    <d v="2025-08-27T00:00:00"/>
    <d v="2024-04-05T00:00:00"/>
    <s v="Leonard Campbell"/>
    <x v="0"/>
    <s v="$385.61"/>
    <s v="High"/>
    <x v="3"/>
    <n v="509"/>
    <s v="Review"/>
  </r>
  <r>
    <n v="1038"/>
    <s v="Steven Phelps"/>
    <n v="19"/>
    <s v="female"/>
    <d v="2025-05-13T00:00:00"/>
    <d v="2024-07-18T00:00:00"/>
    <s v="Darren Williams"/>
    <x v="0"/>
    <s v="Rs350.5"/>
    <s v="High"/>
    <x v="1"/>
    <n v="299"/>
    <s v="OK"/>
  </r>
  <r>
    <n v="1065"/>
    <s v="Mark Daniels"/>
    <n v="75"/>
    <s v="M"/>
    <d v="2025-12-14T00:00:00"/>
    <d v="2024-05-30T00:00:00"/>
    <s v="Kimberly Pierce"/>
    <x v="1"/>
    <s v="$255.56"/>
    <s v="High"/>
    <x v="0"/>
    <n v="563"/>
    <s v="Review"/>
  </r>
  <r>
    <n v="1031"/>
    <s v="Zachary Williams"/>
    <n v="33"/>
    <s v="1"/>
    <d v="2025-09-13T00:00:00"/>
    <d v="2024-07-02T00:00:00"/>
    <s v="Selena Brown"/>
    <x v="1"/>
    <s v="£458.83"/>
    <s v="High"/>
    <x v="0"/>
    <n v="438"/>
    <s v="Review"/>
  </r>
  <r>
    <n v="1018"/>
    <s v="Carly Ford"/>
    <n v="20"/>
    <s v="female"/>
    <d v="2025-07-23T00:00:00"/>
    <d v="2025-06-22T00:00:00"/>
    <s v="Scott Tran"/>
    <x v="2"/>
    <s v="€138.29"/>
    <s v="High"/>
    <x v="4"/>
    <n v="31"/>
    <s v="OK"/>
  </r>
  <r>
    <n v="1081"/>
    <s v="Elaine Williams"/>
    <n v="42"/>
    <s v="female"/>
    <d v="2026-03-15T00:00:00"/>
    <d v="2024-05-23T00:00:00"/>
    <s v="Daniel Carlson"/>
    <x v="0"/>
    <s v="Rs189.02"/>
    <s v="High"/>
    <x v="3"/>
    <n v="661"/>
    <s v="Review"/>
  </r>
  <r>
    <n v="1098"/>
    <s v="Randy Wright"/>
    <n v="27"/>
    <s v="0"/>
    <d v="2025-08-14T00:00:00"/>
    <d v="2024-12-02T00:00:00"/>
    <s v="Jennifer Banks"/>
    <x v="1"/>
    <s v="€272.47"/>
    <s v="High"/>
    <x v="2"/>
    <n v="255"/>
    <s v="OK"/>
  </r>
  <r>
    <n v="1070"/>
    <s v="Charles Foley"/>
    <n v="56"/>
    <s v="male"/>
    <d v="2025-09-19T00:00:00"/>
    <d v="2024-09-28T00:00:00"/>
    <s v="Richard Arias"/>
    <x v="0"/>
    <s v="€450.37"/>
    <s v="High"/>
    <x v="1"/>
    <n v="356"/>
    <s v="OK"/>
  </r>
  <r>
    <n v="1093"/>
    <s v="Ryan Kennedy"/>
    <n v="81"/>
    <s v="0"/>
    <d v="2026-02-07T00:00:00"/>
    <d v="2024-06-27T00:00:00"/>
    <s v="Scott Shannon"/>
    <x v="3"/>
    <s v="$490.67"/>
    <s v="High"/>
    <x v="3"/>
    <n v="590"/>
    <s v="Review"/>
  </r>
  <r>
    <n v="1032"/>
    <s v="Stephen Cox"/>
    <n v="56"/>
    <s v="1"/>
    <d v="2025-09-27T00:00:00"/>
    <d v="2025-02-05T00:00:00"/>
    <s v="Joseph King"/>
    <x v="0"/>
    <s v="£99.17"/>
    <s v="High"/>
    <x v="2"/>
    <n v="234"/>
    <s v="OK"/>
  </r>
  <r>
    <n v="1071"/>
    <s v="Jennifer Jackson"/>
    <n v="80"/>
    <s v="0"/>
    <d v="2025-07-29T00:00:00"/>
    <d v="2024-04-14T00:00:00"/>
    <s v="Frank Harrell"/>
    <x v="2"/>
    <s v="$105.64"/>
    <s v="High"/>
    <x v="2"/>
    <n v="471"/>
    <s v="Review"/>
  </r>
  <r>
    <n v="1067"/>
    <s v="Jessica Wilson"/>
    <n v="72"/>
    <s v="0"/>
    <d v="2026-03-20T00:00:00"/>
    <d v="2024-07-13T00:00:00"/>
    <s v="Sharon Nash"/>
    <x v="1"/>
    <s v="€437.18"/>
    <s v="High"/>
    <x v="4"/>
    <n v="615"/>
    <s v="Review"/>
  </r>
  <r>
    <n v="1090"/>
    <s v="Brittany Wall"/>
    <n v="37"/>
    <s v="M"/>
    <d v="2026-02-28T00:00:00"/>
    <d v="2024-04-18T00:00:00"/>
    <s v="Willie Dean"/>
    <x v="3"/>
    <s v="Rs77.2"/>
    <s v="High"/>
    <x v="5"/>
    <n v="681"/>
    <s v="Review"/>
  </r>
  <r>
    <n v="1027"/>
    <s v="Diane Adams"/>
    <n v="81"/>
    <s v="female"/>
    <d v="2025-12-30T00:00:00"/>
    <d v="2025-01-09T00:00:00"/>
    <s v="Andrew Carroll"/>
    <x v="3"/>
    <s v="€118.72"/>
    <s v="High"/>
    <x v="5"/>
    <n v="355"/>
    <s v="OK"/>
  </r>
  <r>
    <n v="1073"/>
    <s v="Shawn Moon"/>
    <n v="52"/>
    <s v="male"/>
    <d v="2026-03-17T00:00:00"/>
    <d v="2025-10-20T00:00:00"/>
    <s v="Sheila Williams"/>
    <x v="2"/>
    <s v="€155.69"/>
    <s v="High"/>
    <x v="1"/>
    <n v="148"/>
    <s v="OK"/>
  </r>
  <r>
    <n v="1092"/>
    <s v="Sharon Lopez"/>
    <n v="79"/>
    <s v="1"/>
    <d v="2025-09-09T00:00:00"/>
    <d v="2025-02-02T00:00:00"/>
    <s v="Yolanda Richardson"/>
    <x v="2"/>
    <s v="$487.57"/>
    <s v="High"/>
    <x v="4"/>
    <n v="219"/>
    <s v="OK"/>
  </r>
  <r>
    <n v="1083"/>
    <s v="Timothy Ramirez"/>
    <n v="56"/>
    <s v="F"/>
    <d v="2025-11-18T00:00:00"/>
    <d v="2025-02-07T00:00:00"/>
    <s v="Tiffany Shepherd"/>
    <x v="0"/>
    <s v="Rs412.44"/>
    <s v="High"/>
    <x v="5"/>
    <n v="284"/>
    <s v="OK"/>
  </r>
  <r>
    <n v="1091"/>
    <s v="Daniel Marshall"/>
    <n v="74"/>
    <s v="male"/>
    <d v="2025-12-11T00:00:00"/>
    <d v="2025-04-23T00:00:00"/>
    <s v="Lisa Taylor"/>
    <x v="0"/>
    <s v="£297.5"/>
    <s v="High"/>
    <x v="1"/>
    <n v="232"/>
    <s v="OK"/>
  </r>
  <r>
    <n v="1057"/>
    <s v="Andre Pitts"/>
    <n v="60"/>
    <s v="female"/>
    <d v="2026-01-26T00:00:00"/>
    <d v="2024-09-30T00:00:00"/>
    <s v="Donna Sandoval"/>
    <x v="3"/>
    <s v="€481.4"/>
    <s v="High"/>
    <x v="3"/>
    <n v="483"/>
    <s v="Review"/>
  </r>
  <r>
    <n v="1018"/>
    <s v="Mary Garcia"/>
    <n v="54"/>
    <s v="M"/>
    <d v="2025-10-21T00:00:00"/>
    <d v="2025-04-11T00:00:00"/>
    <s v="Brianna Ortega"/>
    <x v="3"/>
    <s v="$252.53"/>
    <s v="High"/>
    <x v="1"/>
    <n v="193"/>
    <s v="OK"/>
  </r>
  <r>
    <n v="1002"/>
    <s v="Lawrence Ford"/>
    <n v="89"/>
    <s v="F"/>
    <d v="2025-07-09T00:00:00"/>
    <d v="2025-01-03T00:00:00"/>
    <s v="Randall Watts"/>
    <x v="2"/>
    <s v="€167.8"/>
    <s v="High"/>
    <x v="3"/>
    <n v="187"/>
    <s v="OK"/>
  </r>
  <r>
    <n v="1084"/>
    <s v="Monica Mcclure"/>
    <n v="84"/>
    <s v="0"/>
    <d v="2025-05-24T00:00:00"/>
    <d v="2024-05-10T00:00:00"/>
    <s v="Martha Byrd"/>
    <x v="3"/>
    <s v="Rs347.94"/>
    <s v="High"/>
    <x v="0"/>
    <n v="379"/>
    <s v="Review"/>
  </r>
  <r>
    <n v="1005"/>
    <s v="Troy Richards"/>
    <n v="80"/>
    <s v="0"/>
    <d v="2025-05-16T00:00:00"/>
    <d v="2024-11-13T00:00:00"/>
    <s v="Thomas Baker"/>
    <x v="2"/>
    <s v="£305.02"/>
    <s v="High"/>
    <x v="1"/>
    <n v="184"/>
    <s v="OK"/>
  </r>
  <r>
    <n v="1094"/>
    <s v="Anna Rowe"/>
    <n v="59"/>
    <s v="female"/>
    <d v="2026-02-26T00:00:00"/>
    <d v="2024-08-25T00:00:00"/>
    <s v="Judith Preston"/>
    <x v="2"/>
    <s v="€83.61"/>
    <s v="High"/>
    <x v="2"/>
    <n v="550"/>
    <s v="Review"/>
  </r>
  <r>
    <n v="1084"/>
    <s v="Michael Espinoza"/>
    <n v="55"/>
    <s v="female"/>
    <d v="2025-04-29T00:00:00"/>
    <d v="2024-12-06T00:00:00"/>
    <s v="Amber King"/>
    <x v="2"/>
    <s v="£360.39"/>
    <s v="High"/>
    <x v="4"/>
    <n v="144"/>
    <s v="OK"/>
  </r>
  <r>
    <n v="1044"/>
    <s v="Kenneth Dixon"/>
    <n v="68"/>
    <s v="male"/>
    <d v="2025-08-19T00:00:00"/>
    <d v="2025-01-31T00:00:00"/>
    <s v="Sandra Sloan"/>
    <x v="1"/>
    <s v="€402.4"/>
    <s v="High"/>
    <x v="3"/>
    <n v="200"/>
    <s v="OK"/>
  </r>
  <r>
    <n v="1067"/>
    <s v="Justin Ortiz"/>
    <n v="60"/>
    <s v="male"/>
    <d v="2025-11-08T00:00:00"/>
    <d v="2025-03-30T00:00:00"/>
    <s v="Russell Myers"/>
    <x v="0"/>
    <s v="£234.26"/>
    <s v="High"/>
    <x v="4"/>
    <n v="223"/>
    <s v="OK"/>
  </r>
  <r>
    <n v="1083"/>
    <s v="Melissa Wagner"/>
    <n v="59"/>
    <s v="male"/>
    <d v="2025-09-18T00:00:00"/>
    <d v="2024-06-15T00:00:00"/>
    <s v="Megan Garcia"/>
    <x v="2"/>
    <s v="Rs219.5"/>
    <s v="High"/>
    <x v="1"/>
    <n v="460"/>
    <s v="Review"/>
  </r>
  <r>
    <n v="1017"/>
    <s v="Jamie Miller"/>
    <n v="84"/>
    <s v="F"/>
    <d v="2026-02-05T00:00:00"/>
    <d v="2024-05-28T00:00:00"/>
    <s v="Gloria Perez"/>
    <x v="1"/>
    <s v="€191.19"/>
    <s v="High"/>
    <x v="4"/>
    <n v="618"/>
    <s v="Review"/>
  </r>
  <r>
    <n v="1080"/>
    <s v="Cynthia Jones"/>
    <n v="38"/>
    <s v="1"/>
    <d v="2025-05-31T00:00:00"/>
    <d v="2024-05-26T00:00:00"/>
    <s v="Eugene Little"/>
    <x v="1"/>
    <s v="Rs318.15"/>
    <s v="High"/>
    <x v="0"/>
    <n v="370"/>
    <s v="Review"/>
  </r>
  <r>
    <n v="1089"/>
    <s v="Henry Quinn"/>
    <n v="23"/>
    <s v="F"/>
    <d v="2025-08-10T00:00:00"/>
    <d v="2025-04-22T00:00:00"/>
    <s v="Audrey Hansen"/>
    <x v="3"/>
    <s v="$350.0"/>
    <s v="High"/>
    <x v="5"/>
    <n v="110"/>
    <s v="OK"/>
  </r>
  <r>
    <n v="1070"/>
    <s v="Jake Robinson"/>
    <n v="62"/>
    <s v="female"/>
    <d v="2025-09-09T00:00:00"/>
    <d v="2024-11-25T00:00:00"/>
    <s v="Nathan Quinn"/>
    <x v="0"/>
    <s v="Rs178.28"/>
    <s v="High"/>
    <x v="3"/>
    <n v="288"/>
    <s v="OK"/>
  </r>
  <r>
    <n v="1093"/>
    <s v="Kimberly Morrison"/>
    <n v="34"/>
    <s v="0"/>
    <d v="2026-03-04T00:00:00"/>
    <d v="2024-09-11T00:00:00"/>
    <s v="Brian Young"/>
    <x v="1"/>
    <s v="$248.31"/>
    <s v="High"/>
    <x v="1"/>
    <n v="539"/>
    <s v="Review"/>
  </r>
  <r>
    <n v="1088"/>
    <s v="Ricardo White"/>
    <n v="35"/>
    <s v="M"/>
    <d v="2025-10-27T00:00:00"/>
    <d v="2025-07-11T00:00:00"/>
    <s v="Tanya Barker"/>
    <x v="0"/>
    <s v="Rs352.72"/>
    <s v="High"/>
    <x v="0"/>
    <n v="108"/>
    <s v="OK"/>
  </r>
  <r>
    <n v="1086"/>
    <s v="Cynthia Richard"/>
    <n v="36"/>
    <s v="male"/>
    <d v="2026-03-17T00:00:00"/>
    <d v="2024-08-25T00:00:00"/>
    <s v="Scott King"/>
    <x v="1"/>
    <s v="€208.03"/>
    <s v="High"/>
    <x v="5"/>
    <n v="569"/>
    <s v="Review"/>
  </r>
  <r>
    <n v="1033"/>
    <s v="David Thompson"/>
    <n v="47"/>
    <s v="0"/>
    <d v="2025-12-03T00:00:00"/>
    <d v="2025-08-24T00:00:00"/>
    <s v="Derek Velazquez"/>
    <x v="0"/>
    <s v="£116.75"/>
    <s v="High"/>
    <x v="4"/>
    <n v="101"/>
    <s v="OK"/>
  </r>
  <r>
    <n v="1023"/>
    <s v="Mary Moon"/>
    <n v="36"/>
    <s v="1"/>
    <d v="2025-10-13T00:00:00"/>
    <d v="2025-01-08T00:00:00"/>
    <s v="Ernest Rodriguez"/>
    <x v="0"/>
    <s v="€91.29"/>
    <s v="High"/>
    <x v="4"/>
    <n v="278"/>
    <s v="OK"/>
  </r>
  <r>
    <n v="1053"/>
    <s v="John Gallagher"/>
    <n v="57"/>
    <s v="0"/>
    <d v="2025-06-28T00:00:00"/>
    <d v="2024-11-02T00:00:00"/>
    <s v="Kara Austin"/>
    <x v="0"/>
    <s v="€198.61"/>
    <s v="High"/>
    <x v="3"/>
    <n v="238"/>
    <s v="OK"/>
  </r>
  <r>
    <n v="1040"/>
    <s v="Benjamin Allen"/>
    <n v="20"/>
    <s v="female"/>
    <d v="2025-11-22T00:00:00"/>
    <d v="2025-04-06T00:00:00"/>
    <s v="Richard Johnson"/>
    <x v="0"/>
    <s v="€257.17"/>
    <s v="High"/>
    <x v="2"/>
    <n v="230"/>
    <s v="OK"/>
  </r>
  <r>
    <n v="1073"/>
    <s v="Abigail Holt"/>
    <n v="50"/>
    <s v="0"/>
    <d v="2025-09-11T00:00:00"/>
    <d v="2025-03-14T00:00:00"/>
    <s v="Jacob Mays"/>
    <x v="2"/>
    <s v="$343.79"/>
    <s v="High"/>
    <x v="3"/>
    <n v="181"/>
    <s v="OK"/>
  </r>
  <r>
    <n v="1031"/>
    <s v="Katherine Rogers"/>
    <n v="50"/>
    <s v="F"/>
    <d v="2025-11-19T00:00:00"/>
    <d v="2025-01-15T00:00:00"/>
    <s v="Morgan Edwards"/>
    <x v="1"/>
    <s v="$431.21"/>
    <s v="High"/>
    <x v="0"/>
    <n v="308"/>
    <s v="OK"/>
  </r>
  <r>
    <n v="1093"/>
    <s v="Jason Larson"/>
    <n v="66"/>
    <s v="F"/>
    <d v="2026-02-02T00:00:00"/>
    <d v="2025-02-14T00:00:00"/>
    <s v="Helen Davis"/>
    <x v="2"/>
    <s v="£241.91"/>
    <s v="High"/>
    <x v="0"/>
    <n v="353"/>
    <s v="OK"/>
  </r>
  <r>
    <n v="1029"/>
    <s v="Jesse Robertson"/>
    <n v="24"/>
    <s v="male"/>
    <d v="2025-07-27T00:00:00"/>
    <d v="2025-07-19T00:00:00"/>
    <s v="Rebecca Gross"/>
    <x v="1"/>
    <s v="€95.25"/>
    <s v="High"/>
    <x v="3"/>
    <n v="8"/>
    <s v="OK"/>
  </r>
  <r>
    <n v="1082"/>
    <s v="Tyler Trujillo"/>
    <n v="72"/>
    <s v="male"/>
    <d v="2025-12-11T00:00:00"/>
    <d v="2025-01-24T00:00:00"/>
    <s v="Andrea Walsh"/>
    <x v="0"/>
    <s v="£167.07"/>
    <s v="High"/>
    <x v="2"/>
    <n v="321"/>
    <s v="OK"/>
  </r>
  <r>
    <n v="1099"/>
    <s v="Travis Rodriguez"/>
    <n v="85"/>
    <s v="M"/>
    <d v="2025-10-20T00:00:00"/>
    <d v="2025-08-10T00:00:00"/>
    <s v="Richard Wagner"/>
    <x v="2"/>
    <s v="€426.64"/>
    <s v="High"/>
    <x v="3"/>
    <n v="71"/>
    <s v="OK"/>
  </r>
  <r>
    <n v="1065"/>
    <s v="Darren Alvarado"/>
    <n v="38"/>
    <s v="M"/>
    <d v="2025-05-29T00:00:00"/>
    <d v="2025-05-13T00:00:00"/>
    <s v="Spencer Booth"/>
    <x v="0"/>
    <s v="€106.8"/>
    <s v="High"/>
    <x v="5"/>
    <n v="16"/>
    <s v="OK"/>
  </r>
  <r>
    <n v="1041"/>
    <s v="Troy Marshall"/>
    <n v="67"/>
    <s v="female"/>
    <d v="2025-04-17T00:00:00"/>
    <d v="2024-09-15T00:00:00"/>
    <s v="Benjamin Robinson"/>
    <x v="1"/>
    <s v="$478.18"/>
    <s v="High"/>
    <x v="5"/>
    <n v="214"/>
    <s v="OK"/>
  </r>
  <r>
    <n v="1003"/>
    <s v="Corey Turner"/>
    <n v="27"/>
    <s v="0"/>
    <d v="2025-06-05T00:00:00"/>
    <d v="2025-03-13T00:00:00"/>
    <s v="Heidi Baker"/>
    <x v="1"/>
    <s v="Rs435.1"/>
    <s v="High"/>
    <x v="3"/>
    <n v="84"/>
    <s v="OK"/>
  </r>
  <r>
    <n v="1038"/>
    <s v="Ashley Wright"/>
    <n v="45"/>
    <s v="female"/>
    <d v="2026-02-26T00:00:00"/>
    <d v="2025-06-03T00:00:00"/>
    <s v="Kristen Lopez"/>
    <x v="3"/>
    <s v="€403.22"/>
    <s v="High"/>
    <x v="3"/>
    <n v="268"/>
    <s v="OK"/>
  </r>
  <r>
    <n v="1061"/>
    <s v="Jose Bauer"/>
    <n v="37"/>
    <s v="0"/>
    <d v="2025-10-17T00:00:00"/>
    <d v="2025-04-07T00:00:00"/>
    <s v="Reginald Barrett"/>
    <x v="1"/>
    <s v="€390.81"/>
    <s v="High"/>
    <x v="2"/>
    <n v="193"/>
    <s v="OK"/>
  </r>
  <r>
    <n v="1024"/>
    <s v="Jared Lester"/>
    <n v="26"/>
    <s v="M"/>
    <d v="2025-10-20T00:00:00"/>
    <d v="2024-09-09T00:00:00"/>
    <s v="David Espinoza"/>
    <x v="1"/>
    <s v="£310.42"/>
    <s v="High"/>
    <x v="4"/>
    <n v="406"/>
    <s v="Review"/>
  </r>
  <r>
    <n v="1017"/>
    <s v="Jeffrey Martinez"/>
    <n v="86"/>
    <s v="0"/>
    <d v="2026-02-09T00:00:00"/>
    <d v="2026-01-21T00:00:00"/>
    <s v="Michael Ross"/>
    <x v="2"/>
    <s v="$469.3"/>
    <s v="High"/>
    <x v="5"/>
    <n v="19"/>
    <s v="OK"/>
  </r>
  <r>
    <n v="1010"/>
    <s v="Christopher Massey"/>
    <n v="82"/>
    <s v="male"/>
    <d v="2025-07-15T00:00:00"/>
    <d v="2025-05-19T00:00:00"/>
    <s v="William Moore"/>
    <x v="1"/>
    <s v="€495.94"/>
    <s v="High"/>
    <x v="1"/>
    <n v="57"/>
    <s v="OK"/>
  </r>
  <r>
    <n v="1096"/>
    <s v="Erin Small"/>
    <n v="82"/>
    <s v="male"/>
    <d v="2025-05-15T00:00:00"/>
    <d v="2025-05-13T00:00:00"/>
    <s v="Jeff Lane"/>
    <x v="3"/>
    <s v="€403.87"/>
    <s v="High"/>
    <x v="2"/>
    <n v="2"/>
    <s v="OK"/>
  </r>
  <r>
    <n v="1024"/>
    <s v="Pamela Dalton"/>
    <n v="18"/>
    <s v="M"/>
    <d v="2025-10-06T00:00:00"/>
    <d v="2024-11-28T00:00:00"/>
    <s v="Christopher Jones"/>
    <x v="1"/>
    <s v="Rs466.56"/>
    <s v="High"/>
    <x v="5"/>
    <n v="312"/>
    <s v="OK"/>
  </r>
  <r>
    <n v="1058"/>
    <s v="Rebecca Parrish"/>
    <n v="59"/>
    <s v="female"/>
    <d v="2026-03-15T00:00:00"/>
    <d v="2025-01-06T00:00:00"/>
    <s v="Jordan Shelton"/>
    <x v="1"/>
    <s v="$163.52"/>
    <s v="High"/>
    <x v="4"/>
    <n v="433"/>
    <s v="Review"/>
  </r>
  <r>
    <n v="1068"/>
    <s v="Dominic Bell"/>
    <n v="37"/>
    <s v="male"/>
    <d v="2025-11-18T00:00:00"/>
    <d v="2024-11-18T00:00:00"/>
    <s v="April Castillo"/>
    <x v="0"/>
    <s v="Rs356.13"/>
    <s v="High"/>
    <x v="3"/>
    <n v="365"/>
    <s v="OK"/>
  </r>
  <r>
    <n v="1013"/>
    <s v="Gregory Arellano"/>
    <n v="71"/>
    <s v="0"/>
    <d v="2025-08-05T00:00:00"/>
    <d v="2025-07-07T00:00:00"/>
    <s v="Natalie Smith"/>
    <x v="1"/>
    <s v="$400.62"/>
    <s v="High"/>
    <x v="5"/>
    <n v="29"/>
    <s v="OK"/>
  </r>
  <r>
    <n v="1009"/>
    <s v="Laura Chan"/>
    <n v="49"/>
    <s v="0"/>
    <d v="2026-02-17T00:00:00"/>
    <d v="2026-01-16T00:00:00"/>
    <s v="Reginald Miller"/>
    <x v="0"/>
    <s v="$177.93"/>
    <s v="High"/>
    <x v="4"/>
    <n v="32"/>
    <s v="OK"/>
  </r>
  <r>
    <n v="1031"/>
    <s v="Michael Watkins"/>
    <n v="35"/>
    <s v="M"/>
    <d v="2025-07-06T00:00:00"/>
    <d v="2025-03-05T00:00:00"/>
    <s v="Brian Deleon"/>
    <x v="3"/>
    <s v="£313.04"/>
    <s v="High"/>
    <x v="1"/>
    <n v="123"/>
    <s v="OK"/>
  </r>
  <r>
    <n v="1043"/>
    <s v="Daniel Garrett"/>
    <n v="38"/>
    <s v="M"/>
    <d v="2026-01-28T00:00:00"/>
    <d v="2025-06-01T00:00:00"/>
    <s v="Francisco Steele"/>
    <x v="2"/>
    <s v="£424.5"/>
    <s v="High"/>
    <x v="5"/>
    <n v="241"/>
    <s v="OK"/>
  </r>
  <r>
    <n v="1072"/>
    <s v="Ronald Gonzalez"/>
    <n v="30"/>
    <s v="female"/>
    <d v="2026-01-25T00:00:00"/>
    <d v="2025-10-01T00:00:00"/>
    <s v="Crystal Mueller"/>
    <x v="3"/>
    <s v="Rs222.37"/>
    <s v="High"/>
    <x v="0"/>
    <n v="116"/>
    <s v="OK"/>
  </r>
  <r>
    <n v="1055"/>
    <s v="Charles Green"/>
    <n v="80"/>
    <s v="female"/>
    <d v="2025-04-28T00:00:00"/>
    <d v="2024-03-30T00:00:00"/>
    <s v="Lisa Hoffman"/>
    <x v="2"/>
    <s v="€349.49"/>
    <s v="High"/>
    <x v="4"/>
    <n v="394"/>
    <s v="Review"/>
  </r>
  <r>
    <n v="1098"/>
    <s v="Allison Ramos"/>
    <n v="75"/>
    <s v="female"/>
    <d v="2025-12-28T00:00:00"/>
    <d v="2024-12-16T00:00:00"/>
    <s v="Chase Ford"/>
    <x v="2"/>
    <s v="$482.2"/>
    <s v="High"/>
    <x v="0"/>
    <n v="377"/>
    <s v="Review"/>
  </r>
  <r>
    <n v="1072"/>
    <s v="Christopher Brown"/>
    <n v="49"/>
    <s v="F"/>
    <d v="2025-03-26T00:00:00"/>
    <d v="2025-01-02T00:00:00"/>
    <s v="Henry Moore"/>
    <x v="0"/>
    <s v="Rs92.08"/>
    <s v="High"/>
    <x v="4"/>
    <n v="83"/>
    <s v="OK"/>
  </r>
  <r>
    <n v="1070"/>
    <s v="Barbara Holland"/>
    <n v="24"/>
    <s v="M"/>
    <d v="2026-01-30T00:00:00"/>
    <d v="2024-12-16T00:00:00"/>
    <s v="Chelsea Aguirre"/>
    <x v="3"/>
    <s v="€439.56"/>
    <s v="High"/>
    <x v="4"/>
    <n v="410"/>
    <s v="Review"/>
  </r>
  <r>
    <n v="1061"/>
    <s v="Matthew Herrera"/>
    <n v="74"/>
    <s v="female"/>
    <d v="2025-09-01T00:00:00"/>
    <d v="2025-05-26T00:00:00"/>
    <s v="Cody Murray"/>
    <x v="3"/>
    <s v="Rs473.48"/>
    <s v="High"/>
    <x v="3"/>
    <n v="98"/>
    <s v="OK"/>
  </r>
  <r>
    <n v="1059"/>
    <s v="Valerie Vaughn"/>
    <n v="35"/>
    <s v="1"/>
    <d v="2025-11-11T00:00:00"/>
    <d v="2024-07-18T00:00:00"/>
    <s v="Felicia Warner"/>
    <x v="1"/>
    <s v=""/>
    <s v="High"/>
    <x v="5"/>
    <n v="481"/>
    <s v="Review"/>
  </r>
  <r>
    <n v="1091"/>
    <s v="Tiffany Miller"/>
    <n v="85"/>
    <s v="1"/>
    <d v="2025-03-29T00:00:00"/>
    <d v="2025-03-07T00:00:00"/>
    <s v="Melissa Bradley"/>
    <x v="0"/>
    <s v="€151.02"/>
    <s v="High"/>
    <x v="2"/>
    <n v="22"/>
    <s v="OK"/>
  </r>
  <r>
    <n v="1003"/>
    <s v="Cassandra Cain"/>
    <n v="64"/>
    <s v="female"/>
    <d v="2026-01-24T00:00:00"/>
    <d v="2025-02-08T00:00:00"/>
    <s v="Jessica Williams"/>
    <x v="0"/>
    <s v="Rs79.59"/>
    <s v="High"/>
    <x v="5"/>
    <n v="350"/>
    <s v="OK"/>
  </r>
  <r>
    <n v="1087"/>
    <s v="Glen Arroyo"/>
    <n v="70"/>
    <s v="female"/>
    <d v="2025-09-12T00:00:00"/>
    <d v="2024-06-03T00:00:00"/>
    <s v="Christopher Schneider"/>
    <x v="2"/>
    <s v="£167.31"/>
    <s v="High"/>
    <x v="1"/>
    <n v="466"/>
    <s v="Review"/>
  </r>
  <r>
    <n v="1049"/>
    <s v="Kimberly Hill"/>
    <n v="37"/>
    <s v=""/>
    <d v="2025-05-10T00:00:00"/>
    <d v="2024-08-26T00:00:00"/>
    <s v="Kenneth Long"/>
    <x v="2"/>
    <s v="Rs194.81"/>
    <s v="High"/>
    <x v="5"/>
    <n v="257"/>
    <s v="OK"/>
  </r>
  <r>
    <n v="1056"/>
    <s v="Erik Martinez"/>
    <n v="24"/>
    <s v="male"/>
    <d v="2025-10-28T00:00:00"/>
    <d v="2025-01-15T00:00:00"/>
    <s v="Jennifer Carroll"/>
    <x v="0"/>
    <s v="$97.67"/>
    <s v="High"/>
    <x v="3"/>
    <n v="286"/>
    <s v="OK"/>
  </r>
  <r>
    <n v="1057"/>
    <s v="Michael Bradley"/>
    <n v="86"/>
    <s v="0"/>
    <d v="2025-06-11T00:00:00"/>
    <d v="2024-09-28T00:00:00"/>
    <s v="Carl Gomez"/>
    <x v="1"/>
    <s v="£254.91"/>
    <s v="High"/>
    <x v="2"/>
    <n v="256"/>
    <s v="OK"/>
  </r>
  <r>
    <n v="1054"/>
    <s v="Rebecca Carey DDS"/>
    <n v="57"/>
    <s v="M"/>
    <d v="2025-10-09T00:00:00"/>
    <d v="2025-03-17T00:00:00"/>
    <s v="David Carter"/>
    <x v="2"/>
    <s v="$169.09"/>
    <s v="High"/>
    <x v="2"/>
    <n v="206"/>
    <s v="OK"/>
  </r>
  <r>
    <n v="1040"/>
    <s v="Tammy Nelson"/>
    <n v="20"/>
    <s v="1"/>
    <d v="2025-08-21T00:00:00"/>
    <d v="2024-04-15T00:00:00"/>
    <s v="Angel Aguilar"/>
    <x v="0"/>
    <s v=""/>
    <s v="High"/>
    <x v="5"/>
    <n v="493"/>
    <s v="Review"/>
  </r>
  <r>
    <n v="1059"/>
    <s v="Heidi Alvarez"/>
    <n v="88"/>
    <s v="male"/>
    <d v="2025-07-30T00:00:00"/>
    <d v="2025-06-30T00:00:00"/>
    <s v="Jeremy Wilson"/>
    <x v="3"/>
    <s v="Rs94.19"/>
    <s v="High"/>
    <x v="1"/>
    <n v="30"/>
    <s v="OK"/>
  </r>
  <r>
    <n v="1035"/>
    <s v="Robert Edwards"/>
    <n v="84"/>
    <s v="0"/>
    <d v="2025-10-09T00:00:00"/>
    <d v="2025-05-10T00:00:00"/>
    <s v="Ashley Gonzalez"/>
    <x v="1"/>
    <s v="£84.87"/>
    <s v="High"/>
    <x v="2"/>
    <n v="152"/>
    <s v="OK"/>
  </r>
  <r>
    <n v="1086"/>
    <s v="Bryan Fritz"/>
    <n v="86"/>
    <s v="female"/>
    <d v="2025-08-03T00:00:00"/>
    <d v="2025-02-19T00:00:00"/>
    <s v="Kelsey Hernandez"/>
    <x v="1"/>
    <s v="$338.43"/>
    <s v="High"/>
    <x v="1"/>
    <n v="165"/>
    <s v="OK"/>
  </r>
  <r>
    <n v="1050"/>
    <s v="Donald Reed"/>
    <n v="60"/>
    <s v="F"/>
    <d v="2025-05-06T00:00:00"/>
    <d v="2024-10-11T00:00:00"/>
    <s v="Danny Webster"/>
    <x v="3"/>
    <s v="$453.66"/>
    <s v="High"/>
    <x v="1"/>
    <n v="207"/>
    <s v="OK"/>
  </r>
  <r>
    <n v="1024"/>
    <s v="Alejandra Perkins"/>
    <n v="72"/>
    <s v=""/>
    <d v="2025-08-03T00:00:00"/>
    <d v="2025-04-11T00:00:00"/>
    <s v="Daniel Dickerson"/>
    <x v="1"/>
    <s v=""/>
    <s v="High"/>
    <x v="1"/>
    <n v="114"/>
    <s v="OK"/>
  </r>
  <r>
    <n v="1046"/>
    <s v="Jonathan Drake"/>
    <n v="76"/>
    <s v="M"/>
    <d v="2026-01-06T00:00:00"/>
    <d v="2025-03-16T00:00:00"/>
    <s v="Andrew Johnson"/>
    <x v="0"/>
    <s v="£328.88"/>
    <s v="High"/>
    <x v="0"/>
    <n v="296"/>
    <s v="OK"/>
  </r>
  <r>
    <n v="1051"/>
    <s v="Sandra Wood"/>
    <n v="81"/>
    <s v="male"/>
    <d v="2026-02-03T00:00:00"/>
    <d v="2025-09-29T00:00:00"/>
    <s v="Brian Armstrong"/>
    <x v="2"/>
    <s v="£51.93"/>
    <s v="High"/>
    <x v="5"/>
    <n v="127"/>
    <s v="OK"/>
  </r>
  <r>
    <n v="1014"/>
    <s v="Alexis Moody"/>
    <n v="81"/>
    <s v="F"/>
    <d v="2025-05-29T00:00:00"/>
    <d v="2024-06-11T00:00:00"/>
    <s v="Jennifer Reyes"/>
    <x v="1"/>
    <s v="Rs201.8"/>
    <s v="High"/>
    <x v="1"/>
    <n v="352"/>
    <s v="OK"/>
  </r>
  <r>
    <n v="1059"/>
    <s v="Carol Williams"/>
    <n v="75"/>
    <s v="female"/>
    <d v="2025-04-15T00:00:00"/>
    <d v="2024-06-01T00:00:00"/>
    <s v="Joshua Gomez"/>
    <x v="0"/>
    <s v="$129.1"/>
    <s v="High"/>
    <x v="1"/>
    <n v="318"/>
    <s v="OK"/>
  </r>
  <r>
    <n v="1040"/>
    <s v="Kimberly Adkins"/>
    <n v="77"/>
    <s v="male"/>
    <d v="2025-12-15T00:00:00"/>
    <d v="2024-08-19T00:00:00"/>
    <s v="Tamara Rivera"/>
    <x v="0"/>
    <s v=""/>
    <s v="High"/>
    <x v="5"/>
    <n v="483"/>
    <s v="Review"/>
  </r>
  <r>
    <n v="1092"/>
    <s v="Tracie Jefferson"/>
    <n v="74"/>
    <s v="female"/>
    <d v="2025-07-24T00:00:00"/>
    <d v="2025-04-24T00:00:00"/>
    <s v="Margaret Robinson"/>
    <x v="3"/>
    <s v="$153.53"/>
    <s v="High"/>
    <x v="1"/>
    <n v="91"/>
    <s v="OK"/>
  </r>
  <r>
    <n v="1010"/>
    <s v="Aaron Young"/>
    <n v="60"/>
    <s v="M"/>
    <d v="2026-01-26T00:00:00"/>
    <d v="2024-05-09T00:00:00"/>
    <s v="Wendy Cochran"/>
    <x v="0"/>
    <s v="Rs222.33"/>
    <s v="High"/>
    <x v="0"/>
    <n v="627"/>
    <s v="Review"/>
  </r>
  <r>
    <n v="1032"/>
    <s v="Terry Dennis"/>
    <n v="28"/>
    <s v="M"/>
    <d v="2025-07-14T00:00:00"/>
    <d v="2024-08-16T00:00:00"/>
    <s v="Kelsey Scott"/>
    <x v="2"/>
    <s v="Rs403.78"/>
    <s v="High"/>
    <x v="3"/>
    <n v="332"/>
    <s v="OK"/>
  </r>
  <r>
    <n v="1020"/>
    <s v="Michael Newman MD"/>
    <n v="45"/>
    <s v="F"/>
    <d v="2025-11-29T00:00:00"/>
    <d v="2025-08-31T00:00:00"/>
    <s v="Ronald Santos"/>
    <x v="3"/>
    <s v="$343.21"/>
    <s v="High"/>
    <x v="5"/>
    <n v="90"/>
    <s v="OK"/>
  </r>
  <r>
    <n v="1020"/>
    <s v="Kristin Terry"/>
    <n v="50"/>
    <s v="M"/>
    <d v="2025-08-18T00:00:00"/>
    <d v="2025-05-17T00:00:00"/>
    <s v="Michael Brown"/>
    <x v="2"/>
    <s v="£67.97"/>
    <s v="High"/>
    <x v="0"/>
    <n v="93"/>
    <s v="OK"/>
  </r>
  <r>
    <n v="1017"/>
    <s v="Nicole Green"/>
    <n v="55"/>
    <s v="male"/>
    <d v="2025-07-18T00:00:00"/>
    <d v="2024-07-06T00:00:00"/>
    <s v="Charles Owens"/>
    <x v="3"/>
    <s v="Rs365.21"/>
    <s v="High"/>
    <x v="2"/>
    <n v="377"/>
    <s v="Review"/>
  </r>
  <r>
    <n v="1007"/>
    <s v="Tina Cook"/>
    <n v="25"/>
    <s v="female"/>
    <d v="2025-12-05T00:00:00"/>
    <d v="2024-09-28T00:00:00"/>
    <s v="Paul Allen"/>
    <x v="2"/>
    <s v="£269.53"/>
    <s v="High"/>
    <x v="0"/>
    <n v="433"/>
    <s v="Review"/>
  </r>
  <r>
    <n v="1084"/>
    <s v="Robin Donovan"/>
    <n v="69"/>
    <s v="M"/>
    <d v="2025-03-27T00:00:00"/>
    <d v="2024-08-04T00:00:00"/>
    <s v="Brian Brown"/>
    <x v="3"/>
    <s v="$163.58"/>
    <s v="High"/>
    <x v="4"/>
    <n v="235"/>
    <s v="OK"/>
  </r>
  <r>
    <n v="1005"/>
    <s v="Bryan Meyers"/>
    <n v="84"/>
    <s v="female"/>
    <d v="2026-01-05T00:00:00"/>
    <d v="2025-07-11T00:00:00"/>
    <s v="Michael Trevino"/>
    <x v="0"/>
    <s v="Rs499.36"/>
    <s v="High"/>
    <x v="4"/>
    <n v="178"/>
    <s v="OK"/>
  </r>
  <r>
    <n v="1011"/>
    <s v="Deanna Manning"/>
    <n v="50"/>
    <s v="female"/>
    <d v="2025-11-14T00:00:00"/>
    <d v="2025-09-14T00:00:00"/>
    <s v="Austin Stout"/>
    <x v="0"/>
    <s v="Rs101.37"/>
    <s v="High"/>
    <x v="5"/>
    <n v="61"/>
    <s v="OK"/>
  </r>
  <r>
    <n v="1085"/>
    <s v="Linda Miller"/>
    <n v="28"/>
    <s v="female"/>
    <d v="2026-03-08T00:00:00"/>
    <d v="2024-12-08T00:00:00"/>
    <s v="Patricia White"/>
    <x v="1"/>
    <s v=""/>
    <s v="High"/>
    <x v="5"/>
    <n v="455"/>
    <s v="Review"/>
  </r>
  <r>
    <n v="1005"/>
    <s v="Kathryn Bell"/>
    <n v="24"/>
    <s v="female"/>
    <d v="2025-06-13T00:00:00"/>
    <d v="2024-06-06T00:00:00"/>
    <s v="Andre Carter"/>
    <x v="0"/>
    <s v="£442.72"/>
    <s v="High"/>
    <x v="4"/>
    <n v="372"/>
    <s v="Review"/>
  </r>
  <r>
    <n v="1079"/>
    <s v="Patrick Ewing"/>
    <n v="52"/>
    <s v="M"/>
    <d v="2025-11-16T00:00:00"/>
    <d v="2025-03-24T00:00:00"/>
    <s v="Alexander Jackson"/>
    <x v="0"/>
    <s v="£224.89"/>
    <s v="High"/>
    <x v="5"/>
    <n v="237"/>
    <s v="OK"/>
  </r>
  <r>
    <n v="1090"/>
    <s v="Steven Henderson"/>
    <n v="53"/>
    <s v="1"/>
    <d v="2026-02-15T00:00:00"/>
    <d v="2025-04-27T00:00:00"/>
    <s v="Nicole Martinez"/>
    <x v="1"/>
    <s v="Rs163.4"/>
    <s v="High"/>
    <x v="1"/>
    <n v="294"/>
    <s v="OK"/>
  </r>
  <r>
    <n v="1068"/>
    <s v="Michael Marquez"/>
    <n v="59"/>
    <s v="1"/>
    <d v="2025-07-28T00:00:00"/>
    <d v="2024-07-19T00:00:00"/>
    <s v="Mr. Curtis Ortiz"/>
    <x v="0"/>
    <s v="€202.98"/>
    <s v="High"/>
    <x v="4"/>
    <n v="374"/>
    <s v="Review"/>
  </r>
  <r>
    <n v="1047"/>
    <s v="Brittany Thompson"/>
    <n v="31"/>
    <s v="female"/>
    <d v="2025-04-05T00:00:00"/>
    <d v="2024-05-08T00:00:00"/>
    <s v="Wendy Davis"/>
    <x v="0"/>
    <s v="Rs257.1"/>
    <s v="High"/>
    <x v="4"/>
    <n v="332"/>
    <s v="OK"/>
  </r>
  <r>
    <n v="1009"/>
    <s v="Tracy Perez"/>
    <n v="74"/>
    <s v="male"/>
    <d v="2026-03-19T00:00:00"/>
    <d v="2025-11-26T00:00:00"/>
    <s v="Lauren Rosario"/>
    <x v="0"/>
    <s v="€466.87"/>
    <s v="High"/>
    <x v="2"/>
    <n v="113"/>
    <s v="OK"/>
  </r>
  <r>
    <n v="1084"/>
    <s v="Morgan Torres"/>
    <n v="83"/>
    <s v="M"/>
    <d v="2026-02-02T00:00:00"/>
    <d v="2025-07-29T00:00:00"/>
    <s v="April Lyons"/>
    <x v="3"/>
    <s v=""/>
    <s v="High"/>
    <x v="5"/>
    <n v="188"/>
    <s v="OK"/>
  </r>
  <r>
    <n v="1016"/>
    <s v="Jessica Price"/>
    <n v="31"/>
    <s v="1"/>
    <d v="2025-10-27T00:00:00"/>
    <d v="2025-03-12T00:00:00"/>
    <s v="Justin Rice"/>
    <x v="1"/>
    <s v="€490.78"/>
    <s v="High"/>
    <x v="1"/>
    <n v="229"/>
    <s v="OK"/>
  </r>
  <r>
    <n v="1068"/>
    <s v="Kayla Williams"/>
    <n v="63"/>
    <s v="male"/>
    <d v="2025-10-02T00:00:00"/>
    <d v="2024-06-06T00:00:00"/>
    <s v="Aaron Cooper"/>
    <x v="3"/>
    <s v="Rs217.86"/>
    <s v="High"/>
    <x v="4"/>
    <n v="483"/>
    <s v="Review"/>
  </r>
  <r>
    <n v="1048"/>
    <s v="Victoria Young"/>
    <n v="47"/>
    <s v="F"/>
    <d v="2025-08-06T00:00:00"/>
    <d v="2025-07-21T00:00:00"/>
    <s v="Lauren Whitaker"/>
    <x v="2"/>
    <s v="$174.04"/>
    <s v="High"/>
    <x v="3"/>
    <n v="16"/>
    <s v="OK"/>
  </r>
  <r>
    <n v="1080"/>
    <s v="Roger Hatfield"/>
    <n v="52"/>
    <s v="M"/>
    <d v="2025-08-12T00:00:00"/>
    <d v="2025-01-22T00:00:00"/>
    <s v="Victoria Lopez"/>
    <x v="1"/>
    <s v="€196.21"/>
    <s v="High"/>
    <x v="2"/>
    <n v="202"/>
    <s v="OK"/>
  </r>
  <r>
    <n v="1030"/>
    <s v="Robert Lewis"/>
    <n v="66"/>
    <s v="female"/>
    <d v="2025-10-23T00:00:00"/>
    <d v="2024-05-25T00:00:00"/>
    <s v="Samantha Cameron"/>
    <x v="0"/>
    <s v="Rs490.08"/>
    <s v="High"/>
    <x v="1"/>
    <n v="516"/>
    <s v="Review"/>
  </r>
  <r>
    <n v="1003"/>
    <s v="Jeremiah Perez"/>
    <n v="48"/>
    <s v="male"/>
    <d v="2025-07-25T00:00:00"/>
    <d v="2025-01-14T00:00:00"/>
    <s v="Michael Black"/>
    <x v="1"/>
    <s v="$91.94"/>
    <s v="High"/>
    <x v="4"/>
    <n v="192"/>
    <s v="OK"/>
  </r>
  <r>
    <n v="1047"/>
    <s v="Haley Mcintosh"/>
    <n v="74"/>
    <s v="0"/>
    <d v="2025-10-19T00:00:00"/>
    <d v="2024-08-07T00:00:00"/>
    <s v="Amanda Boyd"/>
    <x v="1"/>
    <s v="€484.82"/>
    <s v="High"/>
    <x v="0"/>
    <n v="438"/>
    <s v="Review"/>
  </r>
  <r>
    <n v="1075"/>
    <s v="Kathy Rhodes"/>
    <n v="72"/>
    <s v="1"/>
    <d v="2025-06-16T00:00:00"/>
    <d v="2024-08-23T00:00:00"/>
    <s v="Rachel Bright"/>
    <x v="2"/>
    <s v="$175.26"/>
    <s v="High"/>
    <x v="0"/>
    <n v="297"/>
    <s v="OK"/>
  </r>
  <r>
    <n v="1072"/>
    <s v="Louis Craig"/>
    <n v="49"/>
    <s v="0"/>
    <d v="2025-04-13T00:00:00"/>
    <d v="2024-10-05T00:00:00"/>
    <s v="Rachel Wood"/>
    <x v="1"/>
    <s v="Rs484.93"/>
    <s v="High"/>
    <x v="4"/>
    <n v="190"/>
    <s v="OK"/>
  </r>
  <r>
    <n v="1001"/>
    <s v="Jenny Black"/>
    <n v="33"/>
    <s v="F"/>
    <d v="2025-11-14T00:00:00"/>
    <d v="2025-09-06T00:00:00"/>
    <s v="Jamie Nunez"/>
    <x v="2"/>
    <s v="$381.93"/>
    <s v="High"/>
    <x v="2"/>
    <n v="69"/>
    <s v="OK"/>
  </r>
  <r>
    <n v="1009"/>
    <s v="Sarah Davis"/>
    <n v="61"/>
    <s v="1"/>
    <d v="2026-01-01T00:00:00"/>
    <d v="2025-08-14T00:00:00"/>
    <s v="Rebecca Thompson"/>
    <x v="3"/>
    <s v="Rs402.6"/>
    <s v="High"/>
    <x v="4"/>
    <n v="140"/>
    <s v="OK"/>
  </r>
  <r>
    <n v="1016"/>
    <s v="Heidi Sosa"/>
    <n v="29"/>
    <s v="male"/>
    <d v="2025-11-10T00:00:00"/>
    <d v="2025-05-17T00:00:00"/>
    <s v="Nancy Wilson"/>
    <x v="0"/>
    <s v="Rs241.81"/>
    <s v="High"/>
    <x v="1"/>
    <n v="177"/>
    <s v="OK"/>
  </r>
  <r>
    <n v="1092"/>
    <s v="Dalton Rodriguez"/>
    <n v="54"/>
    <s v="1"/>
    <d v="2025-08-01T00:00:00"/>
    <d v="2024-05-07T00:00:00"/>
    <s v="Erica Sanchez"/>
    <x v="3"/>
    <s v="Rs467.2"/>
    <s v="High"/>
    <x v="0"/>
    <n v="451"/>
    <s v="Review"/>
  </r>
  <r>
    <n v="1001"/>
    <s v="Jacqueline West"/>
    <n v="70"/>
    <s v="male"/>
    <d v="2026-01-19T00:00:00"/>
    <d v="2025-01-17T00:00:00"/>
    <s v="Steven Walker"/>
    <x v="3"/>
    <s v="£148.74"/>
    <s v="High"/>
    <x v="1"/>
    <n v="367"/>
    <s v="Review"/>
  </r>
  <r>
    <n v="1063"/>
    <s v="Sherri Barry"/>
    <n v="48"/>
    <s v="male"/>
    <d v="2025-08-29T00:00:00"/>
    <d v="2024-04-15T00:00:00"/>
    <s v="Janet Schultz"/>
    <x v="2"/>
    <s v="£109.72"/>
    <s v="High"/>
    <x v="2"/>
    <n v="501"/>
    <s v="Review"/>
  </r>
  <r>
    <n v="1061"/>
    <s v="Lydia Russell"/>
    <n v="67"/>
    <s v="M"/>
    <d v="2025-11-16T00:00:00"/>
    <d v="2024-12-31T00:00:00"/>
    <s v="Matthew Clark"/>
    <x v="3"/>
    <s v="£477.53"/>
    <s v="High"/>
    <x v="0"/>
    <n v="320"/>
    <s v="OK"/>
  </r>
  <r>
    <n v="1036"/>
    <s v="Alexander Hammond"/>
    <n v="41"/>
    <s v="male"/>
    <d v="2025-06-29T00:00:00"/>
    <d v="2024-09-21T00:00:00"/>
    <s v="Tara Moore"/>
    <x v="0"/>
    <s v="€286.71"/>
    <s v="High"/>
    <x v="4"/>
    <n v="281"/>
    <s v="OK"/>
  </r>
  <r>
    <n v="1015"/>
    <s v="Nichole Anderson"/>
    <n v="87"/>
    <s v=""/>
    <d v="2025-05-10T00:00:00"/>
    <d v="2025-02-06T00:00:00"/>
    <s v="Richard Vega"/>
    <x v="0"/>
    <s v="£316.89"/>
    <s v="High"/>
    <x v="3"/>
    <n v="93"/>
    <s v="OK"/>
  </r>
  <r>
    <n v="1069"/>
    <s v="Jacqueline Peters"/>
    <n v="40"/>
    <s v="0"/>
    <d v="2025-12-09T00:00:00"/>
    <d v="2025-10-11T00:00:00"/>
    <s v="Adam Jensen"/>
    <x v="3"/>
    <s v="€266.74"/>
    <s v="High"/>
    <x v="3"/>
    <n v="59"/>
    <s v="OK"/>
  </r>
  <r>
    <n v="1029"/>
    <s v="Kelly Hodge"/>
    <n v="55"/>
    <s v="male"/>
    <d v="2025-10-15T00:00:00"/>
    <d v="2025-05-28T00:00:00"/>
    <s v="Terry Jones"/>
    <x v="1"/>
    <s v="£175.09"/>
    <s v="High"/>
    <x v="2"/>
    <n v="140"/>
    <s v="OK"/>
  </r>
  <r>
    <n v="1037"/>
    <s v="Brandi Boyd"/>
    <n v="90"/>
    <s v="1"/>
    <d v="2025-12-08T00:00:00"/>
    <d v="2024-08-06T00:00:00"/>
    <s v="Mary Jacobson"/>
    <x v="0"/>
    <s v="Rs96.2"/>
    <s v="High"/>
    <x v="4"/>
    <n v="489"/>
    <s v="Review"/>
  </r>
  <r>
    <n v="1071"/>
    <s v="David Jones"/>
    <n v="25"/>
    <s v="female"/>
    <d v="2026-02-24T00:00:00"/>
    <d v="2025-11-21T00:00:00"/>
    <s v="Dakota Fleming"/>
    <x v="3"/>
    <s v="Rs443.12"/>
    <s v="High"/>
    <x v="5"/>
    <n v="95"/>
    <s v="OK"/>
  </r>
  <r>
    <n v="1023"/>
    <s v="Zachary Lewis"/>
    <n v="46"/>
    <s v="female"/>
    <d v="2026-02-07T00:00:00"/>
    <d v="2024-12-19T00:00:00"/>
    <s v="Gary Washington"/>
    <x v="2"/>
    <s v="$351.94"/>
    <s v="High"/>
    <x v="0"/>
    <n v="415"/>
    <s v="Review"/>
  </r>
  <r>
    <n v="1074"/>
    <s v="Andrea Anderson"/>
    <n v="75"/>
    <s v="1"/>
    <d v="2025-08-15T00:00:00"/>
    <d v="2024-06-16T00:00:00"/>
    <s v="Mary Burgess"/>
    <x v="2"/>
    <s v="$59.55"/>
    <s v="High"/>
    <x v="1"/>
    <n v="425"/>
    <s v="Review"/>
  </r>
  <r>
    <n v="1039"/>
    <s v="Shawn Castillo"/>
    <n v="68"/>
    <s v="male"/>
    <d v="2025-05-02T00:00:00"/>
    <d v="2025-02-15T00:00:00"/>
    <s v="Jennifer Carroll"/>
    <x v="1"/>
    <s v="£339.57"/>
    <s v="High"/>
    <x v="2"/>
    <n v="76"/>
    <s v="OK"/>
  </r>
  <r>
    <n v="1071"/>
    <s v="Jerry Holmes"/>
    <n v="88"/>
    <s v="M"/>
    <d v="2025-12-05T00:00:00"/>
    <d v="2024-08-02T00:00:00"/>
    <s v="Kim Daniels"/>
    <x v="2"/>
    <s v="Rs344.57"/>
    <s v="High"/>
    <x v="1"/>
    <n v="490"/>
    <s v="Review"/>
  </r>
  <r>
    <n v="1039"/>
    <s v="Kimberly Diaz"/>
    <n v="47"/>
    <s v="F"/>
    <d v="2025-06-19T00:00:00"/>
    <d v="2024-05-07T00:00:00"/>
    <s v="David Guzman"/>
    <x v="1"/>
    <s v="$197.72"/>
    <s v="High"/>
    <x v="1"/>
    <n v="408"/>
    <s v="Review"/>
  </r>
  <r>
    <n v="1082"/>
    <s v="Katherine Olson"/>
    <n v="57"/>
    <s v="0"/>
    <d v="2025-11-04T00:00:00"/>
    <d v="2025-03-21T00:00:00"/>
    <s v="Larry Roberts"/>
    <x v="0"/>
    <s v="£202.68"/>
    <s v="High"/>
    <x v="5"/>
    <n v="228"/>
    <s v="OK"/>
  </r>
  <r>
    <n v="1084"/>
    <s v="Nathaniel White"/>
    <n v="71"/>
    <s v="M"/>
    <d v="2025-04-20T00:00:00"/>
    <d v="2024-07-31T00:00:00"/>
    <s v="Andrew Clark"/>
    <x v="0"/>
    <s v="$95.4"/>
    <s v="High"/>
    <x v="4"/>
    <n v="263"/>
    <s v="OK"/>
  </r>
  <r>
    <n v="1089"/>
    <s v="Robert Garcia"/>
    <n v="68"/>
    <s v="female"/>
    <d v="2025-04-03T00:00:00"/>
    <d v="2024-08-06T00:00:00"/>
    <s v="Eric Lewis"/>
    <x v="1"/>
    <s v="€245.84"/>
    <s v="High"/>
    <x v="5"/>
    <n v="240"/>
    <s v="OK"/>
  </r>
  <r>
    <n v="1031"/>
    <s v="John Gonzalez"/>
    <n v="44"/>
    <s v="M"/>
    <d v="2026-01-19T00:00:00"/>
    <d v="2024-06-14T00:00:00"/>
    <s v="Richard Medina"/>
    <x v="1"/>
    <s v="€284.66"/>
    <s v="High"/>
    <x v="4"/>
    <n v="584"/>
    <s v="Review"/>
  </r>
  <r>
    <n v="1053"/>
    <s v="Peter Pierce"/>
    <n v="70"/>
    <s v="male"/>
    <d v="2025-12-21T00:00:00"/>
    <d v="2025-08-07T00:00:00"/>
    <s v="Deborah Snyder"/>
    <x v="2"/>
    <s v="Rs389.49"/>
    <s v="High"/>
    <x v="2"/>
    <n v="136"/>
    <s v="OK"/>
  </r>
  <r>
    <n v="1048"/>
    <s v="Elizabeth Russo"/>
    <n v="67"/>
    <s v="male"/>
    <d v="2025-07-03T00:00:00"/>
    <d v="2024-07-30T00:00:00"/>
    <s v="Connie Martinez"/>
    <x v="2"/>
    <s v=""/>
    <s v="High"/>
    <x v="3"/>
    <n v="338"/>
    <s v="OK"/>
  </r>
  <r>
    <n v="1075"/>
    <s v="Jacqueline Collins"/>
    <n v="67"/>
    <s v="female"/>
    <d v="2025-06-12T00:00:00"/>
    <d v="2025-05-18T00:00:00"/>
    <s v="Paul Parker"/>
    <x v="2"/>
    <s v="$161.5"/>
    <s v="High"/>
    <x v="2"/>
    <n v="25"/>
    <s v="OK"/>
  </r>
  <r>
    <n v="1033"/>
    <s v="Mckenzie Mccarty"/>
    <n v="38"/>
    <s v="0"/>
    <d v="2025-05-19T00:00:00"/>
    <d v="2024-07-20T00:00:00"/>
    <s v="Larry Smith"/>
    <x v="1"/>
    <s v="£68.36"/>
    <s v="High"/>
    <x v="5"/>
    <n v="303"/>
    <s v="OK"/>
  </r>
  <r>
    <n v="1054"/>
    <s v="Samuel Thomas"/>
    <n v="82"/>
    <s v="male"/>
    <d v="2025-06-16T00:00:00"/>
    <d v="2024-04-01T00:00:00"/>
    <s v="Donna Johnson"/>
    <x v="3"/>
    <s v="£332.15"/>
    <s v="High"/>
    <x v="3"/>
    <n v="441"/>
    <s v="Review"/>
  </r>
  <r>
    <n v="1020"/>
    <s v="Robert Williams"/>
    <n v="53"/>
    <s v="male"/>
    <d v="2025-07-24T00:00:00"/>
    <d v="2025-02-03T00:00:00"/>
    <s v="Jessica Chandler"/>
    <x v="2"/>
    <s v="£294.14"/>
    <s v="High"/>
    <x v="1"/>
    <n v="171"/>
    <s v="OK"/>
  </r>
  <r>
    <n v="1006"/>
    <s v="Brent Thompson"/>
    <n v="33"/>
    <s v="0"/>
    <d v="2025-05-03T00:00:00"/>
    <d v="2024-11-23T00:00:00"/>
    <s v="Pamela Cunningham"/>
    <x v="1"/>
    <s v="€202.54"/>
    <s v="High"/>
    <x v="5"/>
    <n v="161"/>
    <s v="OK"/>
  </r>
  <r>
    <n v="1100"/>
    <s v="Ms. Kristen Johnson"/>
    <n v="60"/>
    <s v="male"/>
    <d v="2026-02-15T00:00:00"/>
    <d v="2024-04-14T00:00:00"/>
    <s v="Susan Griffin"/>
    <x v="2"/>
    <s v="Rs455.57"/>
    <s v="High"/>
    <x v="1"/>
    <n v="672"/>
    <s v="Review"/>
  </r>
  <r>
    <n v="1061"/>
    <s v="Darlene Clark"/>
    <n v="65"/>
    <s v="male"/>
    <d v="2025-11-09T00:00:00"/>
    <d v="2024-11-16T00:00:00"/>
    <s v="Thomas Williams"/>
    <x v="2"/>
    <s v="£378.58"/>
    <s v="High"/>
    <x v="4"/>
    <n v="358"/>
    <s v="OK"/>
  </r>
  <r>
    <n v="1040"/>
    <s v="Jessica Williams"/>
    <n v="49"/>
    <s v="F"/>
    <d v="2025-06-21T00:00:00"/>
    <d v="2024-10-08T00:00:00"/>
    <s v="Corey King"/>
    <x v="3"/>
    <s v="£110.44"/>
    <s v="High"/>
    <x v="4"/>
    <n v="256"/>
    <s v="OK"/>
  </r>
  <r>
    <n v="1010"/>
    <s v="Lauren Burns"/>
    <n v="23"/>
    <s v="female"/>
    <d v="2025-04-12T00:00:00"/>
    <d v="2024-09-13T00:00:00"/>
    <s v="Amy Baxter"/>
    <x v="0"/>
    <s v="£274.12"/>
    <s v="High"/>
    <x v="5"/>
    <n v="211"/>
    <s v="OK"/>
  </r>
  <r>
    <n v="1030"/>
    <s v="Jesse Wood"/>
    <n v="69"/>
    <s v="male"/>
    <d v="2026-01-02T00:00:00"/>
    <d v="2024-09-23T00:00:00"/>
    <s v="Deborah Vasquez"/>
    <x v="2"/>
    <s v="Rs224.83"/>
    <s v="High"/>
    <x v="1"/>
    <n v="466"/>
    <s v="Review"/>
  </r>
  <r>
    <n v="1093"/>
    <s v="James Price"/>
    <n v="72"/>
    <s v="male"/>
    <d v="2025-06-20T00:00:00"/>
    <d v="2024-09-18T00:00:00"/>
    <s v="Jessica Garcia"/>
    <x v="3"/>
    <s v="$194.55"/>
    <s v="High"/>
    <x v="1"/>
    <n v="275"/>
    <s v="OK"/>
  </r>
  <r>
    <n v="1008"/>
    <s v="Darryl Murphy"/>
    <n v="82"/>
    <s v="male"/>
    <d v="2026-03-03T00:00:00"/>
    <d v="2024-11-03T00:00:00"/>
    <s v="Christian Chapman"/>
    <x v="0"/>
    <s v="€207.23"/>
    <s v="High"/>
    <x v="5"/>
    <n v="485"/>
    <s v="Review"/>
  </r>
  <r>
    <n v="1087"/>
    <s v="Maria Boyd"/>
    <n v="69"/>
    <s v="female"/>
    <d v="2025-10-02T00:00:00"/>
    <d v="2025-02-23T00:00:00"/>
    <s v="Mike Miller"/>
    <x v="0"/>
    <s v="€464.96"/>
    <s v="High"/>
    <x v="1"/>
    <n v="221"/>
    <s v="OK"/>
  </r>
  <r>
    <n v="1008"/>
    <s v="Jacqueline Howell"/>
    <n v="30"/>
    <s v="M"/>
    <d v="2026-02-21T00:00:00"/>
    <d v="2025-05-23T00:00:00"/>
    <s v="Felicia Smith"/>
    <x v="0"/>
    <s v="£316.64"/>
    <s v="High"/>
    <x v="1"/>
    <n v="274"/>
    <s v="OK"/>
  </r>
  <r>
    <n v="1090"/>
    <s v="Tracy Smith"/>
    <n v="30"/>
    <s v="female"/>
    <d v="2025-05-24T00:00:00"/>
    <d v="2024-07-05T00:00:00"/>
    <s v="Amber Baxter"/>
    <x v="2"/>
    <s v="Rs139.49"/>
    <s v="High"/>
    <x v="0"/>
    <n v="323"/>
    <s v="OK"/>
  </r>
  <r>
    <n v="1047"/>
    <s v="Victoria Perry"/>
    <n v="39"/>
    <s v="1"/>
    <d v="2026-03-26T00:00:00"/>
    <d v="2025-08-24T00:00:00"/>
    <s v="Heather Garcia"/>
    <x v="2"/>
    <s v="€447.23"/>
    <s v="High"/>
    <x v="2"/>
    <n v="214"/>
    <s v="OK"/>
  </r>
  <r>
    <n v="1077"/>
    <s v="Pamela Davis"/>
    <n v="78"/>
    <s v="0"/>
    <d v="2025-12-19T00:00:00"/>
    <d v="2025-09-15T00:00:00"/>
    <s v="Antonio Galloway"/>
    <x v="1"/>
    <s v="€320.38"/>
    <s v="High"/>
    <x v="0"/>
    <n v="95"/>
    <s v="OK"/>
  </r>
  <r>
    <n v="1055"/>
    <s v="Stephanie Carr"/>
    <n v="70"/>
    <s v="female"/>
    <d v="2025-08-26T00:00:00"/>
    <d v="2024-12-19T00:00:00"/>
    <s v="David Colon"/>
    <x v="1"/>
    <s v="$212.66"/>
    <s v="High"/>
    <x v="5"/>
    <n v="250"/>
    <s v="OK"/>
  </r>
  <r>
    <n v="1073"/>
    <s v="Carrie Davis"/>
    <n v="50"/>
    <s v=""/>
    <d v="2026-01-19T00:00:00"/>
    <d v="2024-04-01T00:00:00"/>
    <s v="Michael Jones"/>
    <x v="2"/>
    <s v="Rs390.86"/>
    <s v="High"/>
    <x v="5"/>
    <n v="658"/>
    <s v="Review"/>
  </r>
  <r>
    <n v="1016"/>
    <s v="Pamela Young"/>
    <n v="40"/>
    <s v=""/>
    <d v="2025-05-30T00:00:00"/>
    <d v="2025-05-23T00:00:00"/>
    <s v="Yvonne Richardson"/>
    <x v="1"/>
    <s v="$136.23"/>
    <s v="High"/>
    <x v="0"/>
    <n v="7"/>
    <s v="OK"/>
  </r>
  <r>
    <n v="1018"/>
    <s v="Leonard Clark"/>
    <n v="56"/>
    <s v="female"/>
    <d v="2026-02-28T00:00:00"/>
    <d v="2025-02-08T00:00:00"/>
    <s v="Robert Foster"/>
    <x v="0"/>
    <s v="Rs68.8"/>
    <s v="High"/>
    <x v="0"/>
    <n v="385"/>
    <s v="Review"/>
  </r>
  <r>
    <n v="1035"/>
    <s v="Michele Perry"/>
    <n v="90"/>
    <s v="0"/>
    <d v="2025-08-07T00:00:00"/>
    <d v="2024-12-23T00:00:00"/>
    <s v="Leslie Gomez"/>
    <x v="2"/>
    <s v="€79.41"/>
    <s v="High"/>
    <x v="5"/>
    <n v="227"/>
    <s v="OK"/>
  </r>
  <r>
    <n v="1032"/>
    <s v="Ryan Tucker"/>
    <n v="89"/>
    <s v="male"/>
    <d v="2026-02-18T00:00:00"/>
    <d v="2024-11-03T00:00:00"/>
    <s v="Barbara Owens"/>
    <x v="1"/>
    <s v="Rs224.61"/>
    <s v="High"/>
    <x v="4"/>
    <n v="472"/>
    <s v="Review"/>
  </r>
  <r>
    <n v="1024"/>
    <s v="Kelsey Rice"/>
    <n v="20"/>
    <s v="M"/>
    <d v="2025-11-16T00:00:00"/>
    <d v="2024-11-19T00:00:00"/>
    <s v="Darren Jensen"/>
    <x v="3"/>
    <s v="$190.44"/>
    <s v="High"/>
    <x v="4"/>
    <n v="362"/>
    <s v="OK"/>
  </r>
  <r>
    <n v="1044"/>
    <s v="Monique Daniels"/>
    <n v="25"/>
    <s v="F"/>
    <d v="2026-03-08T00:00:00"/>
    <d v="2025-11-11T00:00:00"/>
    <s v="Alexander Brown"/>
    <x v="3"/>
    <s v="$316.64"/>
    <s v="High"/>
    <x v="1"/>
    <n v="117"/>
    <s v="OK"/>
  </r>
  <r>
    <n v="1085"/>
    <s v="Joseph Mcmillan"/>
    <n v="67"/>
    <s v="female"/>
    <d v="2025-05-20T00:00:00"/>
    <d v="2025-03-20T00:00:00"/>
    <s v="Frederick Nielsen"/>
    <x v="1"/>
    <s v="Rs308.59"/>
    <s v="High"/>
    <x v="4"/>
    <n v="61"/>
    <s v="OK"/>
  </r>
  <r>
    <n v="1089"/>
    <s v="Miss Christine Lopez"/>
    <n v="75"/>
    <s v="female"/>
    <d v="2025-11-30T00:00:00"/>
    <d v="2025-06-05T00:00:00"/>
    <s v="Cynthia Turner"/>
    <x v="0"/>
    <s v="$414.58"/>
    <s v="High"/>
    <x v="3"/>
    <n v="178"/>
    <s v="OK"/>
  </r>
  <r>
    <n v="1064"/>
    <s v="Christy Nunez"/>
    <n v="54"/>
    <s v="1"/>
    <d v="2025-07-11T00:00:00"/>
    <d v="2024-06-25T00:00:00"/>
    <s v="Theresa Parker"/>
    <x v="0"/>
    <s v="€338.24"/>
    <s v="High"/>
    <x v="1"/>
    <n v="381"/>
    <s v="Review"/>
  </r>
  <r>
    <n v="1077"/>
    <s v="Jeff Lynch"/>
    <n v="57"/>
    <s v="F"/>
    <d v="2025-12-04T00:00:00"/>
    <d v="2024-10-12T00:00:00"/>
    <s v="Joseph Gibbs"/>
    <x v="2"/>
    <s v="€53.35"/>
    <s v="High"/>
    <x v="4"/>
    <n v="418"/>
    <s v="Review"/>
  </r>
  <r>
    <n v="1092"/>
    <s v="James Mendez"/>
    <n v="89"/>
    <s v="F"/>
    <d v="2025-07-02T00:00:00"/>
    <d v="2025-04-08T00:00:00"/>
    <s v="Jackie Brooks"/>
    <x v="3"/>
    <s v="$186.43"/>
    <s v="High"/>
    <x v="2"/>
    <n v="85"/>
    <s v="OK"/>
  </r>
  <r>
    <n v="1084"/>
    <s v="Kelly Hess"/>
    <n v="42"/>
    <s v="female"/>
    <d v="2025-05-19T00:00:00"/>
    <d v="2024-11-07T00:00:00"/>
    <s v="Seth Benson"/>
    <x v="3"/>
    <s v="Rs268.93"/>
    <s v="High"/>
    <x v="5"/>
    <n v="193"/>
    <s v="OK"/>
  </r>
  <r>
    <n v="1044"/>
    <s v="Sandra Wilson"/>
    <n v="79"/>
    <s v="0"/>
    <d v="2025-12-23T00:00:00"/>
    <d v="2025-02-19T00:00:00"/>
    <s v="Cheryl Adams"/>
    <x v="3"/>
    <s v="€322.0"/>
    <s v="High"/>
    <x v="0"/>
    <n v="307"/>
    <s v="OK"/>
  </r>
  <r>
    <n v="1080"/>
    <s v="Jennifer Williams"/>
    <n v="80"/>
    <s v="M"/>
    <d v="2026-01-04T00:00:00"/>
    <d v="2025-10-18T00:00:00"/>
    <s v="Emily Barnes"/>
    <x v="3"/>
    <s v="$498.84"/>
    <s v="High"/>
    <x v="4"/>
    <n v="78"/>
    <s v="OK"/>
  </r>
  <r>
    <n v="1097"/>
    <s v="Kathryn Green"/>
    <n v="86"/>
    <s v=""/>
    <d v="2025-05-01T00:00:00"/>
    <d v="2024-08-19T00:00:00"/>
    <s v="Robert Moreno"/>
    <x v="0"/>
    <s v="Rs415.78"/>
    <s v="High"/>
    <x v="3"/>
    <n v="255"/>
    <s v="OK"/>
  </r>
  <r>
    <n v="1035"/>
    <s v="Holly Potter"/>
    <n v="75"/>
    <s v="male"/>
    <d v="2025-11-21T00:00:00"/>
    <d v="2025-01-02T00:00:00"/>
    <s v="Christina Mitchell"/>
    <x v="3"/>
    <s v="Rs274.5"/>
    <s v="High"/>
    <x v="3"/>
    <n v="323"/>
    <s v="OK"/>
  </r>
  <r>
    <n v="1069"/>
    <s v="Catherine Stein"/>
    <n v="23"/>
    <s v="0"/>
    <d v="2025-10-14T00:00:00"/>
    <d v="2025-02-08T00:00:00"/>
    <s v="Donald Jacobson"/>
    <x v="2"/>
    <s v="£368.24"/>
    <s v="High"/>
    <x v="0"/>
    <n v="248"/>
    <s v="OK"/>
  </r>
  <r>
    <n v="1016"/>
    <s v="Wendy Andrews"/>
    <n v="46"/>
    <s v="M"/>
    <d v="2025-06-18T00:00:00"/>
    <d v="2024-10-19T00:00:00"/>
    <s v="Kimberly Wilcox"/>
    <x v="1"/>
    <s v="Rs353.07"/>
    <s v="High"/>
    <x v="0"/>
    <n v="242"/>
    <s v="OK"/>
  </r>
  <r>
    <n v="1098"/>
    <s v="Richard Alexander"/>
    <n v="29"/>
    <s v="F"/>
    <d v="2025-11-09T00:00:00"/>
    <d v="2025-07-16T00:00:00"/>
    <s v="Monica Torres"/>
    <x v="0"/>
    <s v="£358.68"/>
    <s v="High"/>
    <x v="5"/>
    <n v="116"/>
    <s v="OK"/>
  </r>
  <r>
    <n v="1012"/>
    <s v="Javier Hawkins"/>
    <n v="38"/>
    <s v="M"/>
    <d v="2026-02-01T00:00:00"/>
    <d v="2024-04-16T00:00:00"/>
    <s v="Debra Fields"/>
    <x v="1"/>
    <s v="$427.54"/>
    <s v="High"/>
    <x v="4"/>
    <n v="656"/>
    <s v="Review"/>
  </r>
  <r>
    <n v="1100"/>
    <s v="Sonya Wheeler"/>
    <n v="60"/>
    <s v="female"/>
    <d v="2025-09-07T00:00:00"/>
    <d v="2024-04-13T00:00:00"/>
    <s v="Adam Carlson"/>
    <x v="1"/>
    <s v="Rs433.05"/>
    <s v="High"/>
    <x v="3"/>
    <n v="512"/>
    <s v="Review"/>
  </r>
  <r>
    <n v="1021"/>
    <s v="Jessica Castillo"/>
    <n v="37"/>
    <s v="0"/>
    <d v="2025-09-18T00:00:00"/>
    <d v="2024-11-17T00:00:00"/>
    <s v="Bryan Newton"/>
    <x v="0"/>
    <s v="€436.91"/>
    <s v="High"/>
    <x v="2"/>
    <n v="305"/>
    <s v="OK"/>
  </r>
  <r>
    <n v="1078"/>
    <s v="Courtney Powell"/>
    <n v="82"/>
    <s v="1"/>
    <d v="2026-01-24T00:00:00"/>
    <d v="2024-10-03T00:00:00"/>
    <s v="Kelly Hardin"/>
    <x v="1"/>
    <s v="€252.53"/>
    <s v="High"/>
    <x v="5"/>
    <n v="478"/>
    <s v="Review"/>
  </r>
  <r>
    <n v="1094"/>
    <s v="Crystal Oneal"/>
    <n v="60"/>
    <s v="1"/>
    <d v="2025-08-19T00:00:00"/>
    <d v="2025-01-23T00:00:00"/>
    <s v="Harold Gray"/>
    <x v="2"/>
    <s v="$421.74"/>
    <s v="High"/>
    <x v="1"/>
    <n v="208"/>
    <s v="OK"/>
  </r>
  <r>
    <n v="1022"/>
    <s v="Alison Robinson"/>
    <n v="83"/>
    <s v="male"/>
    <d v="2025-09-15T00:00:00"/>
    <d v="2024-12-23T00:00:00"/>
    <s v="Jose Thomas"/>
    <x v="1"/>
    <s v="£175.6"/>
    <s v="High"/>
    <x v="2"/>
    <n v="266"/>
    <s v="OK"/>
  </r>
  <r>
    <n v="1056"/>
    <s v="Justin White"/>
    <n v="82"/>
    <s v="M"/>
    <d v="2026-01-04T00:00:00"/>
    <d v="2025-04-16T00:00:00"/>
    <s v="Jose Jackson"/>
    <x v="2"/>
    <s v="Rs203.05"/>
    <s v="High"/>
    <x v="5"/>
    <n v="263"/>
    <s v="OK"/>
  </r>
  <r>
    <n v="1066"/>
    <s v="Linda Ryan"/>
    <n v="76"/>
    <s v="male"/>
    <d v="2025-10-31T00:00:00"/>
    <d v="2024-06-27T00:00:00"/>
    <s v="Sandra Johns"/>
    <x v="3"/>
    <s v="£123.13"/>
    <s v="High"/>
    <x v="0"/>
    <n v="491"/>
    <s v="Review"/>
  </r>
  <r>
    <n v="1088"/>
    <s v="Meghan Evans"/>
    <n v="79"/>
    <s v="0"/>
    <d v="2025-11-21T00:00:00"/>
    <d v="2025-09-11T00:00:00"/>
    <s v="Courtney Yang"/>
    <x v="1"/>
    <s v="$337.15"/>
    <s v="High"/>
    <x v="2"/>
    <n v="71"/>
    <s v="OK"/>
  </r>
  <r>
    <n v="1001"/>
    <s v="Tiffany Stone"/>
    <n v="27"/>
    <s v="female"/>
    <d v="2025-08-18T00:00:00"/>
    <d v="2025-05-23T00:00:00"/>
    <s v="Henry Kelley"/>
    <x v="2"/>
    <s v="€180.76"/>
    <s v="High"/>
    <x v="5"/>
    <n v="87"/>
    <s v="OK"/>
  </r>
  <r>
    <n v="1076"/>
    <s v="Melanie Hernandez"/>
    <n v="19"/>
    <s v="0"/>
    <d v="2026-02-22T00:00:00"/>
    <d v="2025-06-12T00:00:00"/>
    <s v="Adam Anderson"/>
    <x v="1"/>
    <s v="$445.97"/>
    <s v="High"/>
    <x v="1"/>
    <n v="255"/>
    <s v="OK"/>
  </r>
  <r>
    <n v="1019"/>
    <s v="Gabriel Yang"/>
    <n v="41"/>
    <s v="male"/>
    <d v="2025-10-31T00:00:00"/>
    <d v="2024-07-10T00:00:00"/>
    <s v="Justin Thomas"/>
    <x v="2"/>
    <s v="£236.58"/>
    <s v="High"/>
    <x v="5"/>
    <n v="478"/>
    <s v="Review"/>
  </r>
  <r>
    <n v="1005"/>
    <s v="Nicole Garcia"/>
    <n v="55"/>
    <s v="F"/>
    <d v="2025-08-07T00:00:00"/>
    <d v="2024-04-06T00:00:00"/>
    <s v="Guy Vaughn"/>
    <x v="0"/>
    <s v="$125.33"/>
    <s v="High"/>
    <x v="5"/>
    <n v="488"/>
    <s v="Review"/>
  </r>
  <r>
    <n v="1030"/>
    <s v="Jenny Martin"/>
    <n v="59"/>
    <s v="male"/>
    <d v="2025-11-30T00:00:00"/>
    <d v="2025-08-01T00:00:00"/>
    <s v="Andrew Terry"/>
    <x v="1"/>
    <s v="€394.58"/>
    <s v="High"/>
    <x v="0"/>
    <n v="121"/>
    <s v="OK"/>
  </r>
  <r>
    <n v="1088"/>
    <s v="Audrey Irwin"/>
    <n v="55"/>
    <s v="F"/>
    <d v="2025-11-22T00:00:00"/>
    <d v="2024-09-09T00:00:00"/>
    <s v="Michael Murphy"/>
    <x v="1"/>
    <s v="€96.12"/>
    <s v="High"/>
    <x v="5"/>
    <n v="439"/>
    <s v="Review"/>
  </r>
  <r>
    <n v="1018"/>
    <s v="Bryan Armstrong"/>
    <n v="68"/>
    <s v="male"/>
    <d v="2025-04-22T00:00:00"/>
    <d v="2025-04-03T00:00:00"/>
    <s v="Robert Escobar"/>
    <x v="2"/>
    <s v="Rs305.01"/>
    <s v="High"/>
    <x v="5"/>
    <n v="19"/>
    <s v="OK"/>
  </r>
  <r>
    <n v="1092"/>
    <s v="Lisa Hill"/>
    <n v="68"/>
    <s v="female"/>
    <d v="2025-06-23T00:00:00"/>
    <d v="2024-10-24T00:00:00"/>
    <s v="Mia Boyd"/>
    <x v="0"/>
    <s v="$169.01"/>
    <s v="High"/>
    <x v="4"/>
    <n v="242"/>
    <s v="OK"/>
  </r>
  <r>
    <n v="1030"/>
    <s v="Susan Delgado"/>
    <n v="39"/>
    <s v="male"/>
    <d v="2025-11-18T00:00:00"/>
    <d v="2025-11-04T00:00:00"/>
    <s v="Paula Mann"/>
    <x v="2"/>
    <s v="€304.86"/>
    <s v="High"/>
    <x v="5"/>
    <n v="14"/>
    <s v="OK"/>
  </r>
  <r>
    <n v="1089"/>
    <s v="Bradley Myers"/>
    <n v="63"/>
    <s v="M"/>
    <d v="2025-11-09T00:00:00"/>
    <d v="2024-12-08T00:00:00"/>
    <s v="Mark Barrett"/>
    <x v="2"/>
    <s v="Rs426.51"/>
    <s v="High"/>
    <x v="0"/>
    <n v="336"/>
    <s v="OK"/>
  </r>
  <r>
    <n v="1043"/>
    <s v="Derek Smith"/>
    <n v="82"/>
    <s v="0"/>
    <d v="2025-05-23T00:00:00"/>
    <d v="2024-10-18T00:00:00"/>
    <s v="Jeremy Burton"/>
    <x v="0"/>
    <s v="$215.76"/>
    <s v="High"/>
    <x v="4"/>
    <n v="217"/>
    <s v="OK"/>
  </r>
  <r>
    <n v="1021"/>
    <s v="Taylor Farley"/>
    <n v="25"/>
    <s v="female"/>
    <d v="2025-10-01T00:00:00"/>
    <d v="2024-09-01T00:00:00"/>
    <s v="Christy Lewis"/>
    <x v="0"/>
    <s v="$184.11"/>
    <s v="High"/>
    <x v="1"/>
    <n v="395"/>
    <s v="Review"/>
  </r>
  <r>
    <n v="1086"/>
    <s v="Richard Richardson"/>
    <n v="80"/>
    <s v="0"/>
    <d v="2025-11-24T00:00:00"/>
    <d v="2024-12-29T00:00:00"/>
    <s v="Robin Hebert"/>
    <x v="0"/>
    <s v="Rs226.12"/>
    <s v="High"/>
    <x v="0"/>
    <n v="330"/>
    <s v="OK"/>
  </r>
  <r>
    <n v="1016"/>
    <s v="Ryan Rodriguez"/>
    <n v="53"/>
    <s v="female"/>
    <d v="2025-05-29T00:00:00"/>
    <d v="2025-02-22T00:00:00"/>
    <s v="Eric Kennedy"/>
    <x v="1"/>
    <s v="Rs277.5"/>
    <s v="High"/>
    <x v="3"/>
    <n v="96"/>
    <s v="OK"/>
  </r>
  <r>
    <n v="1050"/>
    <s v="Jeremy Coleman"/>
    <n v="83"/>
    <s v="M"/>
    <d v="2025-09-11T00:00:00"/>
    <d v="2024-09-03T00:00:00"/>
    <s v="David Riley"/>
    <x v="2"/>
    <s v="Rs63.99"/>
    <s v="High"/>
    <x v="4"/>
    <n v="373"/>
    <s v="Review"/>
  </r>
  <r>
    <n v="1079"/>
    <s v="Alexander Williams"/>
    <n v="85"/>
    <s v="female"/>
    <d v="2026-03-20T00:00:00"/>
    <d v="2025-10-08T00:00:00"/>
    <s v="Erin Chandler"/>
    <x v="1"/>
    <s v="Rs85.56"/>
    <s v="High"/>
    <x v="4"/>
    <n v="163"/>
    <s v="OK"/>
  </r>
  <r>
    <n v="1027"/>
    <s v="Steven Richards"/>
    <n v="26"/>
    <s v="1"/>
    <d v="2026-03-23T00:00:00"/>
    <d v="2025-01-11T00:00:00"/>
    <s v="Zachary Hamilton"/>
    <x v="1"/>
    <s v="€237.1"/>
    <s v="High"/>
    <x v="4"/>
    <n v="436"/>
    <s v="Review"/>
  </r>
  <r>
    <n v="1070"/>
    <s v="Toni Morris DDS"/>
    <n v="30"/>
    <s v="F"/>
    <d v="2025-12-01T00:00:00"/>
    <d v="2024-07-16T00:00:00"/>
    <s v="Robin Medina"/>
    <x v="1"/>
    <s v="€250.69"/>
    <s v="High"/>
    <x v="2"/>
    <n v="503"/>
    <s v="Review"/>
  </r>
  <r>
    <n v="1013"/>
    <s v="Zachary Allen"/>
    <n v="21"/>
    <s v="female"/>
    <d v="2026-02-24T00:00:00"/>
    <d v="2025-06-04T00:00:00"/>
    <s v="Justin Smith"/>
    <x v="2"/>
    <s v=""/>
    <s v="High"/>
    <x v="3"/>
    <n v="265"/>
    <s v="OK"/>
  </r>
  <r>
    <n v="1027"/>
    <s v="Mary Wilson"/>
    <n v="27"/>
    <s v="female"/>
    <d v="2025-07-04T00:00:00"/>
    <d v="2025-03-17T00:00:00"/>
    <s v="Misty Higgins"/>
    <x v="1"/>
    <s v="$421.57"/>
    <s v="High"/>
    <x v="0"/>
    <n v="109"/>
    <s v="OK"/>
  </r>
  <r>
    <n v="1087"/>
    <s v="Nicole Shepard"/>
    <n v="28"/>
    <s v="0"/>
    <d v="2026-03-23T00:00:00"/>
    <d v="2024-04-01T00:00:00"/>
    <s v="Mr. Ricky Le"/>
    <x v="0"/>
    <s v="€77.79"/>
    <s v="High"/>
    <x v="0"/>
    <n v="721"/>
    <s v="Review"/>
  </r>
  <r>
    <n v="1081"/>
    <s v="Trevor Anderson"/>
    <n v="32"/>
    <s v="F"/>
    <d v="2025-07-06T00:00:00"/>
    <d v="2025-04-10T00:00:00"/>
    <s v="Kenneth Johnson"/>
    <x v="2"/>
    <s v="€156.32"/>
    <s v="High"/>
    <x v="1"/>
    <n v="87"/>
    <s v="OK"/>
  </r>
  <r>
    <n v="1053"/>
    <s v="Robert Wade"/>
    <n v="87"/>
    <s v="male"/>
    <d v="2026-02-07T00:00:00"/>
    <d v="2024-07-11T00:00:00"/>
    <s v="Phillip Shelton"/>
    <x v="1"/>
    <s v="$249.74"/>
    <s v="High"/>
    <x v="1"/>
    <n v="576"/>
    <s v="Review"/>
  </r>
  <r>
    <n v="1051"/>
    <s v="Oscar Luna"/>
    <n v="72"/>
    <s v="female"/>
    <d v="2026-03-05T00:00:00"/>
    <d v="2025-03-26T00:00:00"/>
    <s v="John Stewart"/>
    <x v="3"/>
    <s v="$126.56"/>
    <s v="High"/>
    <x v="3"/>
    <n v="344"/>
    <s v="OK"/>
  </r>
  <r>
    <n v="1098"/>
    <s v="Lance Hobbs"/>
    <n v="59"/>
    <s v="1"/>
    <d v="2025-10-10T00:00:00"/>
    <d v="2024-08-18T00:00:00"/>
    <s v="Mr. James Brown"/>
    <x v="3"/>
    <s v="$143.32"/>
    <s v="High"/>
    <x v="4"/>
    <n v="418"/>
    <s v="Review"/>
  </r>
  <r>
    <n v="1009"/>
    <s v="Misty Wells"/>
    <n v="64"/>
    <s v="M"/>
    <d v="2025-07-31T00:00:00"/>
    <d v="2024-08-23T00:00:00"/>
    <s v="Debra Booker"/>
    <x v="2"/>
    <s v="£353.8"/>
    <s v="High"/>
    <x v="1"/>
    <n v="342"/>
    <s v="OK"/>
  </r>
  <r>
    <n v="1021"/>
    <s v="Adam Mcdonald"/>
    <n v="28"/>
    <s v="female"/>
    <d v="2025-08-15T00:00:00"/>
    <d v="2024-11-17T00:00:00"/>
    <s v="David Schmidt"/>
    <x v="0"/>
    <s v="£174.54"/>
    <s v="High"/>
    <x v="3"/>
    <n v="271"/>
    <s v="OK"/>
  </r>
  <r>
    <n v="1046"/>
    <s v="David Mann"/>
    <n v="68"/>
    <s v="male"/>
    <d v="2026-03-16T00:00:00"/>
    <d v="2024-05-06T00:00:00"/>
    <s v="Donald Ferguson"/>
    <x v="1"/>
    <s v="£217.77"/>
    <s v="High"/>
    <x v="1"/>
    <n v="679"/>
    <s v="Review"/>
  </r>
  <r>
    <n v="1044"/>
    <s v="Daniel White"/>
    <n v="67"/>
    <s v="male"/>
    <d v="2025-04-12T00:00:00"/>
    <d v="2024-07-13T00:00:00"/>
    <s v="Chad Johnson"/>
    <x v="2"/>
    <s v="Rs277.51"/>
    <s v="High"/>
    <x v="4"/>
    <n v="273"/>
    <s v="OK"/>
  </r>
  <r>
    <n v="1058"/>
    <s v="Steven Gonzalez"/>
    <n v="37"/>
    <s v="1"/>
    <d v="2026-02-04T00:00:00"/>
    <d v="2025-11-10T00:00:00"/>
    <s v="Jonathan Daniels"/>
    <x v="1"/>
    <s v="£259.19"/>
    <s v="High"/>
    <x v="1"/>
    <n v="86"/>
    <s v="OK"/>
  </r>
  <r>
    <n v="1004"/>
    <s v="Samuel Harrison"/>
    <n v="53"/>
    <s v=""/>
    <d v="2025-08-09T00:00:00"/>
    <d v="2024-07-06T00:00:00"/>
    <s v="Hunter Powell"/>
    <x v="2"/>
    <s v="Rs492.92"/>
    <s v="High"/>
    <x v="3"/>
    <n v="399"/>
    <s v="Review"/>
  </r>
  <r>
    <n v="1088"/>
    <s v="Bethany Williams"/>
    <n v="21"/>
    <s v="M"/>
    <d v="2025-11-12T00:00:00"/>
    <d v="2025-04-22T00:00:00"/>
    <s v="Kayla Woods"/>
    <x v="2"/>
    <s v="€51.38"/>
    <s v="High"/>
    <x v="5"/>
    <n v="204"/>
    <s v="OK"/>
  </r>
  <r>
    <n v="1035"/>
    <s v="Eddie Tate"/>
    <n v="53"/>
    <s v="M"/>
    <d v="2026-01-26T00:00:00"/>
    <d v="2024-09-27T00:00:00"/>
    <s v="Paul Johnson"/>
    <x v="2"/>
    <s v="Rs374.03"/>
    <s v="High"/>
    <x v="0"/>
    <n v="486"/>
    <s v="Review"/>
  </r>
  <r>
    <n v="1025"/>
    <s v="Christopher Trujillo"/>
    <n v="69"/>
    <s v="male"/>
    <d v="2025-04-06T00:00:00"/>
    <d v="2024-07-28T00:00:00"/>
    <s v="Keith Smith"/>
    <x v="1"/>
    <s v="£175.33"/>
    <s v="High"/>
    <x v="5"/>
    <n v="252"/>
    <s v="OK"/>
  </r>
  <r>
    <n v="1068"/>
    <s v="Sarah Thompson"/>
    <n v="25"/>
    <s v="F"/>
    <d v="2026-02-11T00:00:00"/>
    <d v="2025-06-20T00:00:00"/>
    <s v="Ruth Shaw"/>
    <x v="2"/>
    <s v="£129.25"/>
    <s v="High"/>
    <x v="5"/>
    <n v="236"/>
    <s v="OK"/>
  </r>
  <r>
    <n v="1014"/>
    <s v="Bradley Jones"/>
    <n v="61"/>
    <s v=""/>
    <d v="2025-07-14T00:00:00"/>
    <d v="2024-12-22T00:00:00"/>
    <s v="Douglas Patton"/>
    <x v="0"/>
    <s v="Rs257.41"/>
    <s v="High"/>
    <x v="0"/>
    <n v="204"/>
    <s v="OK"/>
  </r>
  <r>
    <n v="1059"/>
    <s v="Emma Ferrell"/>
    <n v="23"/>
    <s v="male"/>
    <d v="2025-09-10T00:00:00"/>
    <d v="2024-04-23T00:00:00"/>
    <s v="David Bradford"/>
    <x v="3"/>
    <s v="€337.48"/>
    <s v="High"/>
    <x v="1"/>
    <n v="505"/>
    <s v="Review"/>
  </r>
  <r>
    <n v="1021"/>
    <s v="Michael Garcia"/>
    <n v="61"/>
    <s v="F"/>
    <d v="2026-03-04T00:00:00"/>
    <d v="2025-08-10T00:00:00"/>
    <s v="Barbara Mack"/>
    <x v="2"/>
    <s v="€310.15"/>
    <s v="High"/>
    <x v="3"/>
    <n v="206"/>
    <s v="OK"/>
  </r>
  <r>
    <n v="1029"/>
    <s v="Darlene Hodge"/>
    <n v="69"/>
    <s v="male"/>
    <d v="2025-05-27T00:00:00"/>
    <d v="2025-04-20T00:00:00"/>
    <s v="Amanda Cruz"/>
    <x v="1"/>
    <s v="€63.14"/>
    <s v="High"/>
    <x v="4"/>
    <n v="37"/>
    <s v="OK"/>
  </r>
  <r>
    <n v="1005"/>
    <s v="Katherine Rios"/>
    <n v="23"/>
    <s v="0"/>
    <d v="2025-12-24T00:00:00"/>
    <d v="2025-01-05T00:00:00"/>
    <s v="Elizabeth Foster"/>
    <x v="1"/>
    <s v="$265.67"/>
    <s v="High"/>
    <x v="4"/>
    <n v="353"/>
    <s v="OK"/>
  </r>
  <r>
    <n v="1094"/>
    <s v="Jennifer Shaffer"/>
    <n v="59"/>
    <s v="0"/>
    <d v="2025-06-08T00:00:00"/>
    <d v="2024-12-26T00:00:00"/>
    <s v="Brittany Watson"/>
    <x v="1"/>
    <s v="$382.64"/>
    <s v="High"/>
    <x v="1"/>
    <n v="164"/>
    <s v="OK"/>
  </r>
  <r>
    <n v="1065"/>
    <s v="Leslie Newman"/>
    <n v="80"/>
    <s v="F"/>
    <d v="2025-05-11T00:00:00"/>
    <d v="2024-10-22T00:00:00"/>
    <s v="Lindsey Mendoza"/>
    <x v="0"/>
    <s v="Rs125.35"/>
    <s v="High"/>
    <x v="5"/>
    <n v="201"/>
    <s v="OK"/>
  </r>
  <r>
    <n v="1058"/>
    <s v="Alejandro Romero"/>
    <n v="27"/>
    <s v="male"/>
    <d v="2025-07-25T00:00:00"/>
    <d v="2024-08-28T00:00:00"/>
    <s v="Karen Hancock"/>
    <x v="1"/>
    <s v="£206.69"/>
    <s v="High"/>
    <x v="2"/>
    <n v="331"/>
    <s v="OK"/>
  </r>
  <r>
    <n v="1076"/>
    <s v="Ashley Peterson"/>
    <n v="39"/>
    <s v="female"/>
    <d v="2025-05-30T00:00:00"/>
    <d v="2025-05-06T00:00:00"/>
    <s v="Kyle Mcintyre"/>
    <x v="3"/>
    <s v="£358.45"/>
    <s v="High"/>
    <x v="3"/>
    <n v="24"/>
    <s v="OK"/>
  </r>
  <r>
    <n v="1073"/>
    <s v="Steven Wallace"/>
    <n v="52"/>
    <s v="male"/>
    <d v="2025-09-25T00:00:00"/>
    <d v="2025-01-11T00:00:00"/>
    <s v="Katherine Martin"/>
    <x v="0"/>
    <s v="€496.62"/>
    <s v="High"/>
    <x v="5"/>
    <n v="257"/>
    <s v="OK"/>
  </r>
  <r>
    <n v="1054"/>
    <s v="Lindsey Sullivan MD"/>
    <n v="66"/>
    <s v="male"/>
    <d v="2025-04-08T00:00:00"/>
    <d v="2025-01-02T00:00:00"/>
    <s v="David Barnett"/>
    <x v="1"/>
    <s v="Rs290.47"/>
    <s v="High"/>
    <x v="0"/>
    <n v="96"/>
    <s v="OK"/>
  </r>
  <r>
    <n v="1020"/>
    <s v="William Wilson"/>
    <n v="52"/>
    <s v="male"/>
    <d v="2026-02-16T00:00:00"/>
    <d v="2025-03-14T00:00:00"/>
    <s v="Jacob Bernard"/>
    <x v="3"/>
    <s v="€346.4"/>
    <s v="High"/>
    <x v="5"/>
    <n v="339"/>
    <s v="OK"/>
  </r>
  <r>
    <n v="1087"/>
    <s v="Kenneth Cox"/>
    <n v="78"/>
    <s v="male"/>
    <d v="2026-01-22T00:00:00"/>
    <d v="2025-06-07T00:00:00"/>
    <s v="Brian Walker"/>
    <x v="3"/>
    <s v="$123.28"/>
    <s v="High"/>
    <x v="2"/>
    <n v="229"/>
    <s v="OK"/>
  </r>
  <r>
    <n v="1012"/>
    <s v="Susan Winters"/>
    <n v="45"/>
    <s v="0"/>
    <d v="2025-07-25T00:00:00"/>
    <d v="2024-08-31T00:00:00"/>
    <s v="Christopher Simpson"/>
    <x v="1"/>
    <s v="$353.09"/>
    <s v="High"/>
    <x v="2"/>
    <n v="328"/>
    <s v="OK"/>
  </r>
  <r>
    <n v="1085"/>
    <s v="Marissa Randall"/>
    <n v="30"/>
    <s v="male"/>
    <d v="2025-12-23T00:00:00"/>
    <d v="2024-06-12T00:00:00"/>
    <s v="Kent Cannon"/>
    <x v="2"/>
    <s v="Rs299.12"/>
    <s v="High"/>
    <x v="0"/>
    <n v="559"/>
    <s v="Review"/>
  </r>
  <r>
    <n v="1012"/>
    <s v="Lydia Davis"/>
    <n v="30"/>
    <s v="F"/>
    <d v="2025-12-03T00:00:00"/>
    <d v="2024-05-18T00:00:00"/>
    <s v="Brian Rodriguez"/>
    <x v="2"/>
    <s v="€286.79"/>
    <s v="High"/>
    <x v="0"/>
    <n v="564"/>
    <s v="Review"/>
  </r>
  <r>
    <n v="1063"/>
    <s v="Jason Kennedy"/>
    <n v="46"/>
    <s v="M"/>
    <d v="2025-10-18T00:00:00"/>
    <d v="2024-10-03T00:00:00"/>
    <s v="Robert Fowler"/>
    <x v="1"/>
    <s v="€330.76"/>
    <s v="High"/>
    <x v="4"/>
    <n v="380"/>
    <s v="Review"/>
  </r>
  <r>
    <n v="1046"/>
    <s v="Melissa Brown"/>
    <n v="28"/>
    <s v="1"/>
    <d v="2025-04-20T00:00:00"/>
    <d v="2024-08-01T00:00:00"/>
    <s v="Bill Brown"/>
    <x v="1"/>
    <s v="€69.76"/>
    <s v="High"/>
    <x v="1"/>
    <n v="262"/>
    <s v="OK"/>
  </r>
  <r>
    <n v="1031"/>
    <s v="Shannon Vargas"/>
    <n v="57"/>
    <s v="0"/>
    <d v="2025-05-31T00:00:00"/>
    <d v="2025-02-14T00:00:00"/>
    <s v="Brian Caldwell"/>
    <x v="1"/>
    <s v="$341.11"/>
    <s v="High"/>
    <x v="2"/>
    <n v="106"/>
    <s v="OK"/>
  </r>
  <r>
    <n v="1098"/>
    <s v="Jennifer Dorsey"/>
    <n v="27"/>
    <s v=""/>
    <d v="2026-02-10T00:00:00"/>
    <d v="2025-06-29T00:00:00"/>
    <s v="Michael Stanley"/>
    <x v="3"/>
    <s v="$147.08"/>
    <s v="High"/>
    <x v="4"/>
    <n v="226"/>
    <s v="OK"/>
  </r>
  <r>
    <n v="1021"/>
    <s v="Gary Simpson"/>
    <n v="63"/>
    <s v="male"/>
    <d v="2025-07-05T00:00:00"/>
    <d v="2025-06-21T00:00:00"/>
    <s v="Veronica Chen"/>
    <x v="2"/>
    <s v="$462.6"/>
    <s v="High"/>
    <x v="0"/>
    <n v="14"/>
    <s v="OK"/>
  </r>
  <r>
    <n v="1085"/>
    <s v="Nicole Adams"/>
    <n v="25"/>
    <s v="F"/>
    <d v="2025-10-13T00:00:00"/>
    <d v="2025-03-13T00:00:00"/>
    <s v="Krystal Krueger"/>
    <x v="3"/>
    <s v="€357.53"/>
    <s v="High"/>
    <x v="3"/>
    <n v="214"/>
    <s v="OK"/>
  </r>
  <r>
    <n v="1015"/>
    <s v="Gary Ramos"/>
    <n v="84"/>
    <s v="0"/>
    <d v="2026-03-25T00:00:00"/>
    <d v="2025-08-31T00:00:00"/>
    <s v="Gregory Riley"/>
    <x v="0"/>
    <s v="Rs353.35"/>
    <s v="High"/>
    <x v="0"/>
    <n v="206"/>
    <s v="OK"/>
  </r>
  <r>
    <n v="1015"/>
    <s v="Veronica Shaw"/>
    <n v="86"/>
    <s v=""/>
    <d v="2025-09-22T00:00:00"/>
    <d v="2024-07-15T00:00:00"/>
    <s v="Michael Franco"/>
    <x v="1"/>
    <s v="£174.42"/>
    <s v="High"/>
    <x v="3"/>
    <n v="434"/>
    <s v="Review"/>
  </r>
  <r>
    <n v="1008"/>
    <s v="Lisa Smith"/>
    <n v="40"/>
    <s v="0"/>
    <d v="2025-10-30T00:00:00"/>
    <d v="2024-07-31T00:00:00"/>
    <s v="Daniel Beck"/>
    <x v="1"/>
    <s v="Rs449.41"/>
    <s v="High"/>
    <x v="4"/>
    <n v="456"/>
    <s v="Review"/>
  </r>
  <r>
    <n v="1080"/>
    <s v="Eric Lawson"/>
    <n v="78"/>
    <s v="male"/>
    <d v="2026-02-02T00:00:00"/>
    <d v="2025-11-14T00:00:00"/>
    <s v="Andrew Webb"/>
    <x v="0"/>
    <s v="$179.07"/>
    <s v="High"/>
    <x v="2"/>
    <n v="80"/>
    <s v="OK"/>
  </r>
  <r>
    <n v="1067"/>
    <s v="Vanessa Wright"/>
    <n v="28"/>
    <s v="male"/>
    <d v="2026-01-07T00:00:00"/>
    <d v="2025-08-23T00:00:00"/>
    <s v="Virginia Sharp"/>
    <x v="0"/>
    <s v="Rs344.67"/>
    <s v="High"/>
    <x v="1"/>
    <n v="137"/>
    <s v="OK"/>
  </r>
  <r>
    <n v="1043"/>
    <s v="Edward Thomas"/>
    <n v="80"/>
    <s v="F"/>
    <d v="2025-09-28T00:00:00"/>
    <d v="2024-08-30T00:00:00"/>
    <s v="Teresa Medina"/>
    <x v="2"/>
    <s v="$84.72"/>
    <s v="High"/>
    <x v="0"/>
    <n v="394"/>
    <s v="Review"/>
  </r>
  <r>
    <n v="1058"/>
    <s v="Cassandra Peterson"/>
    <n v="34"/>
    <s v="male"/>
    <d v="2025-04-23T00:00:00"/>
    <d v="2024-12-08T00:00:00"/>
    <s v="Mary Sanchez"/>
    <x v="1"/>
    <s v=""/>
    <s v="High"/>
    <x v="0"/>
    <n v="136"/>
    <s v="OK"/>
  </r>
  <r>
    <n v="1001"/>
    <s v="Ellen Stevens"/>
    <n v="35"/>
    <s v="male"/>
    <d v="2025-07-14T00:00:00"/>
    <d v="2024-07-02T00:00:00"/>
    <s v="Charles Wells"/>
    <x v="1"/>
    <s v="£479.79"/>
    <s v="High"/>
    <x v="5"/>
    <n v="377"/>
    <s v="Review"/>
  </r>
  <r>
    <n v="1012"/>
    <s v="Shawn Mendoza"/>
    <n v="36"/>
    <s v="1"/>
    <d v="2026-03-25T00:00:00"/>
    <d v="2024-05-03T00:00:00"/>
    <s v="Erin Walton"/>
    <x v="0"/>
    <s v="€77.99"/>
    <s v="High"/>
    <x v="4"/>
    <n v="691"/>
    <s v="Review"/>
  </r>
  <r>
    <n v="1066"/>
    <s v="Sandra Hill"/>
    <n v="65"/>
    <s v="male"/>
    <d v="2025-08-10T00:00:00"/>
    <d v="2025-01-06T00:00:00"/>
    <s v="Julie May"/>
    <x v="1"/>
    <s v="Rs113.2"/>
    <s v="High"/>
    <x v="3"/>
    <n v="216"/>
    <s v="OK"/>
  </r>
  <r>
    <n v="1015"/>
    <s v="Oscar Hunt"/>
    <n v="29"/>
    <s v="male"/>
    <d v="2025-06-11T00:00:00"/>
    <d v="2024-07-02T00:00:00"/>
    <s v="Michael Mason"/>
    <x v="0"/>
    <s v="£363.04"/>
    <s v="High"/>
    <x v="1"/>
    <n v="344"/>
    <s v="OK"/>
  </r>
  <r>
    <n v="1024"/>
    <s v="Tristan Booth"/>
    <n v="22"/>
    <s v=""/>
    <d v="2025-07-10T00:00:00"/>
    <d v="2024-07-16T00:00:00"/>
    <s v="Alicia Hall"/>
    <x v="2"/>
    <s v="$477.72"/>
    <s v="High"/>
    <x v="5"/>
    <n v="359"/>
    <s v="OK"/>
  </r>
  <r>
    <n v="1013"/>
    <s v="Ashlee Warren"/>
    <n v="69"/>
    <s v="male"/>
    <d v="2026-01-21T00:00:00"/>
    <d v="2024-06-01T00:00:00"/>
    <s v="Cynthia Cruz"/>
    <x v="3"/>
    <s v="Rs289.74"/>
    <s v="High"/>
    <x v="0"/>
    <n v="599"/>
    <s v="Review"/>
  </r>
  <r>
    <n v="1024"/>
    <s v="Alexander Vega"/>
    <n v="35"/>
    <s v="M"/>
    <d v="2025-08-17T00:00:00"/>
    <d v="2025-08-06T00:00:00"/>
    <s v="Karen Gomez"/>
    <x v="2"/>
    <s v="$270.15"/>
    <s v="High"/>
    <x v="0"/>
    <n v="11"/>
    <s v="OK"/>
  </r>
  <r>
    <n v="1061"/>
    <s v="Breanna Lewis"/>
    <n v="59"/>
    <s v="F"/>
    <d v="2025-10-12T00:00:00"/>
    <d v="2025-06-15T00:00:00"/>
    <s v="Jerry Tucker"/>
    <x v="1"/>
    <s v="£155.98"/>
    <s v="High"/>
    <x v="1"/>
    <n v="119"/>
    <s v="OK"/>
  </r>
  <r>
    <n v="1095"/>
    <s v="Jackie Lane"/>
    <n v="56"/>
    <s v="1"/>
    <d v="2025-06-04T00:00:00"/>
    <d v="2024-05-29T00:00:00"/>
    <s v="Jackie Harper"/>
    <x v="0"/>
    <s v="Rs335.27"/>
    <s v="High"/>
    <x v="1"/>
    <n v="371"/>
    <s v="Review"/>
  </r>
  <r>
    <n v="1048"/>
    <s v="Shawn Cordova"/>
    <n v="67"/>
    <s v="male"/>
    <d v="2025-11-27T00:00:00"/>
    <d v="2024-07-30T00:00:00"/>
    <s v="Wendy Mcguire"/>
    <x v="2"/>
    <s v="Rs285.22"/>
    <s v="High"/>
    <x v="2"/>
    <n v="485"/>
    <s v="Review"/>
  </r>
  <r>
    <n v="1033"/>
    <s v="Christina Macdonald"/>
    <n v="64"/>
    <s v="F"/>
    <d v="2025-09-16T00:00:00"/>
    <d v="2025-01-23T00:00:00"/>
    <s v="Samuel Ramirez"/>
    <x v="3"/>
    <s v="Rs91.36"/>
    <s v="High"/>
    <x v="0"/>
    <n v="236"/>
    <s v="OK"/>
  </r>
  <r>
    <n v="1085"/>
    <s v="Dylan Jones"/>
    <n v="22"/>
    <s v="female"/>
    <d v="2025-10-02T00:00:00"/>
    <d v="2025-07-04T00:00:00"/>
    <s v="Katherine Small"/>
    <x v="3"/>
    <s v="Rs498.58"/>
    <s v="High"/>
    <x v="5"/>
    <n v="90"/>
    <s v="OK"/>
  </r>
  <r>
    <n v="1003"/>
    <s v="Christine Herring"/>
    <n v="89"/>
    <s v="female"/>
    <d v="2025-12-22T00:00:00"/>
    <d v="2025-03-08T00:00:00"/>
    <s v="Kristin Hartman"/>
    <x v="3"/>
    <s v="€453.73"/>
    <s v="High"/>
    <x v="3"/>
    <n v="289"/>
    <s v="OK"/>
  </r>
  <r>
    <n v="1030"/>
    <s v="Brandon Carter"/>
    <n v="72"/>
    <s v="F"/>
    <d v="2025-05-10T00:00:00"/>
    <d v="2025-02-27T00:00:00"/>
    <s v="James Aguilar"/>
    <x v="2"/>
    <s v="£218.54"/>
    <s v="High"/>
    <x v="2"/>
    <n v="72"/>
    <s v="OK"/>
  </r>
  <r>
    <n v="1083"/>
    <s v="Lori Dean"/>
    <n v="40"/>
    <s v="female"/>
    <d v="2025-11-05T00:00:00"/>
    <d v="2024-08-15T00:00:00"/>
    <s v="Theresa Williams"/>
    <x v="1"/>
    <s v="Rs312.26"/>
    <s v="High"/>
    <x v="5"/>
    <n v="447"/>
    <s v="Review"/>
  </r>
  <r>
    <n v="1004"/>
    <s v="Deborah Robinson"/>
    <n v="36"/>
    <s v="0"/>
    <d v="2026-01-25T00:00:00"/>
    <d v="2024-10-30T00:00:00"/>
    <s v="Joseph Bell"/>
    <x v="0"/>
    <s v="€159.21"/>
    <s v="High"/>
    <x v="3"/>
    <n v="452"/>
    <s v="Review"/>
  </r>
  <r>
    <n v="1051"/>
    <s v="Jason Tate"/>
    <n v="71"/>
    <s v="female"/>
    <d v="2026-01-27T00:00:00"/>
    <d v="2025-03-07T00:00:00"/>
    <s v="Kimberly Young"/>
    <x v="0"/>
    <s v="€484.79"/>
    <s v="High"/>
    <x v="0"/>
    <n v="326"/>
    <s v="OK"/>
  </r>
  <r>
    <n v="1059"/>
    <s v="Jill Mcconnell"/>
    <n v="81"/>
    <s v="female"/>
    <d v="2025-03-28T00:00:00"/>
    <d v="2025-02-16T00:00:00"/>
    <s v="Jessica Miller"/>
    <x v="0"/>
    <s v="Rs475.35"/>
    <s v="High"/>
    <x v="2"/>
    <n v="40"/>
    <s v="OK"/>
  </r>
  <r>
    <n v="1044"/>
    <s v="Kyle Barnes Jr."/>
    <n v="21"/>
    <s v="1"/>
    <d v="2025-04-18T00:00:00"/>
    <d v="2024-09-24T00:00:00"/>
    <s v="Donna Peters"/>
    <x v="3"/>
    <s v="$156.1"/>
    <s v="High"/>
    <x v="1"/>
    <n v="206"/>
    <s v="OK"/>
  </r>
  <r>
    <n v="1068"/>
    <s v="Regina Smith"/>
    <n v="87"/>
    <s v=""/>
    <d v="2025-08-30T00:00:00"/>
    <d v="2024-12-15T00:00:00"/>
    <s v="Donna Orr"/>
    <x v="3"/>
    <s v="$246.13"/>
    <s v="High"/>
    <x v="4"/>
    <n v="258"/>
    <s v="OK"/>
  </r>
  <r>
    <n v="1024"/>
    <s v="Jeffrey Warren"/>
    <n v="60"/>
    <s v="female"/>
    <d v="2025-07-20T00:00:00"/>
    <d v="2024-11-21T00:00:00"/>
    <s v="Mrs. Michelle Reed"/>
    <x v="0"/>
    <s v="Rs340.54"/>
    <s v="High"/>
    <x v="2"/>
    <n v="241"/>
    <s v="OK"/>
  </r>
  <r>
    <n v="1010"/>
    <s v="Andre Crosby"/>
    <n v="72"/>
    <s v="F"/>
    <d v="2026-02-16T00:00:00"/>
    <d v="2024-07-07T00:00:00"/>
    <s v="Douglas Smith"/>
    <x v="3"/>
    <s v="$235.81"/>
    <s v="High"/>
    <x v="2"/>
    <n v="589"/>
    <s v="Review"/>
  </r>
  <r>
    <n v="1099"/>
    <s v="Jessica Maldonado DDS"/>
    <n v="25"/>
    <s v="1"/>
    <d v="2025-04-21T00:00:00"/>
    <d v="2024-09-20T00:00:00"/>
    <s v="Kelly Thomas"/>
    <x v="0"/>
    <s v="£166.21"/>
    <s v="High"/>
    <x v="2"/>
    <n v="213"/>
    <s v="OK"/>
  </r>
  <r>
    <n v="1060"/>
    <s v="Ian Bush"/>
    <n v="39"/>
    <s v="male"/>
    <d v="2026-01-09T00:00:00"/>
    <d v="2025-06-20T00:00:00"/>
    <s v="Steven Welch"/>
    <x v="0"/>
    <s v="€418.29"/>
    <s v="High"/>
    <x v="5"/>
    <n v="203"/>
    <s v="OK"/>
  </r>
  <r>
    <n v="1044"/>
    <s v="Nicole Warren"/>
    <n v="63"/>
    <s v="female"/>
    <d v="2025-09-19T00:00:00"/>
    <d v="2025-02-07T00:00:00"/>
    <s v="Kimberly Beck"/>
    <x v="3"/>
    <s v="£415.35"/>
    <s v="High"/>
    <x v="4"/>
    <n v="224"/>
    <s v="OK"/>
  </r>
  <r>
    <n v="1047"/>
    <s v="Dennis Jacobs"/>
    <n v="33"/>
    <s v="1"/>
    <d v="2026-02-18T00:00:00"/>
    <d v="2024-06-02T00:00:00"/>
    <s v="Katherine Long"/>
    <x v="3"/>
    <s v="$307.29"/>
    <s v="High"/>
    <x v="0"/>
    <n v="626"/>
    <s v="Review"/>
  </r>
  <r>
    <n v="1063"/>
    <s v="Edward Black"/>
    <n v="88"/>
    <s v="female"/>
    <d v="2025-12-04T00:00:00"/>
    <d v="2025-10-11T00:00:00"/>
    <s v="Nathan Summers"/>
    <x v="1"/>
    <s v="Rs268.75"/>
    <s v="High"/>
    <x v="2"/>
    <n v="54"/>
    <s v="OK"/>
  </r>
  <r>
    <n v="1036"/>
    <s v="Suzanne Jenkins"/>
    <n v="44"/>
    <s v="1"/>
    <d v="2025-10-13T00:00:00"/>
    <d v="2024-06-16T00:00:00"/>
    <s v="Maureen Jacobson"/>
    <x v="1"/>
    <s v="€248.97"/>
    <s v="High"/>
    <x v="0"/>
    <n v="484"/>
    <s v="Review"/>
  </r>
  <r>
    <n v="1002"/>
    <s v="Lindsey Green"/>
    <n v="28"/>
    <s v="0"/>
    <d v="2025-06-02T00:00:00"/>
    <d v="2024-06-21T00:00:00"/>
    <s v="James Fleming"/>
    <x v="2"/>
    <s v="$270.71"/>
    <s v="High"/>
    <x v="5"/>
    <n v="346"/>
    <s v="OK"/>
  </r>
  <r>
    <n v="1075"/>
    <s v="Sarah Hernandez"/>
    <n v="25"/>
    <s v="female"/>
    <d v="2025-09-03T00:00:00"/>
    <d v="2024-10-27T00:00:00"/>
    <s v="Jeremy Mclaughlin"/>
    <x v="1"/>
    <s v="$253.36"/>
    <s v="High"/>
    <x v="1"/>
    <n v="311"/>
    <s v="OK"/>
  </r>
  <r>
    <n v="1090"/>
    <s v="Christina Eaton"/>
    <n v="85"/>
    <s v="male"/>
    <d v="2026-01-20T00:00:00"/>
    <d v="2025-03-10T00:00:00"/>
    <s v="Stephanie Kelley DVM"/>
    <x v="2"/>
    <s v="$192.87"/>
    <s v="High"/>
    <x v="2"/>
    <n v="316"/>
    <s v="OK"/>
  </r>
  <r>
    <n v="1000"/>
    <s v="Angela Rogers"/>
    <n v="18"/>
    <s v="male"/>
    <d v="2025-08-14T00:00:00"/>
    <d v="2025-04-10T00:00:00"/>
    <s v="Dr. Brian Smith"/>
    <x v="1"/>
    <s v="Rs362.08"/>
    <s v="High"/>
    <x v="5"/>
    <n v="126"/>
    <s v="OK"/>
  </r>
  <r>
    <n v="1073"/>
    <s v="Molly Hayden"/>
    <n v="75"/>
    <s v=""/>
    <d v="2026-01-06T00:00:00"/>
    <d v="2025-02-22T00:00:00"/>
    <s v="Brian Chambers"/>
    <x v="3"/>
    <s v="£306.62"/>
    <s v="High"/>
    <x v="4"/>
    <n v="318"/>
    <s v="OK"/>
  </r>
  <r>
    <n v="1075"/>
    <s v="Brian Clarke"/>
    <n v="73"/>
    <s v="1"/>
    <d v="2025-04-05T00:00:00"/>
    <d v="2024-12-20T00:00:00"/>
    <s v="Amanda Hoffman"/>
    <x v="2"/>
    <s v="$348.18"/>
    <s v="High"/>
    <x v="5"/>
    <n v="106"/>
    <s v="OK"/>
  </r>
  <r>
    <n v="1033"/>
    <s v="Steven Morgan"/>
    <n v="58"/>
    <s v="male"/>
    <d v="2025-05-24T00:00:00"/>
    <d v="2024-09-09T00:00:00"/>
    <s v="Donna Adkins"/>
    <x v="1"/>
    <s v="£298.42"/>
    <s v="High"/>
    <x v="0"/>
    <n v="257"/>
    <s v="OK"/>
  </r>
  <r>
    <n v="1051"/>
    <s v="Kyle Jones"/>
    <n v="52"/>
    <s v="male"/>
    <d v="2025-10-31T00:00:00"/>
    <d v="2024-09-01T00:00:00"/>
    <s v="Sara Morse"/>
    <x v="2"/>
    <s v=""/>
    <s v="High"/>
    <x v="5"/>
    <n v="425"/>
    <s v="Review"/>
  </r>
  <r>
    <n v="1021"/>
    <s v="Mrs. Jennifer Ingram"/>
    <n v="41"/>
    <s v="M"/>
    <d v="2025-09-11T00:00:00"/>
    <d v="2024-11-30T00:00:00"/>
    <s v="Katrina Williams MD"/>
    <x v="3"/>
    <s v="$473.2"/>
    <s v="High"/>
    <x v="2"/>
    <n v="285"/>
    <s v="OK"/>
  </r>
  <r>
    <n v="1052"/>
    <s v="Troy Torres"/>
    <n v="80"/>
    <s v="0"/>
    <d v="2025-05-04T00:00:00"/>
    <d v="2024-09-20T00:00:00"/>
    <s v="Matthew Carney"/>
    <x v="0"/>
    <s v="$124.09"/>
    <s v="High"/>
    <x v="4"/>
    <n v="226"/>
    <s v="OK"/>
  </r>
  <r>
    <n v="1028"/>
    <s v="Stephanie Moss"/>
    <n v="24"/>
    <s v="female"/>
    <d v="2026-03-04T00:00:00"/>
    <d v="2025-04-02T00:00:00"/>
    <s v="Jason Bray"/>
    <x v="3"/>
    <s v="€52.32"/>
    <s v="High"/>
    <x v="1"/>
    <n v="336"/>
    <s v="OK"/>
  </r>
  <r>
    <n v="1062"/>
    <s v="Jade Blanchard MD"/>
    <n v="23"/>
    <s v="female"/>
    <d v="2026-01-29T00:00:00"/>
    <d v="2024-07-01T00:00:00"/>
    <s v="Amber Waters"/>
    <x v="1"/>
    <s v="$151.03"/>
    <s v="High"/>
    <x v="2"/>
    <n v="577"/>
    <s v="Review"/>
  </r>
  <r>
    <n v="1088"/>
    <s v="Pamela Johnson"/>
    <n v="80"/>
    <s v="F"/>
    <d v="2025-07-01T00:00:00"/>
    <d v="2024-11-12T00:00:00"/>
    <s v="Crystal Garza"/>
    <x v="3"/>
    <s v="Rs417.42"/>
    <s v="High"/>
    <x v="1"/>
    <n v="231"/>
    <s v="OK"/>
  </r>
  <r>
    <n v="1028"/>
    <s v="Glenn Wall"/>
    <n v="26"/>
    <s v="0"/>
    <d v="2025-09-15T00:00:00"/>
    <d v="2025-05-13T00:00:00"/>
    <s v="Sarah Peterson"/>
    <x v="0"/>
    <s v="$112.9"/>
    <s v="High"/>
    <x v="1"/>
    <n v="125"/>
    <s v="OK"/>
  </r>
  <r>
    <n v="1050"/>
    <s v="Christopher Beard"/>
    <n v="65"/>
    <s v="male"/>
    <d v="2026-03-04T00:00:00"/>
    <d v="2024-06-01T00:00:00"/>
    <s v="Jerry Torres"/>
    <x v="3"/>
    <s v="Rs126.44"/>
    <s v="High"/>
    <x v="1"/>
    <n v="641"/>
    <s v="Review"/>
  </r>
  <r>
    <n v="1004"/>
    <s v="Darin Caldwell"/>
    <n v="54"/>
    <s v="M"/>
    <d v="2025-09-03T00:00:00"/>
    <d v="2025-02-20T00:00:00"/>
    <s v="Danielle Pacheco"/>
    <x v="0"/>
    <s v="€185.15"/>
    <s v="High"/>
    <x v="2"/>
    <n v="195"/>
    <s v="OK"/>
  </r>
  <r>
    <n v="1044"/>
    <s v="Henry Henderson"/>
    <n v="58"/>
    <s v="male"/>
    <d v="2025-06-10T00:00:00"/>
    <d v="2024-08-02T00:00:00"/>
    <s v="James Love"/>
    <x v="1"/>
    <s v=""/>
    <s v="High"/>
    <x v="2"/>
    <n v="312"/>
    <s v="OK"/>
  </r>
  <r>
    <n v="1030"/>
    <s v="Regina Giles"/>
    <n v="42"/>
    <s v="male"/>
    <d v="2025-10-24T00:00:00"/>
    <d v="2024-11-27T00:00:00"/>
    <s v="Kimberly Foster"/>
    <x v="2"/>
    <s v="€258.9"/>
    <s v="High"/>
    <x v="1"/>
    <n v="331"/>
    <s v="OK"/>
  </r>
  <r>
    <n v="1073"/>
    <s v="Curtis Cooke"/>
    <n v="84"/>
    <s v="male"/>
    <d v="2025-09-29T00:00:00"/>
    <d v="2024-06-24T00:00:00"/>
    <s v="John Hancock"/>
    <x v="2"/>
    <s v="€477.08"/>
    <s v="High"/>
    <x v="2"/>
    <n v="462"/>
    <s v="Review"/>
  </r>
  <r>
    <n v="1018"/>
    <s v="Joel Marshall"/>
    <n v="55"/>
    <s v="1"/>
    <d v="2025-12-23T00:00:00"/>
    <d v="2025-02-23T00:00:00"/>
    <s v="Victoria Garcia"/>
    <x v="2"/>
    <s v="€306.8"/>
    <s v="High"/>
    <x v="5"/>
    <n v="303"/>
    <s v="OK"/>
  </r>
  <r>
    <n v="1062"/>
    <s v="Peter Schaefer"/>
    <n v="84"/>
    <s v="female"/>
    <d v="2025-08-27T00:00:00"/>
    <d v="2024-06-02T00:00:00"/>
    <s v="Carlos Spence"/>
    <x v="0"/>
    <s v="Rs190.01"/>
    <s v="High"/>
    <x v="2"/>
    <n v="451"/>
    <s v="Review"/>
  </r>
  <r>
    <n v="1014"/>
    <s v="Andrew Cross"/>
    <n v="67"/>
    <s v="female"/>
    <d v="2026-03-26T00:00:00"/>
    <d v="2026-03-07T00:00:00"/>
    <s v="Victor Warner"/>
    <x v="3"/>
    <s v="Rs281.44"/>
    <s v="High"/>
    <x v="4"/>
    <n v="19"/>
    <s v="OK"/>
  </r>
  <r>
    <n v="1030"/>
    <s v="Jonathan Fernandez"/>
    <n v="40"/>
    <s v="male"/>
    <d v="2025-12-03T00:00:00"/>
    <d v="2025-09-08T00:00:00"/>
    <s v="Luis Nolan"/>
    <x v="1"/>
    <s v="Rs252.73"/>
    <s v="High"/>
    <x v="1"/>
    <n v="86"/>
    <s v="OK"/>
  </r>
  <r>
    <n v="1081"/>
    <s v="Rebecca Gould"/>
    <n v="72"/>
    <s v="female"/>
    <d v="2025-04-04T00:00:00"/>
    <d v="2024-12-17T00:00:00"/>
    <s v="Xavier Richardson"/>
    <x v="3"/>
    <s v="£397.0"/>
    <s v="High"/>
    <x v="2"/>
    <n v="108"/>
    <s v="OK"/>
  </r>
  <r>
    <n v="1065"/>
    <s v="Anthony Nash"/>
    <n v="32"/>
    <s v="male"/>
    <d v="2025-05-13T00:00:00"/>
    <d v="2024-08-21T00:00:00"/>
    <s v="Brianna Shea"/>
    <x v="0"/>
    <s v="Rs392.0"/>
    <s v="High"/>
    <x v="0"/>
    <n v="265"/>
    <s v="OK"/>
  </r>
  <r>
    <n v="1081"/>
    <s v="Kimberly Fitzpatrick"/>
    <n v="65"/>
    <s v="F"/>
    <d v="2025-10-07T00:00:00"/>
    <d v="2024-12-09T00:00:00"/>
    <s v="Mark Moore"/>
    <x v="1"/>
    <s v=""/>
    <s v="High"/>
    <x v="2"/>
    <n v="302"/>
    <s v="OK"/>
  </r>
  <r>
    <n v="1017"/>
    <s v="Elizabeth Duke"/>
    <n v="82"/>
    <s v="female"/>
    <d v="2026-01-15T00:00:00"/>
    <d v="2025-07-24T00:00:00"/>
    <s v="Michael Rogers"/>
    <x v="3"/>
    <s v="€156.61"/>
    <s v="High"/>
    <x v="5"/>
    <n v="175"/>
    <s v="OK"/>
  </r>
  <r>
    <n v="1001"/>
    <s v="Richard Griffin"/>
    <n v="61"/>
    <s v="male"/>
    <d v="2025-10-24T00:00:00"/>
    <d v="2025-08-21T00:00:00"/>
    <s v="Tina Gonzalez"/>
    <x v="1"/>
    <s v="Rs81.87"/>
    <s v="High"/>
    <x v="3"/>
    <n v="64"/>
    <s v="OK"/>
  </r>
  <r>
    <n v="1042"/>
    <s v="Erica Jimenez"/>
    <n v="75"/>
    <s v="male"/>
    <d v="2025-12-17T00:00:00"/>
    <d v="2024-09-22T00:00:00"/>
    <s v="Bethany Mcpherson"/>
    <x v="2"/>
    <s v="£438.16"/>
    <s v="High"/>
    <x v="5"/>
    <n v="451"/>
    <s v="Review"/>
  </r>
  <r>
    <n v="1015"/>
    <s v="Melissa Allen"/>
    <n v="35"/>
    <s v="female"/>
    <d v="2025-10-29T00:00:00"/>
    <d v="2025-06-13T00:00:00"/>
    <s v="Rodney Lopez"/>
    <x v="3"/>
    <s v="£447.77"/>
    <s v="High"/>
    <x v="5"/>
    <n v="138"/>
    <s v="OK"/>
  </r>
  <r>
    <n v="1098"/>
    <s v="Manuel Becker"/>
    <n v="66"/>
    <s v="F"/>
    <d v="2025-05-17T00:00:00"/>
    <d v="2024-08-29T00:00:00"/>
    <s v="Jacob Patel"/>
    <x v="2"/>
    <s v="$139.99"/>
    <s v="High"/>
    <x v="4"/>
    <n v="261"/>
    <s v="OK"/>
  </r>
  <r>
    <n v="1099"/>
    <s v="Erika Davis"/>
    <n v="42"/>
    <s v="male"/>
    <d v="2025-07-30T00:00:00"/>
    <d v="2025-03-09T00:00:00"/>
    <s v="Jamie Andrews"/>
    <x v="0"/>
    <s v="£393.1"/>
    <s v="High"/>
    <x v="0"/>
    <n v="143"/>
    <s v="OK"/>
  </r>
  <r>
    <n v="1032"/>
    <s v="Shannon Flores"/>
    <n v="19"/>
    <s v="0"/>
    <d v="2025-09-07T00:00:00"/>
    <d v="2024-05-30T00:00:00"/>
    <s v="Scott Washington"/>
    <x v="0"/>
    <s v="£248.78"/>
    <s v="High"/>
    <x v="0"/>
    <n v="465"/>
    <s v="Review"/>
  </r>
  <r>
    <n v="1034"/>
    <s v="Tara Garrison"/>
    <n v="41"/>
    <s v="M"/>
    <d v="2026-02-03T00:00:00"/>
    <d v="2025-10-04T00:00:00"/>
    <s v="Stacy Hartman"/>
    <x v="0"/>
    <s v="£453.09"/>
    <s v="High"/>
    <x v="3"/>
    <n v="122"/>
    <s v="OK"/>
  </r>
  <r>
    <n v="1005"/>
    <s v="Pamela Davis"/>
    <n v="27"/>
    <s v="female"/>
    <d v="2025-11-23T00:00:00"/>
    <d v="2024-04-12T00:00:00"/>
    <s v="Kevin Fields"/>
    <x v="3"/>
    <s v="€57.05"/>
    <s v="High"/>
    <x v="0"/>
    <n v="590"/>
    <s v="Review"/>
  </r>
  <r>
    <n v="1050"/>
    <s v="Sandra Terry"/>
    <n v="21"/>
    <s v="0"/>
    <d v="2025-07-15T00:00:00"/>
    <d v="2024-07-23T00:00:00"/>
    <s v="Debra Buchanan"/>
    <x v="2"/>
    <s v="£386.04"/>
    <s v="High"/>
    <x v="5"/>
    <n v="357"/>
    <s v="OK"/>
  </r>
  <r>
    <n v="1069"/>
    <s v="Steven Miller"/>
    <n v="20"/>
    <s v="1"/>
    <d v="2025-05-01T00:00:00"/>
    <d v="2025-04-28T00:00:00"/>
    <s v="Bob Shaw"/>
    <x v="1"/>
    <s v="£204.82"/>
    <s v="High"/>
    <x v="4"/>
    <n v="3"/>
    <s v="OK"/>
  </r>
  <r>
    <n v="1001"/>
    <s v="Haley King"/>
    <n v="84"/>
    <s v="male"/>
    <d v="2026-02-12T00:00:00"/>
    <d v="2024-06-21T00:00:00"/>
    <s v="Erin Carr"/>
    <x v="0"/>
    <s v="€239.93"/>
    <s v="High"/>
    <x v="2"/>
    <n v="601"/>
    <s v="Review"/>
  </r>
  <r>
    <n v="1066"/>
    <s v="Jonathan Wood"/>
    <n v="74"/>
    <s v="female"/>
    <d v="2025-05-23T00:00:00"/>
    <d v="2024-12-26T00:00:00"/>
    <s v="Jon Duarte"/>
    <x v="1"/>
    <s v="Rs486.07"/>
    <s v="High"/>
    <x v="1"/>
    <n v="148"/>
    <s v="OK"/>
  </r>
  <r>
    <n v="1018"/>
    <s v="Jessica Ali"/>
    <n v="70"/>
    <s v="female"/>
    <d v="2025-05-01T00:00:00"/>
    <d v="2024-09-17T00:00:00"/>
    <s v="Willie Rose"/>
    <x v="0"/>
    <s v="€73.35"/>
    <s v="High"/>
    <x v="0"/>
    <n v="226"/>
    <s v="OK"/>
  </r>
  <r>
    <n v="1033"/>
    <s v="Bridget Cooley"/>
    <n v="75"/>
    <s v="female"/>
    <d v="2026-02-22T00:00:00"/>
    <d v="2025-02-25T00:00:00"/>
    <s v="Ashley Edwards"/>
    <x v="3"/>
    <s v="£144.78"/>
    <s v="High"/>
    <x v="3"/>
    <n v="362"/>
    <s v="OK"/>
  </r>
  <r>
    <n v="1094"/>
    <s v="Brad Hill"/>
    <n v="87"/>
    <s v="male"/>
    <d v="2025-10-22T00:00:00"/>
    <d v="2025-02-28T00:00:00"/>
    <s v="Emily Joseph"/>
    <x v="0"/>
    <s v="€92.16"/>
    <s v="High"/>
    <x v="0"/>
    <n v="236"/>
    <s v="OK"/>
  </r>
  <r>
    <n v="1078"/>
    <s v="Nathan Murphy"/>
    <n v="52"/>
    <s v="female"/>
    <d v="2025-11-24T00:00:00"/>
    <d v="2024-05-10T00:00:00"/>
    <s v="Kerry Rowe"/>
    <x v="0"/>
    <s v="Rs164.9"/>
    <s v="High"/>
    <x v="4"/>
    <n v="563"/>
    <s v="Review"/>
  </r>
  <r>
    <n v="1072"/>
    <s v="Stephanie Caldwell MD"/>
    <n v="86"/>
    <s v="female"/>
    <d v="2025-07-04T00:00:00"/>
    <d v="2025-01-19T00:00:00"/>
    <s v="Darrell Mendez"/>
    <x v="1"/>
    <s v="$74.84"/>
    <s v="High"/>
    <x v="1"/>
    <n v="166"/>
    <s v="OK"/>
  </r>
  <r>
    <n v="1011"/>
    <s v="Henry Carlson"/>
    <n v="65"/>
    <s v="female"/>
    <d v="2025-09-23T00:00:00"/>
    <d v="2024-04-01T00:00:00"/>
    <s v="Benjamin Brown"/>
    <x v="1"/>
    <s v="Rs230.11"/>
    <s v="High"/>
    <x v="1"/>
    <n v="540"/>
    <s v="Review"/>
  </r>
  <r>
    <n v="1045"/>
    <s v="Michael Evans"/>
    <n v="65"/>
    <s v="1"/>
    <d v="2025-03-28T00:00:00"/>
    <d v="2025-01-04T00:00:00"/>
    <s v="Manuel Vargas"/>
    <x v="1"/>
    <s v="€304.67"/>
    <s v="High"/>
    <x v="2"/>
    <n v="83"/>
    <s v="OK"/>
  </r>
  <r>
    <n v="1095"/>
    <s v="Regina Wilson"/>
    <n v="73"/>
    <s v="male"/>
    <d v="2025-12-31T00:00:00"/>
    <d v="2024-12-14T00:00:00"/>
    <s v="Heidi Hamilton"/>
    <x v="2"/>
    <s v="£275.12"/>
    <s v="High"/>
    <x v="3"/>
    <n v="382"/>
    <s v="Review"/>
  </r>
  <r>
    <n v="1074"/>
    <s v="Jeremiah Cruz"/>
    <n v="64"/>
    <s v="M"/>
    <d v="2026-03-14T00:00:00"/>
    <d v="2026-02-10T00:00:00"/>
    <s v="Matthew Pratt"/>
    <x v="2"/>
    <s v="€177.85"/>
    <s v="High"/>
    <x v="1"/>
    <n v="32"/>
    <s v="OK"/>
  </r>
  <r>
    <n v="1080"/>
    <s v="Nicholas Vasquez"/>
    <n v="49"/>
    <s v="male"/>
    <d v="2025-10-30T00:00:00"/>
    <d v="2025-06-12T00:00:00"/>
    <s v="Jennifer Anderson"/>
    <x v="2"/>
    <s v="Rs410.8"/>
    <s v="High"/>
    <x v="4"/>
    <n v="140"/>
    <s v="OK"/>
  </r>
  <r>
    <n v="1069"/>
    <s v="Cheryl Smith"/>
    <n v="48"/>
    <s v="F"/>
    <d v="2025-10-01T00:00:00"/>
    <d v="2024-11-03T00:00:00"/>
    <s v="Sarah Harper DDS"/>
    <x v="0"/>
    <s v="$97.46"/>
    <s v="High"/>
    <x v="2"/>
    <n v="332"/>
    <s v="OK"/>
  </r>
  <r>
    <n v="1051"/>
    <s v="Matthew Moore"/>
    <n v="63"/>
    <s v="0"/>
    <d v="2026-03-02T00:00:00"/>
    <d v="2025-03-04T00:00:00"/>
    <s v="Erica Riley"/>
    <x v="3"/>
    <s v="Rs116.32"/>
    <s v="High"/>
    <x v="3"/>
    <n v="363"/>
    <s v="OK"/>
  </r>
  <r>
    <n v="1092"/>
    <s v="Katherine Wilson"/>
    <n v="44"/>
    <s v="0"/>
    <d v="2025-12-01T00:00:00"/>
    <d v="2024-07-31T00:00:00"/>
    <s v="Mitchell Sims"/>
    <x v="1"/>
    <s v="$203.3"/>
    <s v="High"/>
    <x v="1"/>
    <n v="488"/>
    <s v="Review"/>
  </r>
  <r>
    <n v="1093"/>
    <s v="James Miller"/>
    <n v="23"/>
    <s v="male"/>
    <d v="2025-09-09T00:00:00"/>
    <d v="2024-11-25T00:00:00"/>
    <s v="Dawn Collins"/>
    <x v="3"/>
    <s v="$139.43"/>
    <s v="High"/>
    <x v="5"/>
    <n v="288"/>
    <s v="OK"/>
  </r>
  <r>
    <n v="1075"/>
    <s v="John Rich"/>
    <n v="48"/>
    <s v="0"/>
    <d v="2025-06-20T00:00:00"/>
    <d v="2024-09-05T00:00:00"/>
    <s v="Jennifer Johnston"/>
    <x v="3"/>
    <s v=""/>
    <s v="High"/>
    <x v="0"/>
    <n v="288"/>
    <s v="OK"/>
  </r>
  <r>
    <n v="1055"/>
    <s v="Kathleen Oneal"/>
    <n v="71"/>
    <s v="male"/>
    <d v="2025-05-17T00:00:00"/>
    <d v="2024-07-28T00:00:00"/>
    <s v="Jacob Andrade"/>
    <x v="1"/>
    <s v="$74.36"/>
    <s v="High"/>
    <x v="1"/>
    <n v="293"/>
    <s v="OK"/>
  </r>
  <r>
    <n v="1033"/>
    <s v="Courtney Hunt"/>
    <n v="74"/>
    <s v="0"/>
    <d v="2025-08-17T00:00:00"/>
    <d v="2024-10-21T00:00:00"/>
    <s v="Mrs. Kayla Peterson"/>
    <x v="3"/>
    <s v="€303.91"/>
    <s v="High"/>
    <x v="5"/>
    <n v="300"/>
    <s v="OK"/>
  </r>
  <r>
    <n v="1074"/>
    <s v="Steven Wilson"/>
    <n v="48"/>
    <s v="0"/>
    <d v="2025-04-08T00:00:00"/>
    <d v="2025-02-03T00:00:00"/>
    <s v="Hannah Herrera"/>
    <x v="0"/>
    <s v="$77.48"/>
    <s v="High"/>
    <x v="5"/>
    <n v="64"/>
    <s v="OK"/>
  </r>
  <r>
    <n v="1039"/>
    <s v="Meghan Sanchez"/>
    <n v="58"/>
    <s v="male"/>
    <d v="2025-04-06T00:00:00"/>
    <d v="2024-08-05T00:00:00"/>
    <s v="Judith Watson"/>
    <x v="2"/>
    <s v="€282.36"/>
    <s v="High"/>
    <x v="0"/>
    <n v="244"/>
    <s v="OK"/>
  </r>
  <r>
    <n v="1050"/>
    <s v="Amanda Johnston"/>
    <n v="46"/>
    <s v="female"/>
    <d v="2025-04-16T00:00:00"/>
    <d v="2024-10-24T00:00:00"/>
    <s v="Angela Burton"/>
    <x v="0"/>
    <s v=""/>
    <s v="High"/>
    <x v="5"/>
    <n v="174"/>
    <s v="OK"/>
  </r>
  <r>
    <n v="1056"/>
    <s v="Richard Jones"/>
    <n v="71"/>
    <s v="female"/>
    <d v="2025-11-23T00:00:00"/>
    <d v="2025-08-16T00:00:00"/>
    <s v="Stephen Cooper"/>
    <x v="3"/>
    <s v="£243.46"/>
    <s v="High"/>
    <x v="5"/>
    <n v="99"/>
    <s v="OK"/>
  </r>
  <r>
    <n v="1025"/>
    <s v="Lindsay Harris"/>
    <n v="28"/>
    <s v="1"/>
    <d v="2025-10-26T00:00:00"/>
    <d v="2025-02-22T00:00:00"/>
    <s v="Ryan Hughes"/>
    <x v="1"/>
    <s v="€444.38"/>
    <s v="High"/>
    <x v="3"/>
    <n v="246"/>
    <s v="OK"/>
  </r>
  <r>
    <n v="1037"/>
    <s v="Kathy Banks"/>
    <n v="39"/>
    <s v="M"/>
    <d v="2025-11-25T00:00:00"/>
    <d v="2025-07-26T00:00:00"/>
    <s v="Anna Yoder"/>
    <x v="3"/>
    <s v="Rs319.04"/>
    <s v="High"/>
    <x v="1"/>
    <n v="122"/>
    <s v="OK"/>
  </r>
  <r>
    <n v="1010"/>
    <s v="Beth Murphy"/>
    <n v="71"/>
    <s v="female"/>
    <d v="2025-06-30T00:00:00"/>
    <d v="2024-08-13T00:00:00"/>
    <s v="Adam Davis"/>
    <x v="1"/>
    <s v="£330.71"/>
    <s v="High"/>
    <x v="1"/>
    <n v="321"/>
    <s v="OK"/>
  </r>
  <r>
    <n v="1039"/>
    <s v="Barbara Johnston"/>
    <n v="46"/>
    <s v="F"/>
    <d v="2025-07-29T00:00:00"/>
    <d v="2025-01-12T00:00:00"/>
    <s v="April Hood"/>
    <x v="0"/>
    <s v="Rs160.18"/>
    <s v="High"/>
    <x v="0"/>
    <n v="198"/>
    <s v="OK"/>
  </r>
  <r>
    <n v="1040"/>
    <s v="Patrick Perez"/>
    <n v="62"/>
    <s v="male"/>
    <d v="2026-01-21T00:00:00"/>
    <d v="2024-12-13T00:00:00"/>
    <s v="Jesse Edwards"/>
    <x v="2"/>
    <s v="$290.14"/>
    <s v="High"/>
    <x v="3"/>
    <n v="404"/>
    <s v="Review"/>
  </r>
  <r>
    <n v="1100"/>
    <s v="Sonia Moss"/>
    <n v="52"/>
    <s v="female"/>
    <d v="2025-11-06T00:00:00"/>
    <d v="2024-09-21T00:00:00"/>
    <s v="Joy Armstrong"/>
    <x v="2"/>
    <s v="€244.09"/>
    <s v="High"/>
    <x v="0"/>
    <n v="411"/>
    <s v="Review"/>
  </r>
  <r>
    <n v="1071"/>
    <s v="Dana Mcclure"/>
    <n v="41"/>
    <s v="female"/>
    <d v="2026-03-02T00:00:00"/>
    <d v="2025-09-27T00:00:00"/>
    <s v="Mark Norton"/>
    <x v="3"/>
    <s v="£150.5"/>
    <s v="High"/>
    <x v="4"/>
    <n v="156"/>
    <s v="OK"/>
  </r>
  <r>
    <n v="1097"/>
    <s v="Ryan Williams"/>
    <n v="88"/>
    <s v="F"/>
    <d v="2025-12-27T00:00:00"/>
    <d v="2024-12-25T00:00:00"/>
    <s v="Veronica Fry"/>
    <x v="3"/>
    <s v="$398.47"/>
    <s v="High"/>
    <x v="1"/>
    <n v="367"/>
    <s v="Review"/>
  </r>
  <r>
    <n v="1047"/>
    <s v="Amy Baird"/>
    <n v="51"/>
    <s v="1"/>
    <d v="2025-11-01T00:00:00"/>
    <d v="2025-09-28T00:00:00"/>
    <s v="Diana Jones"/>
    <x v="2"/>
    <s v="£262.16"/>
    <s v="High"/>
    <x v="0"/>
    <n v="34"/>
    <s v="OK"/>
  </r>
  <r>
    <n v="1041"/>
    <s v="Frank Castaneda"/>
    <n v="70"/>
    <s v="1"/>
    <d v="2025-07-26T00:00:00"/>
    <d v="2024-09-02T00:00:00"/>
    <s v="Christopher Chen"/>
    <x v="2"/>
    <s v=""/>
    <s v="High"/>
    <x v="5"/>
    <n v="327"/>
    <s v="OK"/>
  </r>
  <r>
    <n v="1067"/>
    <s v="Benjamin Ramirez"/>
    <n v="57"/>
    <s v="female"/>
    <d v="2025-12-22T00:00:00"/>
    <d v="2025-01-06T00:00:00"/>
    <s v="Wesley Johnson"/>
    <x v="2"/>
    <s v="$142.33"/>
    <s v="High"/>
    <x v="4"/>
    <n v="350"/>
    <s v="OK"/>
  </r>
  <r>
    <n v="1064"/>
    <s v="Matthew Buckley"/>
    <n v="57"/>
    <s v="male"/>
    <d v="2025-09-07T00:00:00"/>
    <d v="2024-10-04T00:00:00"/>
    <s v="Ryan Collins"/>
    <x v="3"/>
    <s v="Rs476.81"/>
    <s v="High"/>
    <x v="5"/>
    <n v="338"/>
    <s v="OK"/>
  </r>
  <r>
    <n v="1008"/>
    <s v="Kimberly Goodman"/>
    <n v="22"/>
    <s v="female"/>
    <d v="2025-09-12T00:00:00"/>
    <d v="2024-09-20T00:00:00"/>
    <s v="Luis Kim"/>
    <x v="3"/>
    <s v="€351.04"/>
    <s v="High"/>
    <x v="0"/>
    <n v="357"/>
    <s v="OK"/>
  </r>
  <r>
    <n v="1097"/>
    <s v="Brandi Osborn"/>
    <n v="42"/>
    <s v="female"/>
    <d v="2026-02-01T00:00:00"/>
    <d v="2025-12-31T00:00:00"/>
    <s v="Daisy Rodriguez"/>
    <x v="2"/>
    <s v="£73.97"/>
    <s v="High"/>
    <x v="2"/>
    <n v="32"/>
    <s v="OK"/>
  </r>
  <r>
    <n v="1053"/>
    <s v="Christopher Lopez"/>
    <n v="39"/>
    <s v="1"/>
    <d v="2026-01-15T00:00:00"/>
    <d v="2025-11-11T00:00:00"/>
    <s v="Caleb Kennedy"/>
    <x v="3"/>
    <s v="$295.71"/>
    <s v="High"/>
    <x v="4"/>
    <n v="65"/>
    <s v="OK"/>
  </r>
  <r>
    <n v="1035"/>
    <s v="Ronnie Roach"/>
    <n v="46"/>
    <s v="F"/>
    <d v="2025-08-13T00:00:00"/>
    <d v="2025-05-25T00:00:00"/>
    <s v="Jason Houston"/>
    <x v="0"/>
    <s v="Rs167.5"/>
    <s v="High"/>
    <x v="0"/>
    <n v="80"/>
    <s v="OK"/>
  </r>
  <r>
    <n v="1074"/>
    <s v="Gary Taylor"/>
    <n v="87"/>
    <s v=""/>
    <d v="2025-05-19T00:00:00"/>
    <d v="2024-06-12T00:00:00"/>
    <s v="Lauren Medina"/>
    <x v="3"/>
    <s v="£321.5"/>
    <s v="High"/>
    <x v="1"/>
    <n v="341"/>
    <s v="OK"/>
  </r>
  <r>
    <n v="1015"/>
    <s v="Rodney Gonzalez"/>
    <n v="21"/>
    <s v="female"/>
    <d v="2025-07-04T00:00:00"/>
    <d v="2025-02-07T00:00:00"/>
    <s v="Allison Ramos"/>
    <x v="0"/>
    <s v="$168.33"/>
    <s v="High"/>
    <x v="4"/>
    <n v="147"/>
    <s v="OK"/>
  </r>
  <r>
    <n v="1071"/>
    <s v="Patrick Roach"/>
    <n v="88"/>
    <s v="F"/>
    <d v="2025-10-31T00:00:00"/>
    <d v="2025-06-23T00:00:00"/>
    <s v="Karen Duke"/>
    <x v="0"/>
    <s v="€411.75"/>
    <s v="High"/>
    <x v="3"/>
    <n v="130"/>
    <s v="OK"/>
  </r>
  <r>
    <n v="1044"/>
    <s v="Sandra Rojas"/>
    <n v="83"/>
    <s v="1"/>
    <d v="2025-06-16T00:00:00"/>
    <d v="2025-03-07T00:00:00"/>
    <s v="Stephanie Bryant"/>
    <x v="0"/>
    <s v=""/>
    <s v="High"/>
    <x v="2"/>
    <n v="101"/>
    <s v="OK"/>
  </r>
  <r>
    <n v="1038"/>
    <s v="Donna Stone"/>
    <n v="29"/>
    <s v="F"/>
    <d v="2026-02-20T00:00:00"/>
    <d v="2024-08-22T00:00:00"/>
    <s v="Daniel Bender"/>
    <x v="2"/>
    <s v="£462.15"/>
    <s v="High"/>
    <x v="5"/>
    <n v="547"/>
    <s v="Review"/>
  </r>
  <r>
    <n v="1001"/>
    <s v="Erik Davis"/>
    <n v="30"/>
    <s v="male"/>
    <d v="2025-05-30T00:00:00"/>
    <d v="2024-12-05T00:00:00"/>
    <s v="Amanda White"/>
    <x v="2"/>
    <s v=""/>
    <s v="High"/>
    <x v="3"/>
    <n v="176"/>
    <s v="OK"/>
  </r>
  <r>
    <n v="1056"/>
    <s v="Brian Patel"/>
    <n v="33"/>
    <s v=""/>
    <d v="2025-10-16T00:00:00"/>
    <d v="2024-09-13T00:00:00"/>
    <s v="Tracy Harris"/>
    <x v="1"/>
    <s v="€124.69"/>
    <s v="High"/>
    <x v="2"/>
    <n v="398"/>
    <s v="Review"/>
  </r>
  <r>
    <n v="1008"/>
    <s v="George Houston"/>
    <n v="71"/>
    <s v=""/>
    <d v="2025-09-06T00:00:00"/>
    <d v="2024-05-21T00:00:00"/>
    <s v="Brian Vincent"/>
    <x v="2"/>
    <s v="€129.38"/>
    <s v="High"/>
    <x v="5"/>
    <n v="473"/>
    <s v="Review"/>
  </r>
  <r>
    <n v="1099"/>
    <s v="Mrs. Katherine Huber PhD"/>
    <n v="74"/>
    <s v="male"/>
    <d v="2025-05-09T00:00:00"/>
    <d v="2024-11-12T00:00:00"/>
    <s v="Kathryn Young"/>
    <x v="0"/>
    <s v="$488.54"/>
    <s v="High"/>
    <x v="4"/>
    <n v="178"/>
    <s v="OK"/>
  </r>
  <r>
    <n v="1060"/>
    <s v="Edward Russell"/>
    <n v="26"/>
    <s v="male"/>
    <d v="2025-10-17T00:00:00"/>
    <d v="2024-12-12T00:00:00"/>
    <s v="Connor Brown"/>
    <x v="1"/>
    <s v="£93.45"/>
    <s v="High"/>
    <x v="2"/>
    <n v="309"/>
    <s v="OK"/>
  </r>
  <r>
    <n v="1080"/>
    <s v="Thomas Fleming"/>
    <n v="18"/>
    <s v="male"/>
    <d v="2025-06-04T00:00:00"/>
    <d v="2024-12-14T00:00:00"/>
    <s v="Kimberly Mcdonald"/>
    <x v="2"/>
    <s v="€73.45"/>
    <s v="High"/>
    <x v="2"/>
    <n v="172"/>
    <s v="OK"/>
  </r>
  <r>
    <n v="1056"/>
    <s v="Savannah Butler"/>
    <n v="26"/>
    <s v="0"/>
    <d v="2025-11-26T00:00:00"/>
    <d v="2025-04-17T00:00:00"/>
    <s v="James Nguyen"/>
    <x v="2"/>
    <s v="$340.47"/>
    <s v="High"/>
    <x v="2"/>
    <n v="223"/>
    <s v="OK"/>
  </r>
  <r>
    <n v="1077"/>
    <s v="David Wilson"/>
    <n v="78"/>
    <s v="male"/>
    <d v="2026-01-09T00:00:00"/>
    <d v="2025-05-07T00:00:00"/>
    <s v="Matthew Wilson"/>
    <x v="0"/>
    <s v="£414.94"/>
    <s v="High"/>
    <x v="5"/>
    <n v="247"/>
    <s v="OK"/>
  </r>
  <r>
    <n v="1036"/>
    <s v="Jacob Price"/>
    <n v="25"/>
    <s v="male"/>
    <d v="2025-06-14T00:00:00"/>
    <d v="2024-04-27T00:00:00"/>
    <s v="Kimberly Rangel"/>
    <x v="2"/>
    <s v="€238.05"/>
    <s v="High"/>
    <x v="3"/>
    <n v="413"/>
    <s v="Review"/>
  </r>
  <r>
    <n v="1050"/>
    <s v="Brian Davis"/>
    <n v="41"/>
    <s v="female"/>
    <d v="2026-02-07T00:00:00"/>
    <d v="2025-05-27T00:00:00"/>
    <s v="Brian Mitchell"/>
    <x v="1"/>
    <s v="Rs63.62"/>
    <s v="High"/>
    <x v="3"/>
    <n v="256"/>
    <s v="OK"/>
  </r>
  <r>
    <n v="1003"/>
    <s v="Kendra Jones"/>
    <n v="85"/>
    <s v="female"/>
    <d v="2025-07-30T00:00:00"/>
    <d v="2024-10-14T00:00:00"/>
    <s v="Karen Grimes"/>
    <x v="0"/>
    <s v="$101.59"/>
    <s v="High"/>
    <x v="0"/>
    <n v="289"/>
    <s v="OK"/>
  </r>
  <r>
    <n v="1042"/>
    <s v="Anthony Medina"/>
    <n v="60"/>
    <s v="female"/>
    <d v="2025-03-28T00:00:00"/>
    <d v="2024-11-14T00:00:00"/>
    <s v="Richard Walker"/>
    <x v="1"/>
    <s v="$498.48"/>
    <s v="High"/>
    <x v="3"/>
    <n v="134"/>
    <s v="OK"/>
  </r>
  <r>
    <n v="1019"/>
    <s v="Desiree Wilkins"/>
    <n v="34"/>
    <s v="female"/>
    <d v="2026-02-28T00:00:00"/>
    <d v="2025-07-31T00:00:00"/>
    <s v="Jamie Ford"/>
    <x v="3"/>
    <s v="$305.84"/>
    <s v="High"/>
    <x v="3"/>
    <n v="212"/>
    <s v="OK"/>
  </r>
  <r>
    <n v="1073"/>
    <s v="Ashley Cunningham"/>
    <n v="32"/>
    <s v="F"/>
    <d v="2026-01-22T00:00:00"/>
    <d v="2024-11-29T00:00:00"/>
    <s v="Sarah Montgomery"/>
    <x v="0"/>
    <s v="Rs160.05"/>
    <s v="High"/>
    <x v="1"/>
    <n v="419"/>
    <s v="Review"/>
  </r>
  <r>
    <n v="1027"/>
    <s v="Abigail Townsend"/>
    <n v="54"/>
    <s v="F"/>
    <d v="2025-12-10T00:00:00"/>
    <d v="2025-03-08T00:00:00"/>
    <s v="Allison Salazar"/>
    <x v="1"/>
    <s v="$406.61"/>
    <s v="High"/>
    <x v="1"/>
    <n v="277"/>
    <s v="OK"/>
  </r>
  <r>
    <n v="1004"/>
    <s v="Diana Collins"/>
    <n v="47"/>
    <s v="female"/>
    <d v="2025-11-25T00:00:00"/>
    <d v="2024-10-06T00:00:00"/>
    <s v="Glenn Bond"/>
    <x v="0"/>
    <s v="£359.32"/>
    <s v="High"/>
    <x v="5"/>
    <n v="415"/>
    <s v="Review"/>
  </r>
  <r>
    <n v="1077"/>
    <s v="William Roberts Jr."/>
    <n v="21"/>
    <s v="F"/>
    <d v="2025-08-17T00:00:00"/>
    <d v="2024-07-02T00:00:00"/>
    <s v="Savannah Beltran"/>
    <x v="1"/>
    <s v="$315.17"/>
    <s v="High"/>
    <x v="2"/>
    <n v="411"/>
    <s v="Review"/>
  </r>
  <r>
    <n v="1085"/>
    <s v="Sean Bailey"/>
    <n v="85"/>
    <s v="female"/>
    <d v="2025-09-06T00:00:00"/>
    <d v="2025-02-27T00:00:00"/>
    <s v="Erika Turner"/>
    <x v="2"/>
    <s v="£319.92"/>
    <s v="High"/>
    <x v="1"/>
    <n v="191"/>
    <s v="OK"/>
  </r>
  <r>
    <n v="1025"/>
    <s v="Adrian Vincent"/>
    <n v="42"/>
    <s v=""/>
    <d v="2025-09-21T00:00:00"/>
    <d v="2024-12-05T00:00:00"/>
    <s v="William Coleman MD"/>
    <x v="1"/>
    <s v="£352.01"/>
    <s v="High"/>
    <x v="2"/>
    <n v="290"/>
    <s v="OK"/>
  </r>
  <r>
    <n v="1029"/>
    <s v="John Walsh"/>
    <n v="63"/>
    <s v="1"/>
    <d v="2025-08-13T00:00:00"/>
    <d v="2024-09-03T00:00:00"/>
    <s v="Wanda Cox"/>
    <x v="1"/>
    <s v="£88.56"/>
    <s v="High"/>
    <x v="2"/>
    <n v="344"/>
    <s v="OK"/>
  </r>
  <r>
    <n v="1052"/>
    <s v="Christopher Johnson"/>
    <n v="26"/>
    <s v="0"/>
    <d v="2025-10-31T00:00:00"/>
    <d v="2025-03-22T00:00:00"/>
    <s v="Susan Stanton"/>
    <x v="2"/>
    <s v="$461.18"/>
    <s v="High"/>
    <x v="1"/>
    <n v="223"/>
    <s v="OK"/>
  </r>
  <r>
    <n v="1062"/>
    <s v="Roger Holmes"/>
    <n v="85"/>
    <s v="female"/>
    <d v="2026-02-04T00:00:00"/>
    <d v="2024-12-22T00:00:00"/>
    <s v="Paula Stone"/>
    <x v="0"/>
    <s v="Rs206.57"/>
    <s v="High"/>
    <x v="0"/>
    <n v="409"/>
    <s v="Review"/>
  </r>
  <r>
    <n v="1014"/>
    <s v="Michael Hamilton"/>
    <n v="29"/>
    <s v="female"/>
    <d v="2025-09-03T00:00:00"/>
    <d v="2024-07-27T00:00:00"/>
    <s v="Angie Smith"/>
    <x v="3"/>
    <s v="£107.34"/>
    <s v="High"/>
    <x v="4"/>
    <n v="403"/>
    <s v="Review"/>
  </r>
  <r>
    <n v="1056"/>
    <s v="Courtney Gonzales"/>
    <n v="84"/>
    <s v="female"/>
    <d v="2025-05-26T00:00:00"/>
    <d v="2024-10-31T00:00:00"/>
    <s v="Kayla Norris"/>
    <x v="0"/>
    <s v="$385.01"/>
    <s v="High"/>
    <x v="2"/>
    <n v="207"/>
    <s v="OK"/>
  </r>
  <r>
    <n v="1073"/>
    <s v="Leslie Medina"/>
    <n v="18"/>
    <s v="female"/>
    <d v="2025-08-17T00:00:00"/>
    <d v="2025-06-25T00:00:00"/>
    <s v="Matthew Morse"/>
    <x v="1"/>
    <s v="£490.93"/>
    <s v="High"/>
    <x v="1"/>
    <n v="53"/>
    <s v="OK"/>
  </r>
  <r>
    <n v="1009"/>
    <s v="Frank Fields"/>
    <n v="30"/>
    <s v="female"/>
    <d v="2025-06-27T00:00:00"/>
    <d v="2025-05-21T00:00:00"/>
    <s v="Heather Diaz"/>
    <x v="3"/>
    <s v="$168.86"/>
    <s v="High"/>
    <x v="3"/>
    <n v="37"/>
    <s v="OK"/>
  </r>
  <r>
    <n v="1029"/>
    <s v="Darren Douglas"/>
    <n v="23"/>
    <s v="F"/>
    <d v="2026-02-01T00:00:00"/>
    <d v="2025-09-04T00:00:00"/>
    <s v="Andrew Gordon"/>
    <x v="1"/>
    <s v="$463.06"/>
    <s v="High"/>
    <x v="3"/>
    <n v="150"/>
    <s v="OK"/>
  </r>
  <r>
    <n v="1047"/>
    <s v="Jerry Jones"/>
    <n v="66"/>
    <s v="male"/>
    <d v="2025-08-21T00:00:00"/>
    <d v="2024-06-05T00:00:00"/>
    <s v="Ashley Gomez"/>
    <x v="3"/>
    <s v="$261.87"/>
    <s v="High"/>
    <x v="5"/>
    <n v="442"/>
    <s v="Review"/>
  </r>
  <r>
    <n v="1091"/>
    <s v="Sheila Barrett"/>
    <n v="25"/>
    <s v="M"/>
    <d v="2025-11-19T00:00:00"/>
    <d v="2025-11-15T00:00:00"/>
    <s v="John Wallace"/>
    <x v="0"/>
    <s v="Rs170.53"/>
    <s v="High"/>
    <x v="4"/>
    <n v="4"/>
    <s v="OK"/>
  </r>
  <r>
    <n v="1026"/>
    <s v="Kim Morris"/>
    <n v="56"/>
    <s v="F"/>
    <d v="2025-12-20T00:00:00"/>
    <d v="2025-06-24T00:00:00"/>
    <s v="Michael Morris"/>
    <x v="3"/>
    <s v="$197.66"/>
    <s v="High"/>
    <x v="4"/>
    <n v="179"/>
    <s v="OK"/>
  </r>
  <r>
    <n v="1075"/>
    <s v="Sarah Rivas"/>
    <n v="85"/>
    <s v="0"/>
    <d v="2026-03-09T00:00:00"/>
    <d v="2025-03-18T00:00:00"/>
    <s v="Scott Vega"/>
    <x v="2"/>
    <s v="£454.23"/>
    <s v="High"/>
    <x v="2"/>
    <n v="356"/>
    <s v="OK"/>
  </r>
  <r>
    <n v="1089"/>
    <s v="Adam Lane"/>
    <n v="76"/>
    <s v="female"/>
    <d v="2026-03-21T00:00:00"/>
    <d v="2024-09-20T00:00:00"/>
    <s v="Lynn Dorsey"/>
    <x v="2"/>
    <s v="€104.3"/>
    <s v="High"/>
    <x v="1"/>
    <n v="547"/>
    <s v="Review"/>
  </r>
  <r>
    <n v="1031"/>
    <s v="Ronald Taylor"/>
    <n v="43"/>
    <s v="M"/>
    <d v="2025-08-27T00:00:00"/>
    <d v="2024-05-11T00:00:00"/>
    <s v="Vanessa Jackson"/>
    <x v="2"/>
    <s v="$263.1"/>
    <s v="High"/>
    <x v="0"/>
    <n v="473"/>
    <s v="Review"/>
  </r>
  <r>
    <n v="1082"/>
    <s v="Angela Smith"/>
    <n v="51"/>
    <s v="male"/>
    <d v="2025-09-02T00:00:00"/>
    <d v="2025-08-15T00:00:00"/>
    <s v="Nicholas Jones"/>
    <x v="1"/>
    <s v="£229.44"/>
    <s v="High"/>
    <x v="4"/>
    <n v="18"/>
    <s v="OK"/>
  </r>
  <r>
    <n v="1022"/>
    <s v="Chad Tyler"/>
    <n v="89"/>
    <s v="0"/>
    <d v="2026-02-02T00:00:00"/>
    <d v="2025-01-08T00:00:00"/>
    <s v="Tiffany Sullivan"/>
    <x v="2"/>
    <s v="£424.53"/>
    <s v="High"/>
    <x v="0"/>
    <n v="390"/>
    <s v="Review"/>
  </r>
  <r>
    <n v="1063"/>
    <s v="Mary Manning"/>
    <n v="48"/>
    <s v="F"/>
    <d v="2026-01-23T00:00:00"/>
    <d v="2025-10-13T00:00:00"/>
    <s v="William Harris"/>
    <x v="1"/>
    <s v="$248.84"/>
    <s v="High"/>
    <x v="2"/>
    <n v="102"/>
    <s v="OK"/>
  </r>
  <r>
    <n v="1009"/>
    <s v="Samantha Hoffman"/>
    <n v="37"/>
    <s v="M"/>
    <d v="2025-07-23T00:00:00"/>
    <d v="2025-03-14T00:00:00"/>
    <s v="Julie Smith"/>
    <x v="0"/>
    <s v="$89.38"/>
    <s v="High"/>
    <x v="2"/>
    <n v="131"/>
    <s v="OK"/>
  </r>
  <r>
    <n v="1079"/>
    <s v="Shawn Juarez"/>
    <n v="64"/>
    <s v="1"/>
    <d v="2025-08-02T00:00:00"/>
    <d v="2025-05-31T00:00:00"/>
    <s v="Patrick Morrison"/>
    <x v="2"/>
    <s v="€110.8"/>
    <s v="High"/>
    <x v="3"/>
    <n v="63"/>
    <s v="OK"/>
  </r>
  <r>
    <n v="1001"/>
    <s v="Dave Summers"/>
    <n v="25"/>
    <s v="F"/>
    <d v="2026-02-09T00:00:00"/>
    <d v="2025-01-19T00:00:00"/>
    <s v="Traci Hopkins"/>
    <x v="1"/>
    <s v="$217.51"/>
    <s v="High"/>
    <x v="0"/>
    <n v="386"/>
    <s v="Review"/>
  </r>
  <r>
    <n v="1022"/>
    <s v="Luke Brady"/>
    <n v="78"/>
    <s v="male"/>
    <d v="2025-10-09T00:00:00"/>
    <d v="2025-06-24T00:00:00"/>
    <s v="Adam Hall"/>
    <x v="3"/>
    <s v="€427.98"/>
    <s v="High"/>
    <x v="1"/>
    <n v="107"/>
    <s v="OK"/>
  </r>
  <r>
    <n v="1008"/>
    <s v="Christian Guerrero"/>
    <n v="77"/>
    <s v="female"/>
    <d v="2026-01-07T00:00:00"/>
    <d v="2024-06-29T00:00:00"/>
    <s v="Jennifer Perez"/>
    <x v="0"/>
    <s v="$298.89"/>
    <s v="High"/>
    <x v="1"/>
    <n v="557"/>
    <s v="Review"/>
  </r>
  <r>
    <n v="1100"/>
    <s v="Terrence Long"/>
    <n v="46"/>
    <s v="male"/>
    <d v="2026-02-01T00:00:00"/>
    <d v="2025-06-27T00:00:00"/>
    <s v="Natalie Rodriguez"/>
    <x v="0"/>
    <s v="£182.71"/>
    <s v="High"/>
    <x v="1"/>
    <n v="219"/>
    <s v="OK"/>
  </r>
  <r>
    <n v="1074"/>
    <s v="Victor Everett"/>
    <n v="90"/>
    <s v="F"/>
    <d v="2025-11-05T00:00:00"/>
    <d v="2024-06-06T00:00:00"/>
    <s v="Jacob Diaz"/>
    <x v="3"/>
    <s v="€350.12"/>
    <s v="High"/>
    <x v="5"/>
    <n v="517"/>
    <s v="Review"/>
  </r>
  <r>
    <n v="1037"/>
    <s v="Amanda Stevenson"/>
    <n v="26"/>
    <s v="1"/>
    <d v="2026-01-17T00:00:00"/>
    <d v="2024-06-28T00:00:00"/>
    <s v="Tyler Cunningham"/>
    <x v="3"/>
    <s v="€158.91"/>
    <s v="High"/>
    <x v="5"/>
    <n v="568"/>
    <s v="Review"/>
  </r>
  <r>
    <n v="1094"/>
    <s v="Vanessa Perkins"/>
    <n v="22"/>
    <s v="F"/>
    <d v="2026-03-16T00:00:00"/>
    <d v="2024-11-26T00:00:00"/>
    <s v="Megan Smith"/>
    <x v="1"/>
    <s v="£457.94"/>
    <s v="High"/>
    <x v="0"/>
    <n v="475"/>
    <s v="Review"/>
  </r>
  <r>
    <n v="1066"/>
    <s v="Michael Davis"/>
    <n v="36"/>
    <s v="0"/>
    <d v="2026-01-11T00:00:00"/>
    <d v="2025-09-30T00:00:00"/>
    <s v="Karen Griffin"/>
    <x v="0"/>
    <s v="€130.9"/>
    <s v="High"/>
    <x v="4"/>
    <n v="103"/>
    <s v="OK"/>
  </r>
  <r>
    <n v="1084"/>
    <s v="Amy Pierce"/>
    <n v="83"/>
    <s v="female"/>
    <d v="2025-07-27T00:00:00"/>
    <d v="2025-03-28T00:00:00"/>
    <s v="Ian Castillo"/>
    <x v="1"/>
    <s v="$318.44"/>
    <s v="High"/>
    <x v="2"/>
    <n v="121"/>
    <s v="OK"/>
  </r>
  <r>
    <n v="1008"/>
    <s v="Dakota Kelly"/>
    <n v="44"/>
    <s v="F"/>
    <d v="2025-10-07T00:00:00"/>
    <d v="2024-11-17T00:00:00"/>
    <s v="Andre Jones"/>
    <x v="2"/>
    <s v="Rs291.99"/>
    <s v="High"/>
    <x v="5"/>
    <n v="324"/>
    <s v="OK"/>
  </r>
  <r>
    <n v="1039"/>
    <s v="Erin Williams"/>
    <n v="69"/>
    <s v="female"/>
    <d v="2026-02-04T00:00:00"/>
    <d v="2024-10-17T00:00:00"/>
    <s v="Sean Hernandez"/>
    <x v="0"/>
    <s v="$161.56"/>
    <s v="High"/>
    <x v="1"/>
    <n v="475"/>
    <s v="Review"/>
  </r>
  <r>
    <n v="1092"/>
    <s v="Tiffany Cooper"/>
    <n v="58"/>
    <s v="M"/>
    <d v="2025-07-05T00:00:00"/>
    <d v="2025-05-16T00:00:00"/>
    <s v="Katrina Jones"/>
    <x v="3"/>
    <s v="€79.8"/>
    <s v="High"/>
    <x v="1"/>
    <n v="50"/>
    <s v="OK"/>
  </r>
  <r>
    <n v="1023"/>
    <s v="Jerry White"/>
    <n v="76"/>
    <s v="1"/>
    <d v="2025-08-19T00:00:00"/>
    <d v="2025-08-15T00:00:00"/>
    <s v="Steven Scott"/>
    <x v="3"/>
    <s v="Rs151.58"/>
    <s v="High"/>
    <x v="0"/>
    <n v="4"/>
    <s v="OK"/>
  </r>
  <r>
    <n v="1004"/>
    <s v="Joseph Pace"/>
    <n v="67"/>
    <s v="1"/>
    <d v="2025-11-20T00:00:00"/>
    <d v="2025-08-02T00:00:00"/>
    <s v="Lydia Baker"/>
    <x v="2"/>
    <s v="Rs338.13"/>
    <s v="High"/>
    <x v="3"/>
    <n v="110"/>
    <s v="OK"/>
  </r>
  <r>
    <n v="1056"/>
    <s v="Jean Kramer"/>
    <n v="30"/>
    <s v=""/>
    <d v="2025-05-29T00:00:00"/>
    <d v="2024-05-31T00:00:00"/>
    <s v="Donald Clark"/>
    <x v="1"/>
    <s v="€441.92"/>
    <s v="High"/>
    <x v="3"/>
    <n v="363"/>
    <s v="OK"/>
  </r>
  <r>
    <n v="1077"/>
    <s v="David Rose"/>
    <n v="78"/>
    <s v="M"/>
    <d v="2025-11-09T00:00:00"/>
    <d v="2025-07-14T00:00:00"/>
    <s v="Dana Ewing"/>
    <x v="1"/>
    <s v="Rs114.73"/>
    <s v="High"/>
    <x v="3"/>
    <n v="118"/>
    <s v="OK"/>
  </r>
  <r>
    <n v="1081"/>
    <s v="Christopher Lopez"/>
    <n v="45"/>
    <s v="M"/>
    <d v="2026-03-21T00:00:00"/>
    <d v="2024-05-04T00:00:00"/>
    <s v="Kevin Pearson"/>
    <x v="3"/>
    <s v="£405.59"/>
    <s v="High"/>
    <x v="1"/>
    <n v="686"/>
    <s v="Review"/>
  </r>
  <r>
    <n v="1078"/>
    <s v="James Gibbs"/>
    <n v="25"/>
    <s v="female"/>
    <d v="2025-11-16T00:00:00"/>
    <d v="2024-09-22T00:00:00"/>
    <s v="Lisa Norris"/>
    <x v="0"/>
    <s v="$368.56"/>
    <s v="High"/>
    <x v="2"/>
    <n v="420"/>
    <s v="Review"/>
  </r>
  <r>
    <n v="1054"/>
    <s v="Lori Henderson"/>
    <n v="50"/>
    <s v="female"/>
    <d v="2025-06-05T00:00:00"/>
    <d v="2024-12-19T00:00:00"/>
    <s v="Terri Stewart"/>
    <x v="3"/>
    <s v="Rs496.31"/>
    <s v="High"/>
    <x v="2"/>
    <n v="168"/>
    <s v="OK"/>
  </r>
  <r>
    <n v="1085"/>
    <s v="Benjamin Lewis"/>
    <n v="85"/>
    <s v="male"/>
    <d v="2026-01-09T00:00:00"/>
    <d v="2025-05-03T00:00:00"/>
    <s v="Taylor Hicks"/>
    <x v="0"/>
    <s v="€213.17"/>
    <s v="High"/>
    <x v="2"/>
    <n v="251"/>
    <s v="OK"/>
  </r>
  <r>
    <n v="1028"/>
    <s v="Matthew Johnson"/>
    <n v="22"/>
    <s v="1"/>
    <d v="2025-12-17T00:00:00"/>
    <d v="2025-08-06T00:00:00"/>
    <s v="John Moran"/>
    <x v="1"/>
    <s v="€150.15"/>
    <s v="High"/>
    <x v="2"/>
    <n v="133"/>
    <s v="OK"/>
  </r>
  <r>
    <n v="1048"/>
    <s v="Karen Myers"/>
    <n v="89"/>
    <s v="0"/>
    <d v="2025-07-20T00:00:00"/>
    <d v="2024-06-12T00:00:00"/>
    <s v="David Wright"/>
    <x v="2"/>
    <s v="€371.69"/>
    <s v="High"/>
    <x v="2"/>
    <n v="403"/>
    <s v="Review"/>
  </r>
  <r>
    <n v="1008"/>
    <s v="Shelly Chavez"/>
    <n v="34"/>
    <s v="female"/>
    <d v="2025-10-10T00:00:00"/>
    <d v="2025-05-02T00:00:00"/>
    <s v="Megan Morales"/>
    <x v="2"/>
    <s v="$431.45"/>
    <s v="High"/>
    <x v="5"/>
    <n v="161"/>
    <s v="OK"/>
  </r>
  <r>
    <n v="1002"/>
    <s v="Maria Williams"/>
    <n v="22"/>
    <s v="M"/>
    <d v="2025-08-17T00:00:00"/>
    <d v="2025-01-05T00:00:00"/>
    <s v="Brandi Thomas"/>
    <x v="1"/>
    <s v="£189.17"/>
    <s v="High"/>
    <x v="5"/>
    <n v="224"/>
    <s v="OK"/>
  </r>
  <r>
    <n v="1013"/>
    <s v="Robert Humphrey"/>
    <n v="24"/>
    <s v=""/>
    <d v="2025-04-10T00:00:00"/>
    <d v="2025-03-22T00:00:00"/>
    <s v="Vanessa Brown"/>
    <x v="1"/>
    <s v="$281.71"/>
    <s v="High"/>
    <x v="2"/>
    <n v="19"/>
    <s v="OK"/>
  </r>
  <r>
    <n v="1032"/>
    <s v="Matthew Gutierrez"/>
    <n v="21"/>
    <s v="male"/>
    <d v="2026-02-08T00:00:00"/>
    <d v="2025-05-14T00:00:00"/>
    <s v="Lisa Smith"/>
    <x v="3"/>
    <s v="€309.31"/>
    <s v="High"/>
    <x v="4"/>
    <n v="270"/>
    <s v="OK"/>
  </r>
  <r>
    <n v="1074"/>
    <s v="Rebecca Banks"/>
    <n v="23"/>
    <s v="male"/>
    <d v="2025-05-26T00:00:00"/>
    <d v="2025-01-17T00:00:00"/>
    <s v="April Randall DDS"/>
    <x v="2"/>
    <s v="Rs57.03"/>
    <s v="High"/>
    <x v="3"/>
    <n v="129"/>
    <s v="OK"/>
  </r>
  <r>
    <n v="1025"/>
    <s v="Ashley Rodriguez"/>
    <n v="52"/>
    <s v="0"/>
    <d v="2025-06-05T00:00:00"/>
    <d v="2024-11-06T00:00:00"/>
    <s v="Russell Zimmerman"/>
    <x v="1"/>
    <s v="Rs219.97"/>
    <s v="High"/>
    <x v="4"/>
    <n v="211"/>
    <s v="OK"/>
  </r>
  <r>
    <n v="1040"/>
    <s v="Laura Ford"/>
    <n v="36"/>
    <s v=""/>
    <d v="2025-05-27T00:00:00"/>
    <d v="2024-12-02T00:00:00"/>
    <s v="Kyle Evans"/>
    <x v="1"/>
    <s v="£186.51"/>
    <s v="High"/>
    <x v="2"/>
    <n v="176"/>
    <s v="OK"/>
  </r>
  <r>
    <n v="1089"/>
    <s v="James Stout"/>
    <n v="20"/>
    <s v="1"/>
    <d v="2025-10-03T00:00:00"/>
    <d v="2025-07-30T00:00:00"/>
    <s v="Andrea Myers"/>
    <x v="2"/>
    <s v="€77.05"/>
    <s v="High"/>
    <x v="5"/>
    <n v="65"/>
    <s v="OK"/>
  </r>
  <r>
    <n v="1069"/>
    <s v="Ashley Foster"/>
    <n v="32"/>
    <s v="0"/>
    <d v="2026-02-23T00:00:00"/>
    <d v="2025-01-14T00:00:00"/>
    <s v="Melinda Cannon"/>
    <x v="3"/>
    <s v="£208.72"/>
    <s v="High"/>
    <x v="0"/>
    <n v="405"/>
    <s v="Review"/>
  </r>
  <r>
    <n v="1070"/>
    <s v="Christian Thomas"/>
    <n v="38"/>
    <s v="1"/>
    <d v="2025-07-06T00:00:00"/>
    <d v="2025-04-23T00:00:00"/>
    <s v="Gregory Tapia"/>
    <x v="2"/>
    <s v="£390.16"/>
    <s v="High"/>
    <x v="1"/>
    <n v="74"/>
    <s v="OK"/>
  </r>
  <r>
    <n v="1070"/>
    <s v="Stacy Gardner"/>
    <n v="53"/>
    <s v=""/>
    <d v="2026-01-18T00:00:00"/>
    <d v="2025-03-11T00:00:00"/>
    <s v="Michael Campbell"/>
    <x v="2"/>
    <s v="£74.78"/>
    <s v="High"/>
    <x v="3"/>
    <n v="313"/>
    <s v="OK"/>
  </r>
  <r>
    <n v="1077"/>
    <s v="Taylor Patterson"/>
    <n v="58"/>
    <s v="F"/>
    <d v="2026-03-25T00:00:00"/>
    <d v="2025-10-24T00:00:00"/>
    <s v="Ellen Miller"/>
    <x v="2"/>
    <s v="$199.03"/>
    <s v="High"/>
    <x v="2"/>
    <n v="152"/>
    <s v="OK"/>
  </r>
  <r>
    <n v="1082"/>
    <s v="Justin Zimmerman"/>
    <n v="61"/>
    <s v="M"/>
    <d v="2025-11-05T00:00:00"/>
    <d v="2025-09-20T00:00:00"/>
    <s v="Tammy Thomas"/>
    <x v="0"/>
    <s v="£245.09"/>
    <s v="High"/>
    <x v="5"/>
    <n v="46"/>
    <s v="OK"/>
  </r>
  <r>
    <n v="1053"/>
    <s v="Jaclyn Knight"/>
    <n v="66"/>
    <s v="0"/>
    <d v="2025-08-24T00:00:00"/>
    <d v="2024-05-19T00:00:00"/>
    <s v="John Oliver"/>
    <x v="1"/>
    <s v="£282.03"/>
    <s v="High"/>
    <x v="5"/>
    <n v="462"/>
    <s v="Review"/>
  </r>
  <r>
    <n v="1083"/>
    <s v="Jessica Rodriguez"/>
    <n v="18"/>
    <s v="male"/>
    <d v="2025-04-21T00:00:00"/>
    <d v="2024-09-04T00:00:00"/>
    <s v="Jeffrey Martin"/>
    <x v="2"/>
    <s v="Rs411.85"/>
    <s v="High"/>
    <x v="3"/>
    <n v="229"/>
    <s v="OK"/>
  </r>
  <r>
    <n v="1096"/>
    <s v="Patricia Johnson DDS"/>
    <n v="70"/>
    <s v="1"/>
    <d v="2025-06-12T00:00:00"/>
    <d v="2024-11-27T00:00:00"/>
    <s v="Ana Hunt"/>
    <x v="2"/>
    <s v="£144.89"/>
    <s v="High"/>
    <x v="3"/>
    <n v="197"/>
    <s v="OK"/>
  </r>
  <r>
    <n v="1043"/>
    <s v="Alexandra Sandoval"/>
    <n v="31"/>
    <s v="male"/>
    <d v="2025-11-21T00:00:00"/>
    <d v="2025-08-16T00:00:00"/>
    <s v="Rachel Moore"/>
    <x v="2"/>
    <s v="Rs198.95"/>
    <s v="High"/>
    <x v="4"/>
    <n v="97"/>
    <s v="OK"/>
  </r>
  <r>
    <n v="1058"/>
    <s v="Mandy Smith"/>
    <n v="64"/>
    <s v="male"/>
    <d v="2025-04-14T00:00:00"/>
    <d v="2025-02-04T00:00:00"/>
    <s v="Brian Olson"/>
    <x v="2"/>
    <s v="Rs246.05"/>
    <s v="High"/>
    <x v="0"/>
    <n v="69"/>
    <s v="OK"/>
  </r>
  <r>
    <n v="1080"/>
    <s v="Danny Cooper"/>
    <n v="21"/>
    <s v="male"/>
    <d v="2025-04-27T00:00:00"/>
    <d v="2025-03-13T00:00:00"/>
    <s v="Mark Morrison"/>
    <x v="2"/>
    <s v="€164.43"/>
    <s v="High"/>
    <x v="3"/>
    <n v="45"/>
    <s v="OK"/>
  </r>
  <r>
    <n v="1097"/>
    <s v="Dr. Christina Dunn"/>
    <n v="51"/>
    <s v="female"/>
    <d v="2025-09-11T00:00:00"/>
    <d v="2024-06-13T00:00:00"/>
    <s v="Madeline Sharp"/>
    <x v="3"/>
    <s v="Rs381.59"/>
    <s v="High"/>
    <x v="2"/>
    <n v="455"/>
    <s v="Review"/>
  </r>
  <r>
    <n v="1054"/>
    <s v="Rachel Porter"/>
    <n v="29"/>
    <s v="M"/>
    <d v="2025-05-17T00:00:00"/>
    <d v="2024-10-06T00:00:00"/>
    <s v="Patrick Russell"/>
    <x v="2"/>
    <s v="€341.42"/>
    <s v="High"/>
    <x v="4"/>
    <n v="223"/>
    <s v="OK"/>
  </r>
  <r>
    <n v="1075"/>
    <s v="Megan Williams"/>
    <n v="51"/>
    <s v="male"/>
    <d v="2025-12-11T00:00:00"/>
    <d v="2025-10-19T00:00:00"/>
    <s v="Melissa Khan"/>
    <x v="2"/>
    <s v="Rs456.12"/>
    <s v="High"/>
    <x v="2"/>
    <n v="53"/>
    <s v="OK"/>
  </r>
  <r>
    <n v="1036"/>
    <s v="Michelle Hill"/>
    <n v="82"/>
    <s v="male"/>
    <d v="2025-12-08T00:00:00"/>
    <d v="2024-04-07T00:00:00"/>
    <s v="Rachel Sanchez"/>
    <x v="3"/>
    <s v="Rs371.84"/>
    <s v="High"/>
    <x v="1"/>
    <n v="610"/>
    <s v="Review"/>
  </r>
  <r>
    <n v="1064"/>
    <s v="Donna Green"/>
    <n v="78"/>
    <s v="female"/>
    <d v="2026-01-14T00:00:00"/>
    <d v="2025-05-07T00:00:00"/>
    <s v="Clifford Ramirez"/>
    <x v="1"/>
    <s v="€263.23"/>
    <s v="High"/>
    <x v="2"/>
    <n v="252"/>
    <s v="OK"/>
  </r>
  <r>
    <n v="1015"/>
    <s v="Leon Anderson"/>
    <n v="63"/>
    <s v="1"/>
    <d v="2025-11-28T00:00:00"/>
    <d v="2024-09-24T00:00:00"/>
    <s v="Mary Chandler"/>
    <x v="2"/>
    <s v="$427.62"/>
    <s v="High"/>
    <x v="3"/>
    <n v="430"/>
    <s v="Review"/>
  </r>
  <r>
    <n v="1045"/>
    <s v="Cheryl Ruiz"/>
    <n v="66"/>
    <s v="1"/>
    <d v="2025-05-23T00:00:00"/>
    <d v="2024-04-29T00:00:00"/>
    <s v="Maria Thomas"/>
    <x v="1"/>
    <s v="£100.78"/>
    <s v="High"/>
    <x v="3"/>
    <n v="389"/>
    <s v="Review"/>
  </r>
  <r>
    <n v="1016"/>
    <s v="Keith Douglas"/>
    <n v="49"/>
    <s v="male"/>
    <d v="2025-09-16T00:00:00"/>
    <d v="2025-05-02T00:00:00"/>
    <s v="Dawn Browning"/>
    <x v="1"/>
    <s v=""/>
    <s v="High"/>
    <x v="5"/>
    <n v="137"/>
    <s v="OK"/>
  </r>
  <r>
    <n v="1006"/>
    <s v="Christina Spencer"/>
    <n v="61"/>
    <s v="M"/>
    <d v="2025-11-14T00:00:00"/>
    <d v="2024-05-10T00:00:00"/>
    <s v="Mark Kelley"/>
    <x v="1"/>
    <s v="£308.28"/>
    <s v="High"/>
    <x v="4"/>
    <n v="553"/>
    <s v="Review"/>
  </r>
  <r>
    <n v="1058"/>
    <s v="April Rios"/>
    <n v="30"/>
    <s v="F"/>
    <d v="2026-02-26T00:00:00"/>
    <d v="2026-02-07T00:00:00"/>
    <s v="Megan Mccann"/>
    <x v="3"/>
    <s v="€471.3"/>
    <s v="High"/>
    <x v="5"/>
    <n v="19"/>
    <s v="OK"/>
  </r>
  <r>
    <n v="1050"/>
    <s v="Mallory Martin"/>
    <n v="23"/>
    <s v="1"/>
    <d v="2025-10-27T00:00:00"/>
    <d v="2025-06-22T00:00:00"/>
    <s v="David Whitney"/>
    <x v="0"/>
    <s v="Rs437.95"/>
    <s v="High"/>
    <x v="0"/>
    <n v="127"/>
    <s v="OK"/>
  </r>
  <r>
    <n v="1016"/>
    <s v="Elizabeth Johnson"/>
    <n v="87"/>
    <s v="female"/>
    <d v="2026-01-24T00:00:00"/>
    <d v="2024-12-09T00:00:00"/>
    <s v="Dr. Mary Day"/>
    <x v="3"/>
    <s v="Rs461.32"/>
    <s v="High"/>
    <x v="1"/>
    <n v="411"/>
    <s v="Review"/>
  </r>
  <r>
    <n v="1014"/>
    <s v="Ellen Rogers"/>
    <n v="31"/>
    <s v="0"/>
    <d v="2025-08-30T00:00:00"/>
    <d v="2025-01-17T00:00:00"/>
    <s v="Tammie Melendez"/>
    <x v="3"/>
    <s v="€424.17"/>
    <s v="High"/>
    <x v="1"/>
    <n v="225"/>
    <s v="OK"/>
  </r>
  <r>
    <n v="1070"/>
    <s v="Kenneth Jenkins"/>
    <n v="49"/>
    <s v="0"/>
    <d v="2025-05-20T00:00:00"/>
    <d v="2024-09-12T00:00:00"/>
    <s v="Tanya Eaton"/>
    <x v="3"/>
    <s v="€428.7"/>
    <s v="High"/>
    <x v="3"/>
    <n v="250"/>
    <s v="OK"/>
  </r>
  <r>
    <n v="1068"/>
    <s v="Duane Mitchell"/>
    <n v="52"/>
    <s v="female"/>
    <d v="2026-01-12T00:00:00"/>
    <d v="2024-09-08T00:00:00"/>
    <s v="Helen Jackson"/>
    <x v="2"/>
    <s v="€159.11"/>
    <s v="High"/>
    <x v="5"/>
    <n v="491"/>
    <s v="Review"/>
  </r>
  <r>
    <n v="1088"/>
    <s v="Mr. Paul Chavez"/>
    <n v="65"/>
    <s v="M"/>
    <d v="2025-07-23T00:00:00"/>
    <d v="2025-02-04T00:00:00"/>
    <s v="Evan Marquez"/>
    <x v="2"/>
    <s v="$159.06"/>
    <s v="High"/>
    <x v="1"/>
    <n v="169"/>
    <s v="OK"/>
  </r>
  <r>
    <n v="1012"/>
    <s v="Ian Weaver"/>
    <n v="18"/>
    <s v="F"/>
    <d v="2026-01-19T00:00:00"/>
    <d v="2025-06-01T00:00:00"/>
    <s v="Audrey Torres"/>
    <x v="2"/>
    <s v="Rs317.16"/>
    <s v="High"/>
    <x v="3"/>
    <n v="232"/>
    <s v="OK"/>
  </r>
  <r>
    <n v="1066"/>
    <s v="Daniel White"/>
    <n v="37"/>
    <s v="female"/>
    <d v="2025-05-25T00:00:00"/>
    <d v="2024-10-12T00:00:00"/>
    <s v="Justin Hall"/>
    <x v="3"/>
    <s v="€470.63"/>
    <s v="High"/>
    <x v="1"/>
    <n v="225"/>
    <s v="OK"/>
  </r>
  <r>
    <n v="1071"/>
    <s v="Brian Riley"/>
    <n v="74"/>
    <s v="M"/>
    <d v="2025-08-23T00:00:00"/>
    <d v="2024-09-24T00:00:00"/>
    <s v="Charles Kemp"/>
    <x v="0"/>
    <s v="$153.44"/>
    <s v="High"/>
    <x v="4"/>
    <n v="333"/>
    <s v="OK"/>
  </r>
  <r>
    <n v="1094"/>
    <s v="Joshua Wallace"/>
    <n v="60"/>
    <s v=""/>
    <d v="2025-12-26T00:00:00"/>
    <d v="2024-05-22T00:00:00"/>
    <s v="Melissa Price"/>
    <x v="3"/>
    <s v="€416.08"/>
    <s v="High"/>
    <x v="5"/>
    <n v="583"/>
    <s v="Review"/>
  </r>
  <r>
    <n v="1075"/>
    <s v="Amy Cruz"/>
    <n v="43"/>
    <s v="1"/>
    <d v="2025-12-14T00:00:00"/>
    <d v="2025-02-28T00:00:00"/>
    <s v="Tony Burke"/>
    <x v="2"/>
    <s v="€458.79"/>
    <s v="High"/>
    <x v="3"/>
    <n v="289"/>
    <s v="OK"/>
  </r>
  <r>
    <n v="1077"/>
    <s v="Carly Dixon"/>
    <n v="30"/>
    <s v="male"/>
    <d v="2025-05-29T00:00:00"/>
    <d v="2025-01-26T00:00:00"/>
    <s v="Gary Murray"/>
    <x v="1"/>
    <s v="$125.8"/>
    <s v="High"/>
    <x v="5"/>
    <n v="123"/>
    <s v="OK"/>
  </r>
  <r>
    <n v="1044"/>
    <s v="Pamela Bradshaw"/>
    <n v="43"/>
    <s v="male"/>
    <d v="2025-04-02T00:00:00"/>
    <d v="2024-07-08T00:00:00"/>
    <s v="Donald Mitchell"/>
    <x v="3"/>
    <s v="Rs352.94"/>
    <s v="High"/>
    <x v="5"/>
    <n v="268"/>
    <s v="OK"/>
  </r>
  <r>
    <n v="1084"/>
    <s v="Rebecca Hall"/>
    <n v="68"/>
    <s v="male"/>
    <d v="2025-07-22T00:00:00"/>
    <d v="2025-06-28T00:00:00"/>
    <s v="Kevin Mendoza DVM"/>
    <x v="3"/>
    <s v="€111.4"/>
    <s v="High"/>
    <x v="5"/>
    <n v="24"/>
    <s v="OK"/>
  </r>
  <r>
    <n v="1060"/>
    <s v="James Lopez"/>
    <n v="85"/>
    <s v="female"/>
    <d v="2025-09-19T00:00:00"/>
    <d v="2025-09-16T00:00:00"/>
    <s v="Carla Cole"/>
    <x v="0"/>
    <s v="€161.54"/>
    <s v="High"/>
    <x v="1"/>
    <n v="3"/>
    <s v="OK"/>
  </r>
  <r>
    <n v="1055"/>
    <s v="Christopher Powell"/>
    <n v="69"/>
    <s v="male"/>
    <d v="2025-03-31T00:00:00"/>
    <d v="2024-11-05T00:00:00"/>
    <s v="Gary Wood"/>
    <x v="1"/>
    <s v="Rs479.37"/>
    <s v="High"/>
    <x v="3"/>
    <n v="146"/>
    <s v="OK"/>
  </r>
  <r>
    <n v="1046"/>
    <s v="Barbara Dalton"/>
    <n v="29"/>
    <s v="1"/>
    <d v="2025-04-07T00:00:00"/>
    <d v="2024-06-02T00:00:00"/>
    <s v="Rachel Holloway"/>
    <x v="0"/>
    <s v="$306.94"/>
    <s v="High"/>
    <x v="0"/>
    <n v="309"/>
    <s v="OK"/>
  </r>
  <r>
    <n v="1087"/>
    <s v="Alejandra Turner"/>
    <n v="31"/>
    <s v="0"/>
    <d v="2025-05-31T00:00:00"/>
    <d v="2025-05-24T00:00:00"/>
    <s v="Bradley Jones"/>
    <x v="0"/>
    <s v="€194.95"/>
    <s v="High"/>
    <x v="3"/>
    <n v="7"/>
    <s v="OK"/>
  </r>
  <r>
    <n v="1020"/>
    <s v="Kelsey Shaffer"/>
    <n v="56"/>
    <s v="M"/>
    <d v="2025-04-20T00:00:00"/>
    <d v="2024-12-07T00:00:00"/>
    <s v="Christina Simmons"/>
    <x v="2"/>
    <s v="€91.05"/>
    <s v="High"/>
    <x v="1"/>
    <n v="134"/>
    <s v="OK"/>
  </r>
  <r>
    <n v="1047"/>
    <s v="Kara Stewart"/>
    <n v="63"/>
    <s v="F"/>
    <d v="2025-04-21T00:00:00"/>
    <d v="2025-03-06T00:00:00"/>
    <s v="Becky Sanchez"/>
    <x v="2"/>
    <s v="€290.36"/>
    <s v="High"/>
    <x v="2"/>
    <n v="46"/>
    <s v="OK"/>
  </r>
  <r>
    <n v="1053"/>
    <s v="Kenneth Fox"/>
    <n v="86"/>
    <s v="0"/>
    <d v="2025-10-13T00:00:00"/>
    <d v="2024-08-12T00:00:00"/>
    <s v="Kimberly Sullivan"/>
    <x v="3"/>
    <s v="$85.53"/>
    <s v="High"/>
    <x v="0"/>
    <n v="427"/>
    <s v="Review"/>
  </r>
  <r>
    <n v="1031"/>
    <s v="Michelle Bradford"/>
    <n v="31"/>
    <s v="0"/>
    <d v="2026-03-17T00:00:00"/>
    <d v="2025-08-02T00:00:00"/>
    <s v="Robert Williams"/>
    <x v="0"/>
    <s v="€419.74"/>
    <s v="High"/>
    <x v="3"/>
    <n v="227"/>
    <s v="OK"/>
  </r>
  <r>
    <n v="1041"/>
    <s v="Amy Wilson"/>
    <n v="81"/>
    <s v="male"/>
    <d v="2025-09-26T00:00:00"/>
    <d v="2025-02-01T00:00:00"/>
    <s v="Nathan Mathews"/>
    <x v="1"/>
    <s v=""/>
    <s v="High"/>
    <x v="5"/>
    <n v="237"/>
    <s v="OK"/>
  </r>
  <r>
    <n v="1047"/>
    <s v="Danielle Ortega"/>
    <n v="76"/>
    <s v="male"/>
    <d v="2025-08-18T00:00:00"/>
    <d v="2025-06-14T00:00:00"/>
    <s v="Tiffany Lowery"/>
    <x v="1"/>
    <s v="$83.67"/>
    <s v="High"/>
    <x v="4"/>
    <n v="65"/>
    <s v="OK"/>
  </r>
  <r>
    <n v="1012"/>
    <s v="Gregory Hines"/>
    <n v="76"/>
    <s v="M"/>
    <d v="2026-02-07T00:00:00"/>
    <d v="2026-01-15T00:00:00"/>
    <s v="Rebecca Goodwin"/>
    <x v="1"/>
    <s v="Rs255.43"/>
    <s v="High"/>
    <x v="2"/>
    <n v="23"/>
    <s v="OK"/>
  </r>
  <r>
    <n v="1034"/>
    <s v="Amanda Douglas"/>
    <n v="90"/>
    <s v="1"/>
    <d v="2026-03-07T00:00:00"/>
    <d v="2024-06-25T00:00:00"/>
    <s v="Gregory Gonzalez"/>
    <x v="3"/>
    <s v=""/>
    <s v="High"/>
    <x v="5"/>
    <n v="620"/>
    <s v="Review"/>
  </r>
  <r>
    <n v="1091"/>
    <s v="Scott Walker"/>
    <n v="62"/>
    <s v="male"/>
    <d v="2026-03-22T00:00:00"/>
    <d v="2025-11-28T00:00:00"/>
    <s v="Brianna Hernandez"/>
    <x v="2"/>
    <s v="$433.63"/>
    <s v="High"/>
    <x v="1"/>
    <n v="114"/>
    <s v="OK"/>
  </r>
  <r>
    <n v="1034"/>
    <s v="Teresa Kim"/>
    <n v="71"/>
    <s v="male"/>
    <d v="2025-12-26T00:00:00"/>
    <d v="2024-04-27T00:00:00"/>
    <s v="Gregory Brown"/>
    <x v="2"/>
    <s v="Rs461.04"/>
    <s v="High"/>
    <x v="5"/>
    <n v="608"/>
    <s v="Review"/>
  </r>
  <r>
    <n v="1072"/>
    <s v="Kimberly Miller"/>
    <n v="59"/>
    <s v="female"/>
    <d v="2025-04-25T00:00:00"/>
    <d v="2024-04-30T00:00:00"/>
    <s v="Anna Jennings"/>
    <x v="0"/>
    <s v="£261.01"/>
    <s v="High"/>
    <x v="1"/>
    <n v="360"/>
    <s v="OK"/>
  </r>
  <r>
    <n v="1048"/>
    <s v="Ashley Black"/>
    <n v="84"/>
    <s v="F"/>
    <d v="2025-05-29T00:00:00"/>
    <d v="2025-01-29T00:00:00"/>
    <s v="Dennis Murphy"/>
    <x v="2"/>
    <s v=""/>
    <s v="High"/>
    <x v="4"/>
    <n v="120"/>
    <s v="OK"/>
  </r>
  <r>
    <n v="1068"/>
    <s v="Wendy Parks"/>
    <n v="40"/>
    <s v="male"/>
    <d v="2026-02-14T00:00:00"/>
    <d v="2025-09-09T00:00:00"/>
    <s v="Melissa Williams"/>
    <x v="2"/>
    <s v=""/>
    <s v="High"/>
    <x v="0"/>
    <n v="158"/>
    <s v="OK"/>
  </r>
  <r>
    <n v="1063"/>
    <s v="Stacy Clements"/>
    <n v="75"/>
    <s v="female"/>
    <d v="2025-06-03T00:00:00"/>
    <d v="2024-11-09T00:00:00"/>
    <s v="Cynthia Dunn"/>
    <x v="0"/>
    <s v="Rs96.19"/>
    <s v="High"/>
    <x v="3"/>
    <n v="206"/>
    <s v="OK"/>
  </r>
  <r>
    <n v="1063"/>
    <s v="Kyle Gibbs"/>
    <n v="58"/>
    <s v="female"/>
    <d v="2026-02-25T00:00:00"/>
    <d v="2024-10-29T00:00:00"/>
    <s v="Christopher Guzman"/>
    <x v="2"/>
    <s v="£248.76"/>
    <s v="High"/>
    <x v="5"/>
    <n v="484"/>
    <s v="Review"/>
  </r>
  <r>
    <n v="1045"/>
    <s v="Beth Stephens"/>
    <n v="24"/>
    <s v="female"/>
    <d v="2025-12-02T00:00:00"/>
    <d v="2025-04-13T00:00:00"/>
    <s v="Scott Nguyen"/>
    <x v="3"/>
    <s v="Rs246.63"/>
    <s v="High"/>
    <x v="5"/>
    <n v="233"/>
    <s v="OK"/>
  </r>
  <r>
    <n v="1028"/>
    <s v="Michael Heath"/>
    <n v="88"/>
    <s v="1"/>
    <d v="2025-10-29T00:00:00"/>
    <d v="2025-03-22T00:00:00"/>
    <s v="Benjamin Brown"/>
    <x v="0"/>
    <s v="Rs256.59"/>
    <s v="High"/>
    <x v="3"/>
    <n v="221"/>
    <s v="OK"/>
  </r>
  <r>
    <n v="1025"/>
    <s v="James Malone"/>
    <n v="84"/>
    <s v="female"/>
    <d v="2025-09-26T00:00:00"/>
    <d v="2025-06-16T00:00:00"/>
    <s v="Rhonda Oconnor"/>
    <x v="2"/>
    <s v="$326.84"/>
    <s v="High"/>
    <x v="1"/>
    <n v="102"/>
    <s v="OK"/>
  </r>
  <r>
    <n v="1046"/>
    <s v="Christina Moore"/>
    <n v="64"/>
    <s v="1"/>
    <d v="2025-05-31T00:00:00"/>
    <d v="2024-08-21T00:00:00"/>
    <s v="Joshua Martin"/>
    <x v="1"/>
    <s v="£476.97"/>
    <s v="High"/>
    <x v="4"/>
    <n v="283"/>
    <s v="OK"/>
  </r>
  <r>
    <n v="1036"/>
    <s v="Katie Mcdaniel"/>
    <n v="76"/>
    <s v="0"/>
    <d v="2026-01-10T00:00:00"/>
    <d v="2025-07-31T00:00:00"/>
    <s v="Aaron Perkins"/>
    <x v="3"/>
    <s v="$136.77"/>
    <s v="High"/>
    <x v="1"/>
    <n v="163"/>
    <s v="OK"/>
  </r>
  <r>
    <n v="1026"/>
    <s v="Scott Thompson"/>
    <n v="49"/>
    <s v="male"/>
    <d v="2026-02-14T00:00:00"/>
    <d v="2025-03-11T00:00:00"/>
    <s v="Erika Richards"/>
    <x v="2"/>
    <s v="€466.59"/>
    <s v="High"/>
    <x v="2"/>
    <n v="340"/>
    <s v="OK"/>
  </r>
  <r>
    <n v="1097"/>
    <s v="Jon Berry"/>
    <n v="27"/>
    <s v="male"/>
    <d v="2025-11-02T00:00:00"/>
    <d v="2024-04-25T00:00:00"/>
    <s v="Heather Foster"/>
    <x v="3"/>
    <s v="€342.3"/>
    <s v="High"/>
    <x v="3"/>
    <n v="556"/>
    <s v="Review"/>
  </r>
  <r>
    <n v="1014"/>
    <s v="Connie Wheeler"/>
    <n v="29"/>
    <s v="1"/>
    <d v="2025-12-30T00:00:00"/>
    <d v="2025-08-08T00:00:00"/>
    <s v="Sherri Buckley"/>
    <x v="2"/>
    <s v="€444.2"/>
    <s v="High"/>
    <x v="4"/>
    <n v="144"/>
    <s v="OK"/>
  </r>
  <r>
    <n v="1085"/>
    <s v="Jonathan Howell"/>
    <n v="63"/>
    <s v="male"/>
    <d v="2025-08-12T00:00:00"/>
    <d v="2024-11-03T00:00:00"/>
    <s v="Darryl Case"/>
    <x v="1"/>
    <s v="Rs421.18"/>
    <s v="High"/>
    <x v="1"/>
    <n v="282"/>
    <s v="OK"/>
  </r>
  <r>
    <n v="1005"/>
    <s v="Michelle King"/>
    <n v="54"/>
    <s v="male"/>
    <d v="2025-05-07T00:00:00"/>
    <d v="2024-06-22T00:00:00"/>
    <s v="Anthony Hughes"/>
    <x v="3"/>
    <s v="€386.3"/>
    <s v="High"/>
    <x v="2"/>
    <n v="319"/>
    <s v="OK"/>
  </r>
  <r>
    <n v="1075"/>
    <s v="Christine Barron"/>
    <n v="59"/>
    <s v="M"/>
    <d v="2026-03-20T00:00:00"/>
    <d v="2025-12-24T00:00:00"/>
    <s v="Thomas Clark MD"/>
    <x v="0"/>
    <s v="Rs107.04"/>
    <s v="High"/>
    <x v="0"/>
    <n v="86"/>
    <s v="OK"/>
  </r>
  <r>
    <n v="1082"/>
    <s v="Dr. Karen Miller DDS"/>
    <n v="37"/>
    <s v="male"/>
    <d v="2025-04-19T00:00:00"/>
    <d v="2024-04-29T00:00:00"/>
    <s v="Martin Herring"/>
    <x v="1"/>
    <s v="£381.15"/>
    <s v="High"/>
    <x v="5"/>
    <n v="355"/>
    <s v="OK"/>
  </r>
  <r>
    <n v="1089"/>
    <s v="Kimberly Barnett"/>
    <n v="69"/>
    <s v="male"/>
    <d v="2025-10-04T00:00:00"/>
    <d v="2025-07-31T00:00:00"/>
    <s v="William Bryan"/>
    <x v="3"/>
    <s v="€477.98"/>
    <s v="High"/>
    <x v="1"/>
    <n v="65"/>
    <s v="OK"/>
  </r>
  <r>
    <n v="1092"/>
    <s v="Abigail Warner"/>
    <n v="53"/>
    <s v="female"/>
    <d v="2025-10-25T00:00:00"/>
    <d v="2024-05-23T00:00:00"/>
    <s v="Heather Stokes"/>
    <x v="1"/>
    <s v="€418.27"/>
    <s v="High"/>
    <x v="1"/>
    <n v="520"/>
    <s v="Review"/>
  </r>
  <r>
    <n v="1066"/>
    <s v="Melissa Vaughn"/>
    <n v="46"/>
    <s v="1"/>
    <d v="2026-03-26T00:00:00"/>
    <d v="2025-06-21T00:00:00"/>
    <s v="Vickie Johnson"/>
    <x v="0"/>
    <s v="€300.52"/>
    <s v="High"/>
    <x v="5"/>
    <n v="278"/>
    <s v="OK"/>
  </r>
  <r>
    <n v="1016"/>
    <s v="Jocelyn Strickland"/>
    <n v="22"/>
    <s v="M"/>
    <d v="2025-04-30T00:00:00"/>
    <d v="2024-07-10T00:00:00"/>
    <s v="Vincent Kemp"/>
    <x v="0"/>
    <s v=""/>
    <s v="High"/>
    <x v="4"/>
    <n v="294"/>
    <s v="OK"/>
  </r>
  <r>
    <n v="1041"/>
    <s v="Lindsay Shaw"/>
    <n v="43"/>
    <s v="0"/>
    <d v="2025-09-17T00:00:00"/>
    <d v="2024-05-09T00:00:00"/>
    <s v="Julia Mcmillan"/>
    <x v="1"/>
    <s v="£485.93"/>
    <s v="High"/>
    <x v="5"/>
    <n v="496"/>
    <s v="Review"/>
  </r>
  <r>
    <n v="1052"/>
    <s v="Melvin Bowers"/>
    <n v="88"/>
    <s v="0"/>
    <d v="2025-12-15T00:00:00"/>
    <d v="2025-11-14T00:00:00"/>
    <s v="Robin Diaz"/>
    <x v="1"/>
    <s v="£164.2"/>
    <s v="High"/>
    <x v="0"/>
    <n v="31"/>
    <s v="OK"/>
  </r>
  <r>
    <n v="1051"/>
    <s v="Victoria Gilbert"/>
    <n v="64"/>
    <s v="F"/>
    <d v="2025-04-08T00:00:00"/>
    <d v="2024-07-23T00:00:00"/>
    <s v="April Spears"/>
    <x v="0"/>
    <s v="$390.1"/>
    <s v="High"/>
    <x v="2"/>
    <n v="259"/>
    <s v="OK"/>
  </r>
  <r>
    <n v="1035"/>
    <s v="John Marsh"/>
    <n v="33"/>
    <s v="male"/>
    <d v="2025-05-04T00:00:00"/>
    <d v="2024-06-04T00:00:00"/>
    <s v="Michael Wright"/>
    <x v="3"/>
    <s v="£407.7"/>
    <s v="High"/>
    <x v="0"/>
    <n v="334"/>
    <s v="OK"/>
  </r>
  <r>
    <n v="1074"/>
    <s v="Eugene Underwood"/>
    <n v="80"/>
    <s v="M"/>
    <d v="2025-11-11T00:00:00"/>
    <d v="2025-05-20T00:00:00"/>
    <s v="Benjamin Williams"/>
    <x v="2"/>
    <s v="Rs467.55"/>
    <s v="High"/>
    <x v="2"/>
    <n v="175"/>
    <s v="OK"/>
  </r>
  <r>
    <n v="1098"/>
    <s v="Michelle Payne"/>
    <n v="87"/>
    <s v="M"/>
    <d v="2025-07-02T00:00:00"/>
    <d v="2024-11-25T00:00:00"/>
    <s v="Cassandra Bishop"/>
    <x v="1"/>
    <s v="€119.41"/>
    <s v="High"/>
    <x v="5"/>
    <n v="219"/>
    <s v="OK"/>
  </r>
  <r>
    <n v="1100"/>
    <s v="Melanie Lee"/>
    <n v="31"/>
    <s v="M"/>
    <d v="2025-10-01T00:00:00"/>
    <d v="2024-10-25T00:00:00"/>
    <s v="Andrea Kennedy"/>
    <x v="0"/>
    <s v="£441.89"/>
    <s v="High"/>
    <x v="2"/>
    <n v="341"/>
    <s v="OK"/>
  </r>
  <r>
    <n v="1049"/>
    <s v="Jessica Murray"/>
    <n v="20"/>
    <s v="1"/>
    <d v="2025-12-29T00:00:00"/>
    <d v="2025-06-23T00:00:00"/>
    <s v="James Harris"/>
    <x v="3"/>
    <s v="Rs184.38"/>
    <s v="High"/>
    <x v="4"/>
    <n v="189"/>
    <s v="OK"/>
  </r>
  <r>
    <n v="1021"/>
    <s v="William Villarreal"/>
    <n v="80"/>
    <s v="1"/>
    <d v="2025-06-15T00:00:00"/>
    <d v="2024-08-17T00:00:00"/>
    <s v="Ronald Davis"/>
    <x v="1"/>
    <s v="$269.35"/>
    <s v="High"/>
    <x v="0"/>
    <n v="302"/>
    <s v="OK"/>
  </r>
  <r>
    <n v="1069"/>
    <s v="Monica Jones"/>
    <n v="18"/>
    <s v="1"/>
    <d v="2025-10-17T00:00:00"/>
    <d v="2024-05-07T00:00:00"/>
    <s v="Cheryl Bailey"/>
    <x v="0"/>
    <s v="Rs363.94"/>
    <s v="High"/>
    <x v="2"/>
    <n v="528"/>
    <s v="Review"/>
  </r>
  <r>
    <n v="1056"/>
    <s v="Craig Parsons"/>
    <n v="71"/>
    <s v="0"/>
    <d v="2026-01-09T00:00:00"/>
    <d v="2025-12-15T00:00:00"/>
    <s v="Jose Price"/>
    <x v="3"/>
    <s v="£323.0"/>
    <s v="High"/>
    <x v="5"/>
    <n v="25"/>
    <s v="OK"/>
  </r>
  <r>
    <n v="1036"/>
    <s v="Cameron Lopez"/>
    <n v="44"/>
    <s v="female"/>
    <d v="2025-04-27T00:00:00"/>
    <d v="2024-12-13T00:00:00"/>
    <s v="Christopher Williams"/>
    <x v="1"/>
    <s v="$163.0"/>
    <s v="High"/>
    <x v="3"/>
    <n v="135"/>
    <s v="OK"/>
  </r>
  <r>
    <n v="1063"/>
    <s v="Daniel Green"/>
    <n v="32"/>
    <s v="male"/>
    <d v="2025-07-05T00:00:00"/>
    <d v="2025-01-04T00:00:00"/>
    <s v="James Fox"/>
    <x v="1"/>
    <s v="Rs254.14"/>
    <s v="High"/>
    <x v="0"/>
    <n v="182"/>
    <s v="OK"/>
  </r>
  <r>
    <n v="1081"/>
    <s v="William Hatfield"/>
    <n v="32"/>
    <s v="M"/>
    <d v="2026-02-26T00:00:00"/>
    <d v="2025-04-14T00:00:00"/>
    <s v="Kristen Lopez"/>
    <x v="2"/>
    <s v="$112.79"/>
    <s v="High"/>
    <x v="5"/>
    <n v="318"/>
    <s v="OK"/>
  </r>
  <r>
    <n v="1042"/>
    <s v="Dawn Bryant"/>
    <n v="48"/>
    <s v="0"/>
    <d v="2025-06-14T00:00:00"/>
    <d v="2025-03-21T00:00:00"/>
    <s v="Charles Nguyen"/>
    <x v="0"/>
    <s v="Rs164.15"/>
    <s v="High"/>
    <x v="1"/>
    <n v="85"/>
    <s v="OK"/>
  </r>
  <r>
    <n v="1082"/>
    <s v="Joseph Rodriguez"/>
    <n v="69"/>
    <s v="female"/>
    <d v="2025-05-25T00:00:00"/>
    <d v="2024-06-15T00:00:00"/>
    <s v="Douglas Foster"/>
    <x v="0"/>
    <s v="€94.37"/>
    <s v="High"/>
    <x v="0"/>
    <n v="344"/>
    <s v="OK"/>
  </r>
  <r>
    <n v="1002"/>
    <s v="Bailey Williamson"/>
    <n v="88"/>
    <s v="F"/>
    <d v="2025-10-17T00:00:00"/>
    <d v="2025-05-24T00:00:00"/>
    <s v="George Singleton"/>
    <x v="0"/>
    <s v="$368.53"/>
    <s v="High"/>
    <x v="2"/>
    <n v="146"/>
    <s v="OK"/>
  </r>
  <r>
    <n v="1047"/>
    <s v="Jeffrey Johnston"/>
    <n v="36"/>
    <s v="1"/>
    <d v="2026-01-21T00:00:00"/>
    <d v="2025-01-06T00:00:00"/>
    <s v="Cynthia Baker"/>
    <x v="1"/>
    <s v="Rs240.37"/>
    <s v="High"/>
    <x v="5"/>
    <n v="380"/>
    <s v="Review"/>
  </r>
  <r>
    <n v="1043"/>
    <s v="Brandy Estes MD"/>
    <n v="64"/>
    <s v="male"/>
    <d v="2025-10-26T00:00:00"/>
    <d v="2024-05-15T00:00:00"/>
    <s v="Andrea Lam"/>
    <x v="2"/>
    <s v="£238.59"/>
    <s v="High"/>
    <x v="1"/>
    <n v="529"/>
    <s v="Review"/>
  </r>
  <r>
    <n v="1072"/>
    <s v="Kristin Combs"/>
    <n v="38"/>
    <s v="F"/>
    <d v="2025-10-28T00:00:00"/>
    <d v="2024-12-12T00:00:00"/>
    <s v="Frank Anderson"/>
    <x v="3"/>
    <s v="Rs279.32"/>
    <s v="High"/>
    <x v="5"/>
    <n v="320"/>
    <s v="OK"/>
  </r>
  <r>
    <n v="1085"/>
    <s v="Alex Rowe"/>
    <n v="34"/>
    <s v="male"/>
    <d v="2025-11-28T00:00:00"/>
    <d v="2025-06-15T00:00:00"/>
    <s v="Derek Doyle"/>
    <x v="0"/>
    <s v="Rs114.8"/>
    <s v="High"/>
    <x v="5"/>
    <n v="166"/>
    <s v="OK"/>
  </r>
  <r>
    <n v="1088"/>
    <s v="Kevin Peters"/>
    <n v="19"/>
    <s v="female"/>
    <d v="2025-07-23T00:00:00"/>
    <d v="2025-04-28T00:00:00"/>
    <s v="Nancy Wilson"/>
    <x v="3"/>
    <s v="€96.78"/>
    <s v="High"/>
    <x v="4"/>
    <n v="86"/>
    <s v="OK"/>
  </r>
  <r>
    <n v="1059"/>
    <s v="Hunter Miller"/>
    <n v="65"/>
    <s v="F"/>
    <d v="2025-07-24T00:00:00"/>
    <d v="2025-05-31T00:00:00"/>
    <s v="Kathy Lawson"/>
    <x v="2"/>
    <s v="£384.42"/>
    <s v="High"/>
    <x v="5"/>
    <n v="54"/>
    <s v="OK"/>
  </r>
  <r>
    <n v="1028"/>
    <s v="Rebecca Franklin"/>
    <n v="43"/>
    <s v="0"/>
    <d v="2025-07-03T00:00:00"/>
    <d v="2024-05-16T00:00:00"/>
    <s v="Daniel Love"/>
    <x v="2"/>
    <s v="Rs187.7"/>
    <s v="High"/>
    <x v="0"/>
    <n v="413"/>
    <s v="Review"/>
  </r>
  <r>
    <n v="1019"/>
    <s v="David Chapman"/>
    <n v="66"/>
    <s v="F"/>
    <d v="2025-07-27T00:00:00"/>
    <d v="2025-07-17T00:00:00"/>
    <s v="Rachel Wells"/>
    <x v="1"/>
    <s v="£382.67"/>
    <s v="High"/>
    <x v="2"/>
    <n v="10"/>
    <s v="OK"/>
  </r>
  <r>
    <n v="1012"/>
    <s v="Timothy Fowler"/>
    <n v="78"/>
    <s v="female"/>
    <d v="2025-07-15T00:00:00"/>
    <d v="2025-07-04T00:00:00"/>
    <s v="Donna Stephens"/>
    <x v="3"/>
    <s v="€236.27"/>
    <s v="High"/>
    <x v="5"/>
    <n v="11"/>
    <s v="OK"/>
  </r>
  <r>
    <n v="1049"/>
    <s v="Megan Russell"/>
    <n v="84"/>
    <s v="male"/>
    <d v="2025-12-26T00:00:00"/>
    <d v="2025-08-07T00:00:00"/>
    <s v="Autumn Hill"/>
    <x v="0"/>
    <s v="$359.17"/>
    <s v="High"/>
    <x v="1"/>
    <n v="141"/>
    <s v="OK"/>
  </r>
  <r>
    <n v="1081"/>
    <s v="Courtney Wright"/>
    <n v="43"/>
    <s v=""/>
    <d v="2025-07-26T00:00:00"/>
    <d v="2024-05-24T00:00:00"/>
    <s v="Daniel Morris"/>
    <x v="1"/>
    <s v="Rs362.65"/>
    <s v="High"/>
    <x v="0"/>
    <n v="428"/>
    <s v="Review"/>
  </r>
  <r>
    <n v="1045"/>
    <s v="Natalie Marquez"/>
    <n v="29"/>
    <s v="female"/>
    <d v="2025-07-18T00:00:00"/>
    <d v="2025-03-24T00:00:00"/>
    <s v="Jennifer Paul"/>
    <x v="2"/>
    <s v="£401.58"/>
    <s v="High"/>
    <x v="2"/>
    <n v="116"/>
    <s v="OK"/>
  </r>
  <r>
    <n v="1076"/>
    <s v="Sarah Wilson"/>
    <n v="79"/>
    <s v="M"/>
    <d v="2026-02-21T00:00:00"/>
    <d v="2024-08-08T00:00:00"/>
    <s v="Courtney Foley"/>
    <x v="1"/>
    <s v="$120.7"/>
    <s v="High"/>
    <x v="1"/>
    <n v="562"/>
    <s v="Review"/>
  </r>
  <r>
    <n v="1047"/>
    <s v="Ashley Estes"/>
    <n v="54"/>
    <s v="1"/>
    <d v="2025-06-02T00:00:00"/>
    <d v="2024-07-31T00:00:00"/>
    <s v="Stephanie Mercer"/>
    <x v="0"/>
    <s v="£405.15"/>
    <s v="High"/>
    <x v="3"/>
    <n v="306"/>
    <s v="OK"/>
  </r>
  <r>
    <n v="1068"/>
    <s v="William Bentley"/>
    <n v="42"/>
    <s v="male"/>
    <d v="2025-10-21T00:00:00"/>
    <d v="2025-03-31T00:00:00"/>
    <s v="Jacob Mckay"/>
    <x v="2"/>
    <s v="$263.3"/>
    <s v="High"/>
    <x v="3"/>
    <n v="204"/>
    <s v="OK"/>
  </r>
  <r>
    <n v="1021"/>
    <s v="James Carey"/>
    <n v="41"/>
    <s v="1"/>
    <d v="2025-04-03T00:00:00"/>
    <d v="2024-08-22T00:00:00"/>
    <s v="James Berger"/>
    <x v="1"/>
    <s v="£470.08"/>
    <s v="High"/>
    <x v="0"/>
    <n v="224"/>
    <s v="OK"/>
  </r>
  <r>
    <n v="1052"/>
    <s v="Nicholas Mcdaniel"/>
    <n v="48"/>
    <s v="F"/>
    <d v="2025-08-09T00:00:00"/>
    <d v="2025-04-26T00:00:00"/>
    <s v="Daniel Smith"/>
    <x v="1"/>
    <s v="€79.73"/>
    <s v="High"/>
    <x v="5"/>
    <n v="105"/>
    <s v="OK"/>
  </r>
  <r>
    <n v="1075"/>
    <s v="Cheryl Rogers"/>
    <n v="43"/>
    <s v="M"/>
    <d v="2026-01-12T00:00:00"/>
    <d v="2025-10-30T00:00:00"/>
    <s v="Victoria Hansen"/>
    <x v="3"/>
    <s v="£376.76"/>
    <s v="High"/>
    <x v="1"/>
    <n v="74"/>
    <s v="OK"/>
  </r>
  <r>
    <n v="1047"/>
    <s v="Patricia Jackson"/>
    <n v="76"/>
    <s v="0"/>
    <d v="2026-02-28T00:00:00"/>
    <d v="2024-11-19T00:00:00"/>
    <s v="Jennifer Martin"/>
    <x v="0"/>
    <s v="Rs378.92"/>
    <s v="High"/>
    <x v="5"/>
    <n v="466"/>
    <s v="Review"/>
  </r>
  <r>
    <n v="1017"/>
    <s v="Erin Bates"/>
    <n v="50"/>
    <s v="M"/>
    <d v="2025-06-13T00:00:00"/>
    <d v="2025-01-15T00:00:00"/>
    <s v="Chelsea Harris"/>
    <x v="0"/>
    <s v="$370.13"/>
    <s v="High"/>
    <x v="1"/>
    <n v="149"/>
    <s v="OK"/>
  </r>
  <r>
    <n v="1068"/>
    <s v="Aaron Holder"/>
    <n v="19"/>
    <s v="male"/>
    <d v="2026-01-26T00:00:00"/>
    <d v="2024-11-28T00:00:00"/>
    <s v="Lauren Ayers"/>
    <x v="3"/>
    <s v="Rs377.38"/>
    <s v="High"/>
    <x v="1"/>
    <n v="424"/>
    <s v="Review"/>
  </r>
  <r>
    <n v="1082"/>
    <s v="Thomas Roman"/>
    <n v="64"/>
    <s v="female"/>
    <d v="2025-09-14T00:00:00"/>
    <d v="2024-07-15T00:00:00"/>
    <s v="Robert Bass"/>
    <x v="3"/>
    <s v="Rs200.43"/>
    <s v="High"/>
    <x v="3"/>
    <n v="426"/>
    <s v="Review"/>
  </r>
  <r>
    <n v="1008"/>
    <s v="Jack Cooper"/>
    <n v="67"/>
    <s v="F"/>
    <d v="2025-04-09T00:00:00"/>
    <d v="2024-06-20T00:00:00"/>
    <s v="Christopher Smith"/>
    <x v="3"/>
    <s v="Rs244.49"/>
    <s v="High"/>
    <x v="2"/>
    <n v="293"/>
    <s v="OK"/>
  </r>
  <r>
    <n v="1022"/>
    <s v="Christopher Brown"/>
    <n v="28"/>
    <s v="1"/>
    <d v="2026-02-13T00:00:00"/>
    <d v="2024-06-13T00:00:00"/>
    <s v="Kimberly Johnson"/>
    <x v="2"/>
    <s v="£154.48"/>
    <s v="High"/>
    <x v="4"/>
    <n v="610"/>
    <s v="Review"/>
  </r>
  <r>
    <n v="1088"/>
    <s v="Michael Sullivan"/>
    <n v="65"/>
    <s v="F"/>
    <d v="2025-07-04T00:00:00"/>
    <d v="2024-04-15T00:00:00"/>
    <s v="Anthony Mccoy"/>
    <x v="2"/>
    <s v="$434.95"/>
    <s v="High"/>
    <x v="5"/>
    <n v="445"/>
    <s v="Review"/>
  </r>
  <r>
    <n v="1003"/>
    <s v="Perry Crawford"/>
    <n v="79"/>
    <s v="male"/>
    <d v="2025-11-05T00:00:00"/>
    <d v="2024-07-22T00:00:00"/>
    <s v="Marvin Hicks"/>
    <x v="0"/>
    <s v="€102.23"/>
    <s v="High"/>
    <x v="1"/>
    <n v="471"/>
    <s v="Revi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6EF9D-38AC-4080-BF0C-FA0E9FCC9660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3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ys_to_appointment" fld="1" subtotal="average" baseField="0" baseItem="0" numFmtId="2"/>
  </dataFields>
  <formats count="1">
    <format dxfId="20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ays_to_appointment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messy_clinic_appointments">
        <x15:activeTabTopLevelEntity name="[messy_clinic_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FAE56-7F3D-4310-81E1-FC89EC46D10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8:H24" firstHeaderRow="1" firstDataRow="2" firstDataCol="1"/>
  <pivotFields count="13">
    <pivotField dataField="1"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axis="axisCol" showAll="0">
      <items count="7">
        <item x="2"/>
        <item x="3"/>
        <item x="0"/>
        <item x="1"/>
        <item x="4"/>
        <item x="5"/>
        <item t="default"/>
      </items>
    </pivotField>
    <pivotField numFmtId="2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_id" fld="0" subtotal="count" baseField="7" baseItem="0"/>
  </dataField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0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AB407-0BBC-466E-B286-E2ECE2B22D15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numFmtId="2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illing_amount" fld="8" baseField="7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3D1660-E908-4393-93A6-FCD2365304AD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appointment_date" tableColumnId="5"/>
      <queryTableField id="6" name="booking_date" tableColumnId="6"/>
      <queryTableField id="7" name="doctor" tableColumnId="7"/>
      <queryTableField id="8" name="department" tableColumnId="8"/>
      <queryTableField id="9" name="billing_amount" tableColumnId="9"/>
      <queryTableField id="13" dataBound="0" tableColumnId="13"/>
      <queryTableField id="10" name="follow_up_required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476926-EC2D-420F-9022-9DB104CA62C2}" autoFormatId="16" applyNumberFormats="0" applyBorderFormats="0" applyFontFormats="0" applyPatternFormats="0" applyAlignmentFormats="0" applyWidthHeightFormats="0">
  <queryTableRefresh nextId="11">
    <queryTableFields count="10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appointment_date" tableColumnId="5"/>
      <queryTableField id="6" name="booking_date" tableColumnId="6"/>
      <queryTableField id="7" name="doctor" tableColumnId="7"/>
      <queryTableField id="8" name="department" tableColumnId="8"/>
      <queryTableField id="9" name="billing_amount" tableColumnId="9"/>
      <queryTableField id="10" name="follow_up_requir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DE78E-B00A-4615-85FD-A2916ED56002}" name="messy_clinic_appointments" displayName="messy_clinic_appointments" ref="A1:M1002" tableType="queryTable" totalsRowShown="0">
  <autoFilter ref="A1:M1002" xr:uid="{4B4DE78E-B00A-4615-85FD-A2916ED56002}"/>
  <tableColumns count="13">
    <tableColumn id="1" xr3:uid="{CD6BBA1E-6126-4C90-ABE5-75B56E485393}" uniqueName="1" name="patient_id" queryTableFieldId="1"/>
    <tableColumn id="2" xr3:uid="{179CD36B-8B7C-4A8C-8965-F751BDE7F3D2}" uniqueName="2" name="patient_name" queryTableFieldId="2" dataDxfId="17"/>
    <tableColumn id="3" xr3:uid="{F2DE441C-2440-4397-AA82-133DE8DE7F2F}" uniqueName="3" name="age" queryTableFieldId="3"/>
    <tableColumn id="4" xr3:uid="{2F204FA1-D4A3-4DAB-86FF-242DD17F45E3}" uniqueName="4" name="gender" queryTableFieldId="4" dataDxfId="16"/>
    <tableColumn id="5" xr3:uid="{ECE57F71-6B4D-40F0-AFEF-BB48FDBE8378}" uniqueName="5" name="appointment_date" queryTableFieldId="5" dataDxfId="15"/>
    <tableColumn id="6" xr3:uid="{3795CB99-F964-4B79-9806-1D01F7273344}" uniqueName="6" name="booking_date" queryTableFieldId="6" dataDxfId="14"/>
    <tableColumn id="7" xr3:uid="{5C815221-93D6-460F-8A3F-E8E689B6C1F4}" uniqueName="7" name="doctor" queryTableFieldId="7" dataDxfId="13"/>
    <tableColumn id="8" xr3:uid="{5865CBCA-7008-4300-9E22-F53BD7B2184A}" uniqueName="8" name="department" queryTableFieldId="8" dataDxfId="12"/>
    <tableColumn id="9" xr3:uid="{4F9E5C24-2891-4667-9EFE-6880EA861EDA}" uniqueName="9" name="billing_amount" queryTableFieldId="9" dataDxfId="11"/>
    <tableColumn id="13" xr3:uid="{C50D109C-82FA-4D41-A8AD-66CC40988F43}" uniqueName="13" name="Billing_Grade" queryTableFieldId="13" dataDxfId="10">
      <calculatedColumnFormula>IF(messy_clinic_appointments[[#This Row],[billing_amount]] &lt; 200, "Low", IF(messy_clinic_appointments[[#This Row],[billing_amount]]&lt;= 400, "Medium", "High"))</calculatedColumnFormula>
    </tableColumn>
    <tableColumn id="10" xr3:uid="{93EEDD64-3FAA-4662-B5B4-85256515959D}" uniqueName="10" name="follow_up_required" queryTableFieldId="10" dataDxfId="9"/>
    <tableColumn id="11" xr3:uid="{A08E8F77-0359-46C7-8765-11623044546A}" uniqueName="11" name="days_to_appointment" queryTableFieldId="11" dataDxfId="8">
      <calculatedColumnFormula>DATEDIF(messy_clinic_appointments[[#This Row],[booking_date]],messy_clinic_appointments[[#This Row],[appointment_date]],"d")</calculatedColumnFormula>
    </tableColumn>
    <tableColumn id="12" xr3:uid="{001943D7-2781-46B4-9EB4-A8D68E7D9A06}" uniqueName="12" name="Flag" queryTableFieldId="12" dataDxfId="7">
      <calculatedColumnFormula>IF(messy_clinic_appointments[[#This Row],[days_to_appointment]]&gt;365, "Review", "OK")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1A517-9C25-481B-851E-7CC1048D4248}" name="messy_clinic_appointments__2" displayName="messy_clinic_appointments__2" ref="A1:J1002" tableType="queryTable" totalsRowShown="0">
  <autoFilter ref="A1:J1002" xr:uid="{B311A517-9C25-481B-851E-7CC1048D4248}"/>
  <tableColumns count="10">
    <tableColumn id="1" xr3:uid="{1A5050AC-6B2E-43B1-84EB-04E5CFCEBB4A}" uniqueName="1" name="patient_id" queryTableFieldId="1"/>
    <tableColumn id="2" xr3:uid="{A01670E8-A0DE-40A2-AE46-B67216C24F2C}" uniqueName="2" name="patient_name" queryTableFieldId="2" dataDxfId="6"/>
    <tableColumn id="3" xr3:uid="{AD0C4600-921E-4F46-ABCE-401EBDEDB196}" uniqueName="3" name="age" queryTableFieldId="3"/>
    <tableColumn id="4" xr3:uid="{F4D48189-F7BB-4D9A-AD1F-E03206F575D5}" uniqueName="4" name="gender" queryTableFieldId="4" dataDxfId="5"/>
    <tableColumn id="5" xr3:uid="{10FDDEBC-C2FE-4369-9A02-BD65650349D2}" uniqueName="5" name="appointment_date" queryTableFieldId="5" dataDxfId="4"/>
    <tableColumn id="6" xr3:uid="{264BA77D-E244-4D28-A961-070B94DFD340}" uniqueName="6" name="booking_date" queryTableFieldId="6" dataDxfId="3"/>
    <tableColumn id="7" xr3:uid="{35ED521B-4E04-4E79-9F4F-BF9A726D9291}" uniqueName="7" name="doctor" queryTableFieldId="7" dataDxfId="2"/>
    <tableColumn id="8" xr3:uid="{81707782-7C45-485E-BC7B-59C41ABBDE21}" uniqueName="8" name="department" queryTableFieldId="8" dataDxfId="1"/>
    <tableColumn id="9" xr3:uid="{8F5D12E0-C71F-4443-8E39-56AD9866BD5E}" uniqueName="9" name="billing_amount" queryTableFieldId="9"/>
    <tableColumn id="10" xr3:uid="{3B048CC8-9A54-4A1E-B360-DB16349AF2DC}" uniqueName="10" name="follow_up_require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648B-C1F7-42BD-A425-C57A578542B9}">
  <dimension ref="A3:I39"/>
  <sheetViews>
    <sheetView topLeftCell="A7" zoomScaleNormal="100" workbookViewId="0">
      <selection activeCell="B35" sqref="B35"/>
    </sheetView>
  </sheetViews>
  <sheetFormatPr defaultRowHeight="15" x14ac:dyDescent="0.25"/>
  <cols>
    <col min="1" max="1" width="13.140625" bestFit="1" customWidth="1"/>
    <col min="2" max="2" width="21.42578125" bestFit="1" customWidth="1"/>
    <col min="3" max="3" width="4.140625" bestFit="1" customWidth="1"/>
    <col min="4" max="7" width="4" bestFit="1" customWidth="1"/>
    <col min="8" max="8" width="11.28515625" bestFit="1" customWidth="1"/>
    <col min="9" max="9" width="14.42578125" bestFit="1" customWidth="1"/>
  </cols>
  <sheetData>
    <row r="3" spans="1:2" x14ac:dyDescent="0.25">
      <c r="A3" s="3" t="s">
        <v>1961</v>
      </c>
      <c r="B3" t="s">
        <v>1963</v>
      </c>
    </row>
    <row r="4" spans="1:2" x14ac:dyDescent="0.25">
      <c r="A4" s="4" t="s">
        <v>12</v>
      </c>
      <c r="B4" s="14">
        <v>0</v>
      </c>
    </row>
    <row r="5" spans="1:2" x14ac:dyDescent="0.25">
      <c r="A5" s="4" t="s">
        <v>21</v>
      </c>
      <c r="B5" s="14">
        <v>0</v>
      </c>
    </row>
    <row r="6" spans="1:2" x14ac:dyDescent="0.25">
      <c r="A6" s="4" t="s">
        <v>18</v>
      </c>
      <c r="B6" s="14">
        <v>0</v>
      </c>
    </row>
    <row r="7" spans="1:2" x14ac:dyDescent="0.25">
      <c r="A7" s="4" t="s">
        <v>15</v>
      </c>
      <c r="B7" s="14">
        <v>0</v>
      </c>
    </row>
    <row r="8" spans="1:2" x14ac:dyDescent="0.25">
      <c r="A8" s="4" t="s">
        <v>1962</v>
      </c>
      <c r="B8" s="14">
        <v>0</v>
      </c>
    </row>
    <row r="18" spans="1:8" x14ac:dyDescent="0.25">
      <c r="A18" s="3" t="s">
        <v>1965</v>
      </c>
      <c r="B18" s="3" t="s">
        <v>1964</v>
      </c>
    </row>
    <row r="19" spans="1:8" x14ac:dyDescent="0.25">
      <c r="A19" s="3" t="s">
        <v>1961</v>
      </c>
      <c r="B19" t="s">
        <v>22</v>
      </c>
      <c r="C19" t="s">
        <v>28</v>
      </c>
      <c r="D19" t="s">
        <v>2010</v>
      </c>
      <c r="E19" t="s">
        <v>2013</v>
      </c>
      <c r="F19" t="s">
        <v>2026</v>
      </c>
      <c r="G19" t="s">
        <v>2039</v>
      </c>
      <c r="H19" t="s">
        <v>1962</v>
      </c>
    </row>
    <row r="20" spans="1:8" x14ac:dyDescent="0.25">
      <c r="A20" s="4" t="s">
        <v>12</v>
      </c>
      <c r="B20" s="14">
        <v>32</v>
      </c>
      <c r="C20" s="14">
        <v>33</v>
      </c>
      <c r="D20" s="14">
        <v>41</v>
      </c>
      <c r="E20" s="14">
        <v>46</v>
      </c>
      <c r="F20" s="14">
        <v>44</v>
      </c>
      <c r="G20" s="14">
        <v>38</v>
      </c>
      <c r="H20" s="14">
        <v>234</v>
      </c>
    </row>
    <row r="21" spans="1:8" x14ac:dyDescent="0.25">
      <c r="A21" s="4" t="s">
        <v>21</v>
      </c>
      <c r="B21" s="14">
        <v>30</v>
      </c>
      <c r="C21" s="14">
        <v>43</v>
      </c>
      <c r="D21" s="14">
        <v>37</v>
      </c>
      <c r="E21" s="14">
        <v>45</v>
      </c>
      <c r="F21" s="14">
        <v>33</v>
      </c>
      <c r="G21" s="14">
        <v>43</v>
      </c>
      <c r="H21" s="14">
        <v>231</v>
      </c>
    </row>
    <row r="22" spans="1:8" x14ac:dyDescent="0.25">
      <c r="A22" s="4" t="s">
        <v>18</v>
      </c>
      <c r="B22" s="14">
        <v>42</v>
      </c>
      <c r="C22" s="14">
        <v>61</v>
      </c>
      <c r="D22" s="14">
        <v>35</v>
      </c>
      <c r="E22" s="14">
        <v>44</v>
      </c>
      <c r="F22" s="14">
        <v>34</v>
      </c>
      <c r="G22" s="14">
        <v>57</v>
      </c>
      <c r="H22" s="14">
        <v>273</v>
      </c>
    </row>
    <row r="23" spans="1:8" x14ac:dyDescent="0.25">
      <c r="A23" s="4" t="s">
        <v>15</v>
      </c>
      <c r="B23" s="14">
        <v>43</v>
      </c>
      <c r="C23" s="14">
        <v>44</v>
      </c>
      <c r="D23" s="14">
        <v>38</v>
      </c>
      <c r="E23" s="14">
        <v>47</v>
      </c>
      <c r="F23" s="14">
        <v>43</v>
      </c>
      <c r="G23" s="14">
        <v>47</v>
      </c>
      <c r="H23" s="14">
        <v>262</v>
      </c>
    </row>
    <row r="24" spans="1:8" x14ac:dyDescent="0.25">
      <c r="A24" s="4" t="s">
        <v>1962</v>
      </c>
      <c r="B24" s="14">
        <v>147</v>
      </c>
      <c r="C24" s="14">
        <v>181</v>
      </c>
      <c r="D24" s="14">
        <v>151</v>
      </c>
      <c r="E24" s="14">
        <v>182</v>
      </c>
      <c r="F24" s="14">
        <v>154</v>
      </c>
      <c r="G24" s="14">
        <v>185</v>
      </c>
      <c r="H24" s="14">
        <v>1000</v>
      </c>
    </row>
    <row r="30" spans="1:8" x14ac:dyDescent="0.25">
      <c r="A30" s="3" t="s">
        <v>1961</v>
      </c>
      <c r="B30" t="s">
        <v>1971</v>
      </c>
    </row>
    <row r="31" spans="1:8" x14ac:dyDescent="0.25">
      <c r="A31" s="4" t="s">
        <v>12</v>
      </c>
      <c r="B31" s="2">
        <v>269.73931623931622</v>
      </c>
    </row>
    <row r="32" spans="1:8" x14ac:dyDescent="0.25">
      <c r="A32" s="4" t="s">
        <v>21</v>
      </c>
      <c r="B32" s="2">
        <v>280.27705627705626</v>
      </c>
    </row>
    <row r="33" spans="1:9" x14ac:dyDescent="0.25">
      <c r="A33" s="4" t="s">
        <v>18</v>
      </c>
      <c r="B33" s="2">
        <v>271.35531135531136</v>
      </c>
    </row>
    <row r="34" spans="1:9" x14ac:dyDescent="0.25">
      <c r="A34" s="4" t="s">
        <v>15</v>
      </c>
      <c r="B34" s="2">
        <v>277.17557251908397</v>
      </c>
    </row>
    <row r="35" spans="1:9" x14ac:dyDescent="0.25">
      <c r="A35" s="4" t="s">
        <v>1962</v>
      </c>
      <c r="B35" s="2">
        <v>274.56299999999999</v>
      </c>
      <c r="F35" t="s">
        <v>1966</v>
      </c>
      <c r="G35" t="s">
        <v>1967</v>
      </c>
      <c r="H35" t="s">
        <v>1968</v>
      </c>
      <c r="I35" t="s">
        <v>1969</v>
      </c>
    </row>
    <row r="36" spans="1:9" x14ac:dyDescent="0.25">
      <c r="F36" s="4" t="s">
        <v>12</v>
      </c>
      <c r="G36">
        <v>234</v>
      </c>
      <c r="H36">
        <v>120</v>
      </c>
      <c r="I36" s="5">
        <f>H36/G36</f>
        <v>0.51282051282051277</v>
      </c>
    </row>
    <row r="37" spans="1:9" x14ac:dyDescent="0.25">
      <c r="F37" s="4" t="s">
        <v>21</v>
      </c>
      <c r="G37">
        <v>231</v>
      </c>
      <c r="H37">
        <v>125</v>
      </c>
      <c r="I37" s="5">
        <f t="shared" ref="I37:I39" si="0">H37/G37</f>
        <v>0.54112554112554112</v>
      </c>
    </row>
    <row r="38" spans="1:9" x14ac:dyDescent="0.25">
      <c r="F38" s="4" t="s">
        <v>18</v>
      </c>
      <c r="G38">
        <v>273</v>
      </c>
      <c r="H38">
        <v>140</v>
      </c>
      <c r="I38" s="5">
        <f t="shared" si="0"/>
        <v>0.51282051282051277</v>
      </c>
    </row>
    <row r="39" spans="1:9" x14ac:dyDescent="0.25">
      <c r="F39" s="4" t="s">
        <v>15</v>
      </c>
      <c r="G39">
        <v>262</v>
      </c>
      <c r="H39">
        <v>129</v>
      </c>
      <c r="I39" s="5">
        <f t="shared" si="0"/>
        <v>0.49236641221374045</v>
      </c>
    </row>
  </sheetData>
  <pageMargins left="0.7" right="0.7" top="0.75" bottom="0.75" header="0.3" footer="0.3"/>
  <pageSetup orientation="portrait" horizontalDpi="360" verticalDpi="36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0209-01B0-44F9-BD68-E2ABEBE2C36A}">
  <dimension ref="A1:M1002"/>
  <sheetViews>
    <sheetView topLeftCell="F1" zoomScaleNormal="100" workbookViewId="0">
      <selection activeCell="J3" sqref="J3"/>
    </sheetView>
  </sheetViews>
  <sheetFormatPr defaultRowHeight="15" x14ac:dyDescent="0.25"/>
  <cols>
    <col min="1" max="1" width="12.42578125" bestFit="1" customWidth="1"/>
    <col min="2" max="2" width="24.28515625" bestFit="1" customWidth="1"/>
    <col min="3" max="3" width="6.42578125" bestFit="1" customWidth="1"/>
    <col min="4" max="4" width="9.5703125" bestFit="1" customWidth="1"/>
    <col min="5" max="5" width="20.140625" style="1" bestFit="1" customWidth="1"/>
    <col min="6" max="6" width="15.5703125" bestFit="1" customWidth="1"/>
    <col min="7" max="7" width="22.7109375" bestFit="1" customWidth="1"/>
    <col min="8" max="8" width="13.85546875" bestFit="1" customWidth="1"/>
    <col min="9" max="9" width="16.85546875" bestFit="1" customWidth="1"/>
    <col min="10" max="10" width="15.42578125" bestFit="1" customWidth="1"/>
    <col min="11" max="11" width="21.28515625" bestFit="1" customWidth="1"/>
    <col min="12" max="12" width="23" style="2" bestFit="1" customWidth="1"/>
    <col min="13" max="13" width="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1987</v>
      </c>
      <c r="K1" t="s">
        <v>9</v>
      </c>
      <c r="L1" s="2" t="s">
        <v>1970</v>
      </c>
      <c r="M1" t="s">
        <v>1972</v>
      </c>
    </row>
    <row r="2" spans="1:13" x14ac:dyDescent="0.25">
      <c r="A2">
        <v>1080</v>
      </c>
      <c r="B2" s="14" t="s">
        <v>10</v>
      </c>
      <c r="C2">
        <v>76</v>
      </c>
      <c r="D2" s="14" t="s">
        <v>2008</v>
      </c>
      <c r="E2" s="1">
        <v>46079</v>
      </c>
      <c r="F2" s="1">
        <v>45629</v>
      </c>
      <c r="G2" s="14" t="s">
        <v>11</v>
      </c>
      <c r="H2" s="14" t="s">
        <v>12</v>
      </c>
      <c r="I2" s="14" t="s">
        <v>2009</v>
      </c>
      <c r="J2" s="14" t="str">
        <f>IF(messy_clinic_appointments[[#This Row],[billing_amount]] &lt; 200, "Low", IF(messy_clinic_appointments[[#This Row],[billing_amount]]&lt;= 400, "Medium", "High"))</f>
        <v>High</v>
      </c>
      <c r="K2" s="14" t="s">
        <v>2010</v>
      </c>
      <c r="L2" s="2">
        <f>DATEDIF(messy_clinic_appointments[[#This Row],[booking_date]],messy_clinic_appointments[[#This Row],[appointment_date]],"d")</f>
        <v>450</v>
      </c>
      <c r="M2" s="14" t="str">
        <f>IF(messy_clinic_appointments[[#This Row],[days_to_appointment]]&gt;365, "Review", "OK")</f>
        <v>Review</v>
      </c>
    </row>
    <row r="3" spans="1:13" x14ac:dyDescent="0.25">
      <c r="A3">
        <v>1074</v>
      </c>
      <c r="B3" s="14" t="s">
        <v>13</v>
      </c>
      <c r="C3">
        <v>69</v>
      </c>
      <c r="D3" s="14" t="s">
        <v>2011</v>
      </c>
      <c r="E3" s="1">
        <v>45800</v>
      </c>
      <c r="F3" s="1">
        <v>45455</v>
      </c>
      <c r="G3" s="14" t="s">
        <v>14</v>
      </c>
      <c r="H3" s="14" t="s">
        <v>15</v>
      </c>
      <c r="I3" s="14" t="s">
        <v>2012</v>
      </c>
      <c r="J3" s="14" t="str">
        <f>IF(messy_clinic_appointments[[#This Row],[billing_amount]] &lt; 200, "Low", IF(messy_clinic_appointments[[#This Row],[billing_amount]]&lt;= 400, "Medium", "High"))</f>
        <v>High</v>
      </c>
      <c r="K3" s="14" t="s">
        <v>2013</v>
      </c>
      <c r="L3" s="2">
        <f>DATEDIF(messy_clinic_appointments[[#This Row],[booking_date]],messy_clinic_appointments[[#This Row],[appointment_date]],"d")</f>
        <v>345</v>
      </c>
      <c r="M3" s="14" t="str">
        <f>IF(messy_clinic_appointments[[#This Row],[days_to_appointment]]&gt;365, "Review", "OK")</f>
        <v>OK</v>
      </c>
    </row>
    <row r="4" spans="1:13" x14ac:dyDescent="0.25">
      <c r="A4">
        <v>1067</v>
      </c>
      <c r="B4" s="14" t="s">
        <v>16</v>
      </c>
      <c r="C4">
        <v>79</v>
      </c>
      <c r="D4" s="14" t="s">
        <v>2014</v>
      </c>
      <c r="E4" s="1">
        <v>45991</v>
      </c>
      <c r="F4" s="1">
        <v>45509</v>
      </c>
      <c r="G4" s="14" t="s">
        <v>17</v>
      </c>
      <c r="H4" s="14" t="s">
        <v>18</v>
      </c>
      <c r="I4" s="14" t="s">
        <v>2015</v>
      </c>
      <c r="J4" s="14" t="str">
        <f>IF(messy_clinic_appointments[[#This Row],[billing_amount]] &lt; 200, "Low", IF(messy_clinic_appointments[[#This Row],[billing_amount]]&lt;= 400, "Medium", "High"))</f>
        <v>High</v>
      </c>
      <c r="K4" s="14" t="s">
        <v>2013</v>
      </c>
      <c r="L4" s="2">
        <f>DATEDIF(messy_clinic_appointments[[#This Row],[booking_date]],messy_clinic_appointments[[#This Row],[appointment_date]],"d")</f>
        <v>482</v>
      </c>
      <c r="M4" s="14" t="str">
        <f>IF(messy_clinic_appointments[[#This Row],[days_to_appointment]]&gt;365, "Review", "OK")</f>
        <v>Review</v>
      </c>
    </row>
    <row r="5" spans="1:13" x14ac:dyDescent="0.25">
      <c r="A5">
        <v>1072</v>
      </c>
      <c r="B5" s="14" t="s">
        <v>19</v>
      </c>
      <c r="C5">
        <v>47</v>
      </c>
      <c r="D5" s="14" t="s">
        <v>2011</v>
      </c>
      <c r="E5" s="1">
        <v>45795</v>
      </c>
      <c r="F5" s="1">
        <v>45544</v>
      </c>
      <c r="G5" s="14" t="s">
        <v>20</v>
      </c>
      <c r="H5" s="14" t="s">
        <v>21</v>
      </c>
      <c r="I5" s="14" t="s">
        <v>2016</v>
      </c>
      <c r="J5" s="14" t="str">
        <f>IF(messy_clinic_appointments[[#This Row],[billing_amount]] &lt; 200, "Low", IF(messy_clinic_appointments[[#This Row],[billing_amount]]&lt;= 400, "Medium", "High"))</f>
        <v>High</v>
      </c>
      <c r="K5" s="14" t="s">
        <v>22</v>
      </c>
      <c r="L5" s="2">
        <f>DATEDIF(messy_clinic_appointments[[#This Row],[booking_date]],messy_clinic_appointments[[#This Row],[appointment_date]],"d")</f>
        <v>251</v>
      </c>
      <c r="M5" s="14" t="str">
        <f>IF(messy_clinic_appointments[[#This Row],[days_to_appointment]]&gt;365, "Review", "OK")</f>
        <v>OK</v>
      </c>
    </row>
    <row r="6" spans="1:13" x14ac:dyDescent="0.25">
      <c r="A6">
        <v>1092</v>
      </c>
      <c r="B6" s="14" t="s">
        <v>23</v>
      </c>
      <c r="C6">
        <v>45</v>
      </c>
      <c r="D6" s="14" t="s">
        <v>24</v>
      </c>
      <c r="E6" s="1">
        <v>46088</v>
      </c>
      <c r="F6" s="1">
        <v>45521</v>
      </c>
      <c r="G6" s="14" t="s">
        <v>25</v>
      </c>
      <c r="H6" s="14" t="s">
        <v>21</v>
      </c>
      <c r="I6" s="14" t="s">
        <v>2017</v>
      </c>
      <c r="J6" s="14" t="str">
        <f>IF(messy_clinic_appointments[[#This Row],[billing_amount]] &lt; 200, "Low", IF(messy_clinic_appointments[[#This Row],[billing_amount]]&lt;= 400, "Medium", "High"))</f>
        <v>High</v>
      </c>
      <c r="K6" s="14" t="s">
        <v>2010</v>
      </c>
      <c r="L6" s="2">
        <f>DATEDIF(messy_clinic_appointments[[#This Row],[booking_date]],messy_clinic_appointments[[#This Row],[appointment_date]],"d")</f>
        <v>567</v>
      </c>
      <c r="M6" s="14" t="str">
        <f>IF(messy_clinic_appointments[[#This Row],[days_to_appointment]]&gt;365, "Review", "OK")</f>
        <v>Review</v>
      </c>
    </row>
    <row r="7" spans="1:13" x14ac:dyDescent="0.25">
      <c r="A7">
        <v>1057</v>
      </c>
      <c r="B7" s="14" t="s">
        <v>26</v>
      </c>
      <c r="C7">
        <v>78</v>
      </c>
      <c r="D7" s="14" t="s">
        <v>2010</v>
      </c>
      <c r="E7" s="1">
        <v>45926</v>
      </c>
      <c r="F7" s="1">
        <v>45900</v>
      </c>
      <c r="G7" s="14" t="s">
        <v>27</v>
      </c>
      <c r="H7" s="14" t="s">
        <v>21</v>
      </c>
      <c r="I7" s="14" t="s">
        <v>24</v>
      </c>
      <c r="J7" s="14" t="str">
        <f>IF(messy_clinic_appointments[[#This Row],[billing_amount]] &lt; 200, "Low", IF(messy_clinic_appointments[[#This Row],[billing_amount]]&lt;= 400, "Medium", "High"))</f>
        <v>High</v>
      </c>
      <c r="K7" s="14" t="s">
        <v>28</v>
      </c>
      <c r="L7" s="2">
        <f>DATEDIF(messy_clinic_appointments[[#This Row],[booking_date]],messy_clinic_appointments[[#This Row],[appointment_date]],"d")</f>
        <v>26</v>
      </c>
      <c r="M7" s="14" t="str">
        <f>IF(messy_clinic_appointments[[#This Row],[days_to_appointment]]&gt;365, "Review", "OK")</f>
        <v>OK</v>
      </c>
    </row>
    <row r="8" spans="1:13" x14ac:dyDescent="0.25">
      <c r="A8">
        <v>1018</v>
      </c>
      <c r="B8" s="14" t="s">
        <v>29</v>
      </c>
      <c r="C8">
        <v>22</v>
      </c>
      <c r="D8" s="14" t="s">
        <v>30</v>
      </c>
      <c r="E8" s="1">
        <v>45960</v>
      </c>
      <c r="F8" s="1">
        <v>45655</v>
      </c>
      <c r="G8" s="14" t="s">
        <v>31</v>
      </c>
      <c r="H8" s="14" t="s">
        <v>12</v>
      </c>
      <c r="I8" s="14" t="s">
        <v>2018</v>
      </c>
      <c r="J8" s="14" t="str">
        <f>IF(messy_clinic_appointments[[#This Row],[billing_amount]] &lt; 200, "Low", IF(messy_clinic_appointments[[#This Row],[billing_amount]]&lt;= 400, "Medium", "High"))</f>
        <v>High</v>
      </c>
      <c r="K8" s="14" t="s">
        <v>22</v>
      </c>
      <c r="L8" s="2">
        <f>DATEDIF(messy_clinic_appointments[[#This Row],[booking_date]],messy_clinic_appointments[[#This Row],[appointment_date]],"d")</f>
        <v>305</v>
      </c>
      <c r="M8" s="14" t="str">
        <f>IF(messy_clinic_appointments[[#This Row],[days_to_appointment]]&gt;365, "Review", "OK")</f>
        <v>OK</v>
      </c>
    </row>
    <row r="9" spans="1:13" x14ac:dyDescent="0.25">
      <c r="A9">
        <v>1074</v>
      </c>
      <c r="B9" s="14" t="s">
        <v>32</v>
      </c>
      <c r="C9">
        <v>57</v>
      </c>
      <c r="D9" s="14" t="s">
        <v>2014</v>
      </c>
      <c r="E9" s="1">
        <v>45770</v>
      </c>
      <c r="F9" s="1">
        <v>45744</v>
      </c>
      <c r="G9" s="14" t="s">
        <v>33</v>
      </c>
      <c r="H9" s="14" t="s">
        <v>18</v>
      </c>
      <c r="I9" s="14" t="s">
        <v>2019</v>
      </c>
      <c r="J9" s="14" t="str">
        <f>IF(messy_clinic_appointments[[#This Row],[billing_amount]] &lt; 200, "Low", IF(messy_clinic_appointments[[#This Row],[billing_amount]]&lt;= 400, "Medium", "High"))</f>
        <v>High</v>
      </c>
      <c r="K9" s="14" t="s">
        <v>22</v>
      </c>
      <c r="L9" s="2">
        <f>DATEDIF(messy_clinic_appointments[[#This Row],[booking_date]],messy_clinic_appointments[[#This Row],[appointment_date]],"d")</f>
        <v>26</v>
      </c>
      <c r="M9" s="14" t="str">
        <f>IF(messy_clinic_appointments[[#This Row],[days_to_appointment]]&gt;365, "Review", "OK")</f>
        <v>OK</v>
      </c>
    </row>
    <row r="10" spans="1:13" x14ac:dyDescent="0.25">
      <c r="A10">
        <v>1041</v>
      </c>
      <c r="B10" s="14" t="s">
        <v>34</v>
      </c>
      <c r="C10">
        <v>54</v>
      </c>
      <c r="D10" s="14" t="s">
        <v>2008</v>
      </c>
      <c r="E10" s="1">
        <v>45891</v>
      </c>
      <c r="F10" s="1">
        <v>45603</v>
      </c>
      <c r="G10" s="14" t="s">
        <v>35</v>
      </c>
      <c r="H10" s="14" t="s">
        <v>21</v>
      </c>
      <c r="I10" s="14" t="s">
        <v>2020</v>
      </c>
      <c r="J10" s="14" t="str">
        <f>IF(messy_clinic_appointments[[#This Row],[billing_amount]] &lt; 200, "Low", IF(messy_clinic_appointments[[#This Row],[billing_amount]]&lt;= 400, "Medium", "High"))</f>
        <v>High</v>
      </c>
      <c r="K10" s="14" t="s">
        <v>28</v>
      </c>
      <c r="L10" s="2">
        <f>DATEDIF(messy_clinic_appointments[[#This Row],[booking_date]],messy_clinic_appointments[[#This Row],[appointment_date]],"d")</f>
        <v>288</v>
      </c>
      <c r="M10" s="14" t="str">
        <f>IF(messy_clinic_appointments[[#This Row],[days_to_appointment]]&gt;365, "Review", "OK")</f>
        <v>OK</v>
      </c>
    </row>
    <row r="11" spans="1:13" x14ac:dyDescent="0.25">
      <c r="A11">
        <v>1011</v>
      </c>
      <c r="B11" s="14" t="s">
        <v>36</v>
      </c>
      <c r="C11">
        <v>45</v>
      </c>
      <c r="D11" s="14" t="s">
        <v>2014</v>
      </c>
      <c r="E11" s="1">
        <v>46097</v>
      </c>
      <c r="F11" s="1">
        <v>46003</v>
      </c>
      <c r="G11" s="14" t="s">
        <v>1989</v>
      </c>
      <c r="H11" s="14" t="s">
        <v>18</v>
      </c>
      <c r="I11" s="14" t="s">
        <v>2021</v>
      </c>
      <c r="J11" s="14" t="str">
        <f>IF(messy_clinic_appointments[[#This Row],[billing_amount]] &lt; 200, "Low", IF(messy_clinic_appointments[[#This Row],[billing_amount]]&lt;= 400, "Medium", "High"))</f>
        <v>High</v>
      </c>
      <c r="K11" s="14" t="s">
        <v>28</v>
      </c>
      <c r="L11" s="2">
        <f>DATEDIF(messy_clinic_appointments[[#This Row],[booking_date]],messy_clinic_appointments[[#This Row],[appointment_date]],"d")</f>
        <v>94</v>
      </c>
      <c r="M11" s="14" t="str">
        <f>IF(messy_clinic_appointments[[#This Row],[days_to_appointment]]&gt;365, "Review", "OK")</f>
        <v>OK</v>
      </c>
    </row>
    <row r="12" spans="1:13" x14ac:dyDescent="0.25">
      <c r="A12">
        <v>1086</v>
      </c>
      <c r="B12" s="14" t="s">
        <v>37</v>
      </c>
      <c r="C12">
        <v>54</v>
      </c>
      <c r="D12" s="14" t="s">
        <v>2022</v>
      </c>
      <c r="E12" s="1">
        <v>45771</v>
      </c>
      <c r="F12" s="1">
        <v>45572</v>
      </c>
      <c r="G12" s="14" t="s">
        <v>38</v>
      </c>
      <c r="H12" s="14" t="s">
        <v>12</v>
      </c>
      <c r="I12" s="14" t="s">
        <v>2023</v>
      </c>
      <c r="J12" s="14" t="str">
        <f>IF(messy_clinic_appointments[[#This Row],[billing_amount]] &lt; 200, "Low", IF(messy_clinic_appointments[[#This Row],[billing_amount]]&lt;= 400, "Medium", "High"))</f>
        <v>High</v>
      </c>
      <c r="K12" s="14" t="s">
        <v>2013</v>
      </c>
      <c r="L12" s="2">
        <f>DATEDIF(messy_clinic_appointments[[#This Row],[booking_date]],messy_clinic_appointments[[#This Row],[appointment_date]],"d")</f>
        <v>199</v>
      </c>
      <c r="M12" s="14" t="str">
        <f>IF(messy_clinic_appointments[[#This Row],[days_to_appointment]]&gt;365, "Review", "OK")</f>
        <v>OK</v>
      </c>
    </row>
    <row r="13" spans="1:13" x14ac:dyDescent="0.25">
      <c r="A13">
        <v>1041</v>
      </c>
      <c r="B13" s="14" t="s">
        <v>39</v>
      </c>
      <c r="C13">
        <v>68</v>
      </c>
      <c r="D13" s="14" t="s">
        <v>2011</v>
      </c>
      <c r="E13" s="1">
        <v>46088</v>
      </c>
      <c r="F13" s="1">
        <v>45406</v>
      </c>
      <c r="G13" s="14" t="s">
        <v>40</v>
      </c>
      <c r="H13" s="14" t="s">
        <v>21</v>
      </c>
      <c r="I13" s="14" t="s">
        <v>2024</v>
      </c>
      <c r="J13" s="14" t="str">
        <f>IF(messy_clinic_appointments[[#This Row],[billing_amount]] &lt; 200, "Low", IF(messy_clinic_appointments[[#This Row],[billing_amount]]&lt;= 400, "Medium", "High"))</f>
        <v>High</v>
      </c>
      <c r="K13" s="14" t="s">
        <v>28</v>
      </c>
      <c r="L13" s="2">
        <f>DATEDIF(messy_clinic_appointments[[#This Row],[booking_date]],messy_clinic_appointments[[#This Row],[appointment_date]],"d")</f>
        <v>682</v>
      </c>
      <c r="M13" s="14" t="str">
        <f>IF(messy_clinic_appointments[[#This Row],[days_to_appointment]]&gt;365, "Review", "OK")</f>
        <v>Review</v>
      </c>
    </row>
    <row r="14" spans="1:13" x14ac:dyDescent="0.25">
      <c r="A14">
        <v>1057</v>
      </c>
      <c r="B14" s="14" t="s">
        <v>41</v>
      </c>
      <c r="C14">
        <v>61</v>
      </c>
      <c r="D14" s="14" t="s">
        <v>2010</v>
      </c>
      <c r="E14" s="1">
        <v>45869</v>
      </c>
      <c r="F14" s="1">
        <v>45417</v>
      </c>
      <c r="G14" s="14" t="s">
        <v>42</v>
      </c>
      <c r="H14" s="14" t="s">
        <v>18</v>
      </c>
      <c r="I14" s="14" t="s">
        <v>2025</v>
      </c>
      <c r="J14" s="14" t="str">
        <f>IF(messy_clinic_appointments[[#This Row],[billing_amount]] &lt; 200, "Low", IF(messy_clinic_appointments[[#This Row],[billing_amount]]&lt;= 400, "Medium", "High"))</f>
        <v>High</v>
      </c>
      <c r="K14" s="14" t="s">
        <v>2026</v>
      </c>
      <c r="L14" s="2">
        <f>DATEDIF(messy_clinic_appointments[[#This Row],[booking_date]],messy_clinic_appointments[[#This Row],[appointment_date]],"d")</f>
        <v>452</v>
      </c>
      <c r="M14" s="14" t="str">
        <f>IF(messy_clinic_appointments[[#This Row],[days_to_appointment]]&gt;365, "Review", "OK")</f>
        <v>Review</v>
      </c>
    </row>
    <row r="15" spans="1:13" x14ac:dyDescent="0.25">
      <c r="A15">
        <v>1022</v>
      </c>
      <c r="B15" s="14" t="s">
        <v>43</v>
      </c>
      <c r="C15">
        <v>70</v>
      </c>
      <c r="D15" s="14" t="s">
        <v>2014</v>
      </c>
      <c r="E15" s="1">
        <v>45921</v>
      </c>
      <c r="F15" s="1">
        <v>45602</v>
      </c>
      <c r="G15" s="14" t="s">
        <v>44</v>
      </c>
      <c r="H15" s="14" t="s">
        <v>15</v>
      </c>
      <c r="I15" s="14" t="s">
        <v>2027</v>
      </c>
      <c r="J15" s="14" t="str">
        <f>IF(messy_clinic_appointments[[#This Row],[billing_amount]] &lt; 200, "Low", IF(messy_clinic_appointments[[#This Row],[billing_amount]]&lt;= 400, "Medium", "High"))</f>
        <v>High</v>
      </c>
      <c r="K15" s="14" t="s">
        <v>2013</v>
      </c>
      <c r="L15" s="2">
        <f>DATEDIF(messy_clinic_appointments[[#This Row],[booking_date]],messy_clinic_appointments[[#This Row],[appointment_date]],"d")</f>
        <v>319</v>
      </c>
      <c r="M15" s="14" t="str">
        <f>IF(messy_clinic_appointments[[#This Row],[days_to_appointment]]&gt;365, "Review", "OK")</f>
        <v>OK</v>
      </c>
    </row>
    <row r="16" spans="1:13" x14ac:dyDescent="0.25">
      <c r="A16">
        <v>1046</v>
      </c>
      <c r="B16" s="14" t="s">
        <v>45</v>
      </c>
      <c r="C16">
        <v>36</v>
      </c>
      <c r="D16" s="14" t="s">
        <v>2011</v>
      </c>
      <c r="E16" s="1">
        <v>46093</v>
      </c>
      <c r="F16" s="1">
        <v>45969</v>
      </c>
      <c r="G16" s="14" t="s">
        <v>46</v>
      </c>
      <c r="H16" s="14" t="s">
        <v>12</v>
      </c>
      <c r="I16" s="14" t="s">
        <v>2028</v>
      </c>
      <c r="J16" s="14" t="str">
        <f>IF(messy_clinic_appointments[[#This Row],[billing_amount]] &lt; 200, "Low", IF(messy_clinic_appointments[[#This Row],[billing_amount]]&lt;= 400, "Medium", "High"))</f>
        <v>High</v>
      </c>
      <c r="K16" s="14" t="s">
        <v>2026</v>
      </c>
      <c r="L16" s="2">
        <f>DATEDIF(messy_clinic_appointments[[#This Row],[booking_date]],messy_clinic_appointments[[#This Row],[appointment_date]],"d")</f>
        <v>124</v>
      </c>
      <c r="M16" s="14" t="str">
        <f>IF(messy_clinic_appointments[[#This Row],[days_to_appointment]]&gt;365, "Review", "OK")</f>
        <v>OK</v>
      </c>
    </row>
    <row r="17" spans="1:13" x14ac:dyDescent="0.25">
      <c r="A17">
        <v>1025</v>
      </c>
      <c r="B17" s="14" t="s">
        <v>47</v>
      </c>
      <c r="C17">
        <v>23</v>
      </c>
      <c r="D17" s="14" t="s">
        <v>2008</v>
      </c>
      <c r="E17" s="1">
        <v>46059</v>
      </c>
      <c r="F17" s="1">
        <v>45725</v>
      </c>
      <c r="G17" s="14" t="s">
        <v>48</v>
      </c>
      <c r="H17" s="14" t="s">
        <v>15</v>
      </c>
      <c r="I17" s="14" t="s">
        <v>2029</v>
      </c>
      <c r="J17" s="14" t="str">
        <f>IF(messy_clinic_appointments[[#This Row],[billing_amount]] &lt; 200, "Low", IF(messy_clinic_appointments[[#This Row],[billing_amount]]&lt;= 400, "Medium", "High"))</f>
        <v>High</v>
      </c>
      <c r="K17" s="14" t="s">
        <v>2013</v>
      </c>
      <c r="L17" s="2">
        <f>DATEDIF(messy_clinic_appointments[[#This Row],[booking_date]],messy_clinic_appointments[[#This Row],[appointment_date]],"d")</f>
        <v>334</v>
      </c>
      <c r="M17" s="14" t="str">
        <f>IF(messy_clinic_appointments[[#This Row],[days_to_appointment]]&gt;365, "Review", "OK")</f>
        <v>OK</v>
      </c>
    </row>
    <row r="18" spans="1:13" x14ac:dyDescent="0.25">
      <c r="A18">
        <v>1027</v>
      </c>
      <c r="B18" s="14" t="s">
        <v>49</v>
      </c>
      <c r="C18">
        <v>72</v>
      </c>
      <c r="D18" s="14" t="s">
        <v>50</v>
      </c>
      <c r="E18" s="1">
        <v>45896</v>
      </c>
      <c r="F18" s="1">
        <v>45701</v>
      </c>
      <c r="G18" s="14" t="s">
        <v>51</v>
      </c>
      <c r="H18" s="14" t="s">
        <v>12</v>
      </c>
      <c r="I18" s="14" t="s">
        <v>2030</v>
      </c>
      <c r="J18" s="14" t="str">
        <f>IF(messy_clinic_appointments[[#This Row],[billing_amount]] &lt; 200, "Low", IF(messy_clinic_appointments[[#This Row],[billing_amount]]&lt;= 400, "Medium", "High"))</f>
        <v>High</v>
      </c>
      <c r="K18" s="14" t="s">
        <v>28</v>
      </c>
      <c r="L18" s="2">
        <f>DATEDIF(messy_clinic_appointments[[#This Row],[booking_date]],messy_clinic_appointments[[#This Row],[appointment_date]],"d")</f>
        <v>195</v>
      </c>
      <c r="M18" s="14" t="str">
        <f>IF(messy_clinic_appointments[[#This Row],[days_to_appointment]]&gt;365, "Review", "OK")</f>
        <v>OK</v>
      </c>
    </row>
    <row r="19" spans="1:13" x14ac:dyDescent="0.25">
      <c r="A19">
        <v>1059</v>
      </c>
      <c r="B19" s="14" t="s">
        <v>52</v>
      </c>
      <c r="C19">
        <v>66</v>
      </c>
      <c r="D19" s="14" t="s">
        <v>30</v>
      </c>
      <c r="E19" s="1">
        <v>45972</v>
      </c>
      <c r="F19" s="1">
        <v>45627</v>
      </c>
      <c r="G19" s="14" t="s">
        <v>53</v>
      </c>
      <c r="H19" s="14" t="s">
        <v>12</v>
      </c>
      <c r="I19" s="14" t="s">
        <v>2031</v>
      </c>
      <c r="J19" s="14" t="str">
        <f>IF(messy_clinic_appointments[[#This Row],[billing_amount]] &lt; 200, "Low", IF(messy_clinic_appointments[[#This Row],[billing_amount]]&lt;= 400, "Medium", "High"))</f>
        <v>High</v>
      </c>
      <c r="K19" s="14" t="s">
        <v>2013</v>
      </c>
      <c r="L19" s="2">
        <f>DATEDIF(messy_clinic_appointments[[#This Row],[booking_date]],messy_clinic_appointments[[#This Row],[appointment_date]],"d")</f>
        <v>345</v>
      </c>
      <c r="M19" s="14" t="str">
        <f>IF(messy_clinic_appointments[[#This Row],[days_to_appointment]]&gt;365, "Review", "OK")</f>
        <v>OK</v>
      </c>
    </row>
    <row r="20" spans="1:13" x14ac:dyDescent="0.25">
      <c r="A20">
        <v>1086</v>
      </c>
      <c r="B20" s="14" t="s">
        <v>54</v>
      </c>
      <c r="C20">
        <v>81</v>
      </c>
      <c r="D20" s="14" t="s">
        <v>2014</v>
      </c>
      <c r="E20" s="1">
        <v>45757</v>
      </c>
      <c r="F20" s="1">
        <v>45642</v>
      </c>
      <c r="G20" s="14" t="s">
        <v>55</v>
      </c>
      <c r="H20" s="14" t="s">
        <v>21</v>
      </c>
      <c r="I20" s="14" t="s">
        <v>2032</v>
      </c>
      <c r="J20" s="14" t="str">
        <f>IF(messy_clinic_appointments[[#This Row],[billing_amount]] &lt; 200, "Low", IF(messy_clinic_appointments[[#This Row],[billing_amount]]&lt;= 400, "Medium", "High"))</f>
        <v>High</v>
      </c>
      <c r="K20" s="14" t="s">
        <v>2010</v>
      </c>
      <c r="L20" s="2">
        <f>DATEDIF(messy_clinic_appointments[[#This Row],[booking_date]],messy_clinic_appointments[[#This Row],[appointment_date]],"d")</f>
        <v>115</v>
      </c>
      <c r="M20" s="14" t="str">
        <f>IF(messy_clinic_appointments[[#This Row],[days_to_appointment]]&gt;365, "Review", "OK")</f>
        <v>OK</v>
      </c>
    </row>
    <row r="21" spans="1:13" x14ac:dyDescent="0.25">
      <c r="A21">
        <v>1033</v>
      </c>
      <c r="B21" s="14" t="s">
        <v>56</v>
      </c>
      <c r="C21">
        <v>76</v>
      </c>
      <c r="D21" s="14" t="s">
        <v>30</v>
      </c>
      <c r="E21" s="1">
        <v>45966</v>
      </c>
      <c r="F21" s="1">
        <v>45800</v>
      </c>
      <c r="G21" s="14" t="s">
        <v>57</v>
      </c>
      <c r="H21" s="14" t="s">
        <v>18</v>
      </c>
      <c r="I21" s="14" t="s">
        <v>2033</v>
      </c>
      <c r="J21" s="14" t="str">
        <f>IF(messy_clinic_appointments[[#This Row],[billing_amount]] &lt; 200, "Low", IF(messy_clinic_appointments[[#This Row],[billing_amount]]&lt;= 400, "Medium", "High"))</f>
        <v>High</v>
      </c>
      <c r="K21" s="14" t="s">
        <v>28</v>
      </c>
      <c r="L21" s="2">
        <f>DATEDIF(messy_clinic_appointments[[#This Row],[booking_date]],messy_clinic_appointments[[#This Row],[appointment_date]],"d")</f>
        <v>166</v>
      </c>
      <c r="M21" s="14" t="str">
        <f>IF(messy_clinic_appointments[[#This Row],[days_to_appointment]]&gt;365, "Review", "OK")</f>
        <v>OK</v>
      </c>
    </row>
    <row r="22" spans="1:13" x14ac:dyDescent="0.25">
      <c r="A22">
        <v>1069</v>
      </c>
      <c r="B22" s="14" t="s">
        <v>58</v>
      </c>
      <c r="C22">
        <v>90</v>
      </c>
      <c r="D22" s="14" t="s">
        <v>2022</v>
      </c>
      <c r="E22" s="1">
        <v>45944</v>
      </c>
      <c r="F22" s="1">
        <v>45440</v>
      </c>
      <c r="G22" s="14" t="s">
        <v>59</v>
      </c>
      <c r="H22" s="14" t="s">
        <v>18</v>
      </c>
      <c r="I22" s="14" t="s">
        <v>2034</v>
      </c>
      <c r="J22" s="14" t="str">
        <f>IF(messy_clinic_appointments[[#This Row],[billing_amount]] &lt; 200, "Low", IF(messy_clinic_appointments[[#This Row],[billing_amount]]&lt;= 400, "Medium", "High"))</f>
        <v>High</v>
      </c>
      <c r="K22" s="14" t="s">
        <v>2026</v>
      </c>
      <c r="L22" s="2">
        <f>DATEDIF(messy_clinic_appointments[[#This Row],[booking_date]],messy_clinic_appointments[[#This Row],[appointment_date]],"d")</f>
        <v>504</v>
      </c>
      <c r="M22" s="14" t="str">
        <f>IF(messy_clinic_appointments[[#This Row],[days_to_appointment]]&gt;365, "Review", "OK")</f>
        <v>Review</v>
      </c>
    </row>
    <row r="23" spans="1:13" x14ac:dyDescent="0.25">
      <c r="A23">
        <v>1097</v>
      </c>
      <c r="B23" s="14" t="s">
        <v>60</v>
      </c>
      <c r="C23">
        <v>56</v>
      </c>
      <c r="D23" s="14" t="s">
        <v>2022</v>
      </c>
      <c r="E23" s="1">
        <v>45792</v>
      </c>
      <c r="F23" s="1">
        <v>45417</v>
      </c>
      <c r="G23" s="14" t="s">
        <v>61</v>
      </c>
      <c r="H23" s="14" t="s">
        <v>15</v>
      </c>
      <c r="I23" s="14" t="s">
        <v>2035</v>
      </c>
      <c r="J23" s="14" t="str">
        <f>IF(messy_clinic_appointments[[#This Row],[billing_amount]] &lt; 200, "Low", IF(messy_clinic_appointments[[#This Row],[billing_amount]]&lt;= 400, "Medium", "High"))</f>
        <v>High</v>
      </c>
      <c r="K23" s="14" t="s">
        <v>2013</v>
      </c>
      <c r="L23" s="2">
        <f>DATEDIF(messy_clinic_appointments[[#This Row],[booking_date]],messy_clinic_appointments[[#This Row],[appointment_date]],"d")</f>
        <v>375</v>
      </c>
      <c r="M23" s="14" t="str">
        <f>IF(messy_clinic_appointments[[#This Row],[days_to_appointment]]&gt;365, "Review", "OK")</f>
        <v>Review</v>
      </c>
    </row>
    <row r="24" spans="1:13" x14ac:dyDescent="0.25">
      <c r="A24">
        <v>1064</v>
      </c>
      <c r="B24" s="14" t="s">
        <v>62</v>
      </c>
      <c r="C24">
        <v>88</v>
      </c>
      <c r="D24" s="14" t="s">
        <v>2008</v>
      </c>
      <c r="E24" s="1">
        <v>46052</v>
      </c>
      <c r="F24" s="1">
        <v>45516</v>
      </c>
      <c r="G24" s="14" t="s">
        <v>63</v>
      </c>
      <c r="H24" s="14" t="s">
        <v>21</v>
      </c>
      <c r="I24" s="14" t="s">
        <v>2036</v>
      </c>
      <c r="J24" s="14" t="str">
        <f>IF(messy_clinic_appointments[[#This Row],[billing_amount]] &lt; 200, "Low", IF(messy_clinic_appointments[[#This Row],[billing_amount]]&lt;= 400, "Medium", "High"))</f>
        <v>High</v>
      </c>
      <c r="K24" s="14" t="s">
        <v>22</v>
      </c>
      <c r="L24" s="2">
        <f>DATEDIF(messy_clinic_appointments[[#This Row],[booking_date]],messy_clinic_appointments[[#This Row],[appointment_date]],"d")</f>
        <v>536</v>
      </c>
      <c r="M24" s="14" t="str">
        <f>IF(messy_clinic_appointments[[#This Row],[days_to_appointment]]&gt;365, "Review", "OK")</f>
        <v>Review</v>
      </c>
    </row>
    <row r="25" spans="1:13" x14ac:dyDescent="0.25">
      <c r="A25">
        <v>1089</v>
      </c>
      <c r="B25" s="14" t="s">
        <v>64</v>
      </c>
      <c r="C25">
        <v>32</v>
      </c>
      <c r="D25" s="14" t="s">
        <v>2011</v>
      </c>
      <c r="E25" s="1">
        <v>45788</v>
      </c>
      <c r="F25" s="1">
        <v>45479</v>
      </c>
      <c r="G25" s="14" t="s">
        <v>65</v>
      </c>
      <c r="H25" s="14" t="s">
        <v>18</v>
      </c>
      <c r="I25" s="14" t="s">
        <v>2037</v>
      </c>
      <c r="J25" s="14" t="str">
        <f>IF(messy_clinic_appointments[[#This Row],[billing_amount]] &lt; 200, "Low", IF(messy_clinic_appointments[[#This Row],[billing_amount]]&lt;= 400, "Medium", "High"))</f>
        <v>High</v>
      </c>
      <c r="K25" s="14" t="s">
        <v>2026</v>
      </c>
      <c r="L25" s="2">
        <f>DATEDIF(messy_clinic_appointments[[#This Row],[booking_date]],messy_clinic_appointments[[#This Row],[appointment_date]],"d")</f>
        <v>309</v>
      </c>
      <c r="M25" s="14" t="str">
        <f>IF(messy_clinic_appointments[[#This Row],[days_to_appointment]]&gt;365, "Review", "OK")</f>
        <v>OK</v>
      </c>
    </row>
    <row r="26" spans="1:13" x14ac:dyDescent="0.25">
      <c r="A26">
        <v>1086</v>
      </c>
      <c r="B26" s="14" t="s">
        <v>66</v>
      </c>
      <c r="C26">
        <v>34</v>
      </c>
      <c r="D26" s="14" t="s">
        <v>2011</v>
      </c>
      <c r="E26" s="1">
        <v>45869</v>
      </c>
      <c r="F26" s="1">
        <v>45391</v>
      </c>
      <c r="G26" s="14" t="s">
        <v>67</v>
      </c>
      <c r="H26" s="14" t="s">
        <v>12</v>
      </c>
      <c r="I26" s="14" t="s">
        <v>2038</v>
      </c>
      <c r="J26" s="14" t="str">
        <f>IF(messy_clinic_appointments[[#This Row],[billing_amount]] &lt; 200, "Low", IF(messy_clinic_appointments[[#This Row],[billing_amount]]&lt;= 400, "Medium", "High"))</f>
        <v>High</v>
      </c>
      <c r="K26" s="14" t="s">
        <v>2013</v>
      </c>
      <c r="L26" s="2">
        <f>DATEDIF(messy_clinic_appointments[[#This Row],[booking_date]],messy_clinic_appointments[[#This Row],[appointment_date]],"d")</f>
        <v>478</v>
      </c>
      <c r="M26" s="14" t="str">
        <f>IF(messy_clinic_appointments[[#This Row],[days_to_appointment]]&gt;365, "Review", "OK")</f>
        <v>Review</v>
      </c>
    </row>
    <row r="27" spans="1:13" x14ac:dyDescent="0.25">
      <c r="A27">
        <v>1073</v>
      </c>
      <c r="B27" s="14" t="s">
        <v>68</v>
      </c>
      <c r="C27">
        <v>88</v>
      </c>
      <c r="D27" s="14" t="s">
        <v>2039</v>
      </c>
      <c r="E27" s="1">
        <v>45835</v>
      </c>
      <c r="F27" s="1">
        <v>45783</v>
      </c>
      <c r="G27" s="14" t="s">
        <v>69</v>
      </c>
      <c r="H27" s="14" t="s">
        <v>21</v>
      </c>
      <c r="I27" s="14" t="s">
        <v>2040</v>
      </c>
      <c r="J27" s="14" t="str">
        <f>IF(messy_clinic_appointments[[#This Row],[billing_amount]] &lt; 200, "Low", IF(messy_clinic_appointments[[#This Row],[billing_amount]]&lt;= 400, "Medium", "High"))</f>
        <v>High</v>
      </c>
      <c r="K27" s="14" t="s">
        <v>2013</v>
      </c>
      <c r="L27" s="2">
        <f>DATEDIF(messy_clinic_appointments[[#This Row],[booking_date]],messy_clinic_appointments[[#This Row],[appointment_date]],"d")</f>
        <v>52</v>
      </c>
      <c r="M27" s="14" t="str">
        <f>IF(messy_clinic_appointments[[#This Row],[days_to_appointment]]&gt;365, "Review", "OK")</f>
        <v>OK</v>
      </c>
    </row>
    <row r="28" spans="1:13" x14ac:dyDescent="0.25">
      <c r="A28">
        <v>1093</v>
      </c>
      <c r="B28" s="14" t="s">
        <v>70</v>
      </c>
      <c r="C28">
        <v>20</v>
      </c>
      <c r="D28" s="14" t="s">
        <v>2022</v>
      </c>
      <c r="E28" s="1">
        <v>46104</v>
      </c>
      <c r="F28" s="1">
        <v>45821</v>
      </c>
      <c r="G28" s="14" t="s">
        <v>71</v>
      </c>
      <c r="H28" s="14" t="s">
        <v>12</v>
      </c>
      <c r="I28" s="14" t="s">
        <v>2041</v>
      </c>
      <c r="J28" s="14" t="str">
        <f>IF(messy_clinic_appointments[[#This Row],[billing_amount]] &lt; 200, "Low", IF(messy_clinic_appointments[[#This Row],[billing_amount]]&lt;= 400, "Medium", "High"))</f>
        <v>High</v>
      </c>
      <c r="K28" s="14" t="s">
        <v>2010</v>
      </c>
      <c r="L28" s="2">
        <f>DATEDIF(messy_clinic_appointments[[#This Row],[booking_date]],messy_clinic_appointments[[#This Row],[appointment_date]],"d")</f>
        <v>283</v>
      </c>
      <c r="M28" s="14" t="str">
        <f>IF(messy_clinic_appointments[[#This Row],[days_to_appointment]]&gt;365, "Review", "OK")</f>
        <v>OK</v>
      </c>
    </row>
    <row r="29" spans="1:13" x14ac:dyDescent="0.25">
      <c r="A29">
        <v>1084</v>
      </c>
      <c r="B29" s="14" t="s">
        <v>72</v>
      </c>
      <c r="C29">
        <v>86</v>
      </c>
      <c r="D29" s="14" t="s">
        <v>2022</v>
      </c>
      <c r="E29" s="1">
        <v>46089</v>
      </c>
      <c r="F29" s="1">
        <v>45482</v>
      </c>
      <c r="G29" s="14" t="s">
        <v>73</v>
      </c>
      <c r="H29" s="14" t="s">
        <v>18</v>
      </c>
      <c r="I29" s="14" t="s">
        <v>2042</v>
      </c>
      <c r="J29" s="14" t="str">
        <f>IF(messy_clinic_appointments[[#This Row],[billing_amount]] &lt; 200, "Low", IF(messy_clinic_appointments[[#This Row],[billing_amount]]&lt;= 400, "Medium", "High"))</f>
        <v>High</v>
      </c>
      <c r="K29" s="14" t="s">
        <v>28</v>
      </c>
      <c r="L29" s="2">
        <f>DATEDIF(messy_clinic_appointments[[#This Row],[booking_date]],messy_clinic_appointments[[#This Row],[appointment_date]],"d")</f>
        <v>607</v>
      </c>
      <c r="M29" s="14" t="str">
        <f>IF(messy_clinic_appointments[[#This Row],[days_to_appointment]]&gt;365, "Review", "OK")</f>
        <v>Review</v>
      </c>
    </row>
    <row r="30" spans="1:13" x14ac:dyDescent="0.25">
      <c r="A30">
        <v>1002</v>
      </c>
      <c r="B30" s="14" t="s">
        <v>74</v>
      </c>
      <c r="C30">
        <v>42</v>
      </c>
      <c r="D30" s="14" t="s">
        <v>2014</v>
      </c>
      <c r="E30" s="1">
        <v>45944</v>
      </c>
      <c r="F30" s="1">
        <v>45600</v>
      </c>
      <c r="G30" s="14" t="s">
        <v>75</v>
      </c>
      <c r="H30" s="14" t="s">
        <v>18</v>
      </c>
      <c r="I30" s="14" t="s">
        <v>2043</v>
      </c>
      <c r="J30" s="14" t="str">
        <f>IF(messy_clinic_appointments[[#This Row],[billing_amount]] &lt; 200, "Low", IF(messy_clinic_appointments[[#This Row],[billing_amount]]&lt;= 400, "Medium", "High"))</f>
        <v>High</v>
      </c>
      <c r="K30" s="14" t="s">
        <v>2039</v>
      </c>
      <c r="L30" s="2">
        <f>DATEDIF(messy_clinic_appointments[[#This Row],[booking_date]],messy_clinic_appointments[[#This Row],[appointment_date]],"d")</f>
        <v>344</v>
      </c>
      <c r="M30" s="14" t="str">
        <f>IF(messy_clinic_appointments[[#This Row],[days_to_appointment]]&gt;365, "Review", "OK")</f>
        <v>OK</v>
      </c>
    </row>
    <row r="31" spans="1:13" x14ac:dyDescent="0.25">
      <c r="A31">
        <v>1030</v>
      </c>
      <c r="B31" s="14" t="s">
        <v>76</v>
      </c>
      <c r="C31">
        <v>18</v>
      </c>
      <c r="D31" s="14" t="s">
        <v>2022</v>
      </c>
      <c r="E31" s="1">
        <v>45911</v>
      </c>
      <c r="F31" s="1">
        <v>45570</v>
      </c>
      <c r="G31" s="14" t="s">
        <v>77</v>
      </c>
      <c r="H31" s="14" t="s">
        <v>15</v>
      </c>
      <c r="I31" s="14" t="s">
        <v>2044</v>
      </c>
      <c r="J31" s="14" t="str">
        <f>IF(messy_clinic_appointments[[#This Row],[billing_amount]] &lt; 200, "Low", IF(messy_clinic_appointments[[#This Row],[billing_amount]]&lt;= 400, "Medium", "High"))</f>
        <v>High</v>
      </c>
      <c r="K31" s="14" t="s">
        <v>2026</v>
      </c>
      <c r="L31" s="2">
        <f>DATEDIF(messy_clinic_appointments[[#This Row],[booking_date]],messy_clinic_appointments[[#This Row],[appointment_date]],"d")</f>
        <v>341</v>
      </c>
      <c r="M31" s="14" t="str">
        <f>IF(messy_clinic_appointments[[#This Row],[days_to_appointment]]&gt;365, "Review", "OK")</f>
        <v>OK</v>
      </c>
    </row>
    <row r="32" spans="1:13" x14ac:dyDescent="0.25">
      <c r="A32">
        <v>1043</v>
      </c>
      <c r="B32" s="14" t="s">
        <v>78</v>
      </c>
      <c r="C32">
        <v>82</v>
      </c>
      <c r="D32" s="14" t="s">
        <v>30</v>
      </c>
      <c r="E32" s="1">
        <v>46006</v>
      </c>
      <c r="F32" s="1">
        <v>45859</v>
      </c>
      <c r="G32" s="14" t="s">
        <v>79</v>
      </c>
      <c r="H32" s="14" t="s">
        <v>21</v>
      </c>
      <c r="I32" s="14" t="s">
        <v>2045</v>
      </c>
      <c r="J32" s="14" t="str">
        <f>IF(messy_clinic_appointments[[#This Row],[billing_amount]] &lt; 200, "Low", IF(messy_clinic_appointments[[#This Row],[billing_amount]]&lt;= 400, "Medium", "High"))</f>
        <v>High</v>
      </c>
      <c r="K32" s="14" t="s">
        <v>22</v>
      </c>
      <c r="L32" s="2">
        <f>DATEDIF(messy_clinic_appointments[[#This Row],[booking_date]],messy_clinic_appointments[[#This Row],[appointment_date]],"d")</f>
        <v>147</v>
      </c>
      <c r="M32" s="14" t="str">
        <f>IF(messy_clinic_appointments[[#This Row],[days_to_appointment]]&gt;365, "Review", "OK")</f>
        <v>OK</v>
      </c>
    </row>
    <row r="33" spans="1:13" x14ac:dyDescent="0.25">
      <c r="A33">
        <v>1056</v>
      </c>
      <c r="B33" s="14" t="s">
        <v>80</v>
      </c>
      <c r="C33">
        <v>67</v>
      </c>
      <c r="D33" s="14" t="s">
        <v>2008</v>
      </c>
      <c r="E33" s="1">
        <v>45913</v>
      </c>
      <c r="F33" s="1">
        <v>45664</v>
      </c>
      <c r="G33" s="14" t="s">
        <v>81</v>
      </c>
      <c r="H33" s="14" t="s">
        <v>15</v>
      </c>
      <c r="I33" s="14" t="s">
        <v>2046</v>
      </c>
      <c r="J33" s="14" t="str">
        <f>IF(messy_clinic_appointments[[#This Row],[billing_amount]] &lt; 200, "Low", IF(messy_clinic_appointments[[#This Row],[billing_amount]]&lt;= 400, "Medium", "High"))</f>
        <v>High</v>
      </c>
      <c r="K33" s="14" t="s">
        <v>28</v>
      </c>
      <c r="L33" s="2">
        <f>DATEDIF(messy_clinic_appointments[[#This Row],[booking_date]],messy_clinic_appointments[[#This Row],[appointment_date]],"d")</f>
        <v>249</v>
      </c>
      <c r="M33" s="14" t="str">
        <f>IF(messy_clinic_appointments[[#This Row],[days_to_appointment]]&gt;365, "Review", "OK")</f>
        <v>OK</v>
      </c>
    </row>
    <row r="34" spans="1:13" x14ac:dyDescent="0.25">
      <c r="A34">
        <v>1094</v>
      </c>
      <c r="B34" s="14" t="s">
        <v>82</v>
      </c>
      <c r="C34">
        <v>32</v>
      </c>
      <c r="D34" s="14" t="s">
        <v>2022</v>
      </c>
      <c r="E34" s="1">
        <v>46090</v>
      </c>
      <c r="F34" s="1">
        <v>45610</v>
      </c>
      <c r="G34" s="14" t="s">
        <v>83</v>
      </c>
      <c r="H34" s="14" t="s">
        <v>21</v>
      </c>
      <c r="I34" s="14" t="s">
        <v>2047</v>
      </c>
      <c r="J34" s="14" t="str">
        <f>IF(messy_clinic_appointments[[#This Row],[billing_amount]] &lt; 200, "Low", IF(messy_clinic_appointments[[#This Row],[billing_amount]]&lt;= 400, "Medium", "High"))</f>
        <v>High</v>
      </c>
      <c r="K34" s="14" t="s">
        <v>2039</v>
      </c>
      <c r="L34" s="2">
        <f>DATEDIF(messy_clinic_appointments[[#This Row],[booking_date]],messy_clinic_appointments[[#This Row],[appointment_date]],"d")</f>
        <v>480</v>
      </c>
      <c r="M34" s="14" t="str">
        <f>IF(messy_clinic_appointments[[#This Row],[days_to_appointment]]&gt;365, "Review", "OK")</f>
        <v>Review</v>
      </c>
    </row>
    <row r="35" spans="1:13" x14ac:dyDescent="0.25">
      <c r="A35">
        <v>1041</v>
      </c>
      <c r="B35" s="14" t="s">
        <v>84</v>
      </c>
      <c r="C35">
        <v>20</v>
      </c>
      <c r="D35" s="14" t="s">
        <v>2022</v>
      </c>
      <c r="E35" s="1">
        <v>45784</v>
      </c>
      <c r="F35" s="1">
        <v>45676</v>
      </c>
      <c r="G35" s="14" t="s">
        <v>85</v>
      </c>
      <c r="H35" s="14" t="s">
        <v>18</v>
      </c>
      <c r="I35" s="14" t="s">
        <v>24</v>
      </c>
      <c r="J35" s="14" t="str">
        <f>IF(messy_clinic_appointments[[#This Row],[billing_amount]] &lt; 200, "Low", IF(messy_clinic_appointments[[#This Row],[billing_amount]]&lt;= 400, "Medium", "High"))</f>
        <v>High</v>
      </c>
      <c r="K35" s="14" t="s">
        <v>2013</v>
      </c>
      <c r="L35" s="2">
        <f>DATEDIF(messy_clinic_appointments[[#This Row],[booking_date]],messy_clinic_appointments[[#This Row],[appointment_date]],"d")</f>
        <v>108</v>
      </c>
      <c r="M35" s="14" t="str">
        <f>IF(messy_clinic_appointments[[#This Row],[days_to_appointment]]&gt;365, "Review", "OK")</f>
        <v>OK</v>
      </c>
    </row>
    <row r="36" spans="1:13" x14ac:dyDescent="0.25">
      <c r="A36">
        <v>1071</v>
      </c>
      <c r="B36" s="14" t="s">
        <v>86</v>
      </c>
      <c r="C36">
        <v>46</v>
      </c>
      <c r="D36" s="14" t="s">
        <v>2039</v>
      </c>
      <c r="E36" s="1">
        <v>46032</v>
      </c>
      <c r="F36" s="1">
        <v>45597</v>
      </c>
      <c r="G36" s="14" t="s">
        <v>87</v>
      </c>
      <c r="H36" s="14" t="s">
        <v>21</v>
      </c>
      <c r="I36" s="14" t="s">
        <v>2048</v>
      </c>
      <c r="J36" s="14" t="str">
        <f>IF(messy_clinic_appointments[[#This Row],[billing_amount]] &lt; 200, "Low", IF(messy_clinic_appointments[[#This Row],[billing_amount]]&lt;= 400, "Medium", "High"))</f>
        <v>High</v>
      </c>
      <c r="K36" s="14" t="s">
        <v>22</v>
      </c>
      <c r="L36" s="2">
        <f>DATEDIF(messy_clinic_appointments[[#This Row],[booking_date]],messy_clinic_appointments[[#This Row],[appointment_date]],"d")</f>
        <v>435</v>
      </c>
      <c r="M36" s="14" t="str">
        <f>IF(messy_clinic_appointments[[#This Row],[days_to_appointment]]&gt;365, "Review", "OK")</f>
        <v>Review</v>
      </c>
    </row>
    <row r="37" spans="1:13" x14ac:dyDescent="0.25">
      <c r="A37">
        <v>1051</v>
      </c>
      <c r="B37" s="14" t="s">
        <v>88</v>
      </c>
      <c r="C37">
        <v>26</v>
      </c>
      <c r="D37" s="14" t="s">
        <v>50</v>
      </c>
      <c r="E37" s="1">
        <v>45815</v>
      </c>
      <c r="F37" s="1">
        <v>45635</v>
      </c>
      <c r="G37" s="14" t="s">
        <v>89</v>
      </c>
      <c r="H37" s="14" t="s">
        <v>15</v>
      </c>
      <c r="I37" s="14" t="s">
        <v>2049</v>
      </c>
      <c r="J37" s="14" t="str">
        <f>IF(messy_clinic_appointments[[#This Row],[billing_amount]] &lt; 200, "Low", IF(messy_clinic_appointments[[#This Row],[billing_amount]]&lt;= 400, "Medium", "High"))</f>
        <v>High</v>
      </c>
      <c r="K37" s="14" t="s">
        <v>28</v>
      </c>
      <c r="L37" s="2">
        <f>DATEDIF(messy_clinic_appointments[[#This Row],[booking_date]],messy_clinic_appointments[[#This Row],[appointment_date]],"d")</f>
        <v>180</v>
      </c>
      <c r="M37" s="14" t="str">
        <f>IF(messy_clinic_appointments[[#This Row],[days_to_appointment]]&gt;365, "Review", "OK")</f>
        <v>OK</v>
      </c>
    </row>
    <row r="38" spans="1:13" x14ac:dyDescent="0.25">
      <c r="A38">
        <v>1003</v>
      </c>
      <c r="B38" s="14" t="s">
        <v>90</v>
      </c>
      <c r="C38">
        <v>19</v>
      </c>
      <c r="D38" s="14" t="s">
        <v>24</v>
      </c>
      <c r="E38" s="1">
        <v>45946</v>
      </c>
      <c r="F38" s="1">
        <v>45921</v>
      </c>
      <c r="G38" s="14" t="s">
        <v>91</v>
      </c>
      <c r="H38" s="14" t="s">
        <v>18</v>
      </c>
      <c r="I38" s="14" t="s">
        <v>2050</v>
      </c>
      <c r="J38" s="14" t="str">
        <f>IF(messy_clinic_appointments[[#This Row],[billing_amount]] &lt; 200, "Low", IF(messy_clinic_appointments[[#This Row],[billing_amount]]&lt;= 400, "Medium", "High"))</f>
        <v>High</v>
      </c>
      <c r="K38" s="14" t="s">
        <v>2039</v>
      </c>
      <c r="L38" s="2">
        <f>DATEDIF(messy_clinic_appointments[[#This Row],[booking_date]],messy_clinic_appointments[[#This Row],[appointment_date]],"d")</f>
        <v>25</v>
      </c>
      <c r="M38" s="14" t="str">
        <f>IF(messy_clinic_appointments[[#This Row],[days_to_appointment]]&gt;365, "Review", "OK")</f>
        <v>OK</v>
      </c>
    </row>
    <row r="39" spans="1:13" x14ac:dyDescent="0.25">
      <c r="A39">
        <v>1053</v>
      </c>
      <c r="B39" s="14" t="s">
        <v>92</v>
      </c>
      <c r="C39">
        <v>37</v>
      </c>
      <c r="D39" s="14" t="s">
        <v>2010</v>
      </c>
      <c r="E39" s="1">
        <v>45915</v>
      </c>
      <c r="F39" s="1">
        <v>45421</v>
      </c>
      <c r="G39" s="14" t="s">
        <v>93</v>
      </c>
      <c r="H39" s="14" t="s">
        <v>15</v>
      </c>
      <c r="I39" s="14" t="s">
        <v>2051</v>
      </c>
      <c r="J39" s="14" t="str">
        <f>IF(messy_clinic_appointments[[#This Row],[billing_amount]] &lt; 200, "Low", IF(messy_clinic_appointments[[#This Row],[billing_amount]]&lt;= 400, "Medium", "High"))</f>
        <v>High</v>
      </c>
      <c r="K39" s="14" t="s">
        <v>2039</v>
      </c>
      <c r="L39" s="2">
        <f>DATEDIF(messy_clinic_appointments[[#This Row],[booking_date]],messy_clinic_appointments[[#This Row],[appointment_date]],"d")</f>
        <v>494</v>
      </c>
      <c r="M39" s="14" t="str">
        <f>IF(messy_clinic_appointments[[#This Row],[days_to_appointment]]&gt;365, "Review", "OK")</f>
        <v>Review</v>
      </c>
    </row>
    <row r="40" spans="1:13" x14ac:dyDescent="0.25">
      <c r="A40">
        <v>1052</v>
      </c>
      <c r="B40" s="14" t="s">
        <v>94</v>
      </c>
      <c r="C40">
        <v>84</v>
      </c>
      <c r="D40" s="14" t="s">
        <v>2039</v>
      </c>
      <c r="E40" s="1">
        <v>45908</v>
      </c>
      <c r="F40" s="1">
        <v>45793</v>
      </c>
      <c r="G40" s="14" t="s">
        <v>95</v>
      </c>
      <c r="H40" s="14" t="s">
        <v>15</v>
      </c>
      <c r="I40" s="14" t="s">
        <v>2052</v>
      </c>
      <c r="J40" s="14" t="str">
        <f>IF(messy_clinic_appointments[[#This Row],[billing_amount]] &lt; 200, "Low", IF(messy_clinic_appointments[[#This Row],[billing_amount]]&lt;= 400, "Medium", "High"))</f>
        <v>High</v>
      </c>
      <c r="K40" s="14" t="s">
        <v>2039</v>
      </c>
      <c r="L40" s="2">
        <f>DATEDIF(messy_clinic_appointments[[#This Row],[booking_date]],messy_clinic_appointments[[#This Row],[appointment_date]],"d")</f>
        <v>115</v>
      </c>
      <c r="M40" s="14" t="str">
        <f>IF(messy_clinic_appointments[[#This Row],[days_to_appointment]]&gt;365, "Review", "OK")</f>
        <v>OK</v>
      </c>
    </row>
    <row r="41" spans="1:13" x14ac:dyDescent="0.25">
      <c r="A41">
        <v>1018</v>
      </c>
      <c r="B41" s="14" t="s">
        <v>96</v>
      </c>
      <c r="C41">
        <v>55</v>
      </c>
      <c r="D41" s="14" t="s">
        <v>2011</v>
      </c>
      <c r="E41" s="1">
        <v>46082</v>
      </c>
      <c r="F41" s="1">
        <v>45446</v>
      </c>
      <c r="G41" s="14" t="s">
        <v>97</v>
      </c>
      <c r="H41" s="14" t="s">
        <v>18</v>
      </c>
      <c r="I41" s="14" t="s">
        <v>2053</v>
      </c>
      <c r="J41" s="14" t="str">
        <f>IF(messy_clinic_appointments[[#This Row],[billing_amount]] &lt; 200, "Low", IF(messy_clinic_appointments[[#This Row],[billing_amount]]&lt;= 400, "Medium", "High"))</f>
        <v>High</v>
      </c>
      <c r="K41" s="14" t="s">
        <v>2039</v>
      </c>
      <c r="L41" s="2">
        <f>DATEDIF(messy_clinic_appointments[[#This Row],[booking_date]],messy_clinic_appointments[[#This Row],[appointment_date]],"d")</f>
        <v>636</v>
      </c>
      <c r="M41" s="14" t="str">
        <f>IF(messy_clinic_appointments[[#This Row],[days_to_appointment]]&gt;365, "Review", "OK")</f>
        <v>Review</v>
      </c>
    </row>
    <row r="42" spans="1:13" x14ac:dyDescent="0.25">
      <c r="A42">
        <v>1001</v>
      </c>
      <c r="B42" s="14" t="s">
        <v>98</v>
      </c>
      <c r="C42">
        <v>50</v>
      </c>
      <c r="D42" s="14" t="s">
        <v>50</v>
      </c>
      <c r="E42" s="1">
        <v>45886</v>
      </c>
      <c r="F42" s="1">
        <v>45558</v>
      </c>
      <c r="G42" s="14" t="s">
        <v>99</v>
      </c>
      <c r="H42" s="14" t="s">
        <v>15</v>
      </c>
      <c r="I42" s="14" t="s">
        <v>2054</v>
      </c>
      <c r="J42" s="14" t="str">
        <f>IF(messy_clinic_appointments[[#This Row],[billing_amount]] &lt; 200, "Low", IF(messy_clinic_appointments[[#This Row],[billing_amount]]&lt;= 400, "Medium", "High"))</f>
        <v>High</v>
      </c>
      <c r="K42" s="14" t="s">
        <v>28</v>
      </c>
      <c r="L42" s="2">
        <f>DATEDIF(messy_clinic_appointments[[#This Row],[booking_date]],messy_clinic_appointments[[#This Row],[appointment_date]],"d")</f>
        <v>328</v>
      </c>
      <c r="M42" s="14" t="str">
        <f>IF(messy_clinic_appointments[[#This Row],[days_to_appointment]]&gt;365, "Review", "OK")</f>
        <v>OK</v>
      </c>
    </row>
    <row r="43" spans="1:13" x14ac:dyDescent="0.25">
      <c r="A43">
        <v>1060</v>
      </c>
      <c r="B43" s="14" t="s">
        <v>100</v>
      </c>
      <c r="C43">
        <v>61</v>
      </c>
      <c r="D43" s="14" t="s">
        <v>2010</v>
      </c>
      <c r="E43" s="1">
        <v>45980</v>
      </c>
      <c r="F43" s="1">
        <v>45410</v>
      </c>
      <c r="G43" s="14" t="s">
        <v>101</v>
      </c>
      <c r="H43" s="14" t="s">
        <v>21</v>
      </c>
      <c r="I43" s="14" t="s">
        <v>2055</v>
      </c>
      <c r="J43" s="14" t="str">
        <f>IF(messy_clinic_appointments[[#This Row],[billing_amount]] &lt; 200, "Low", IF(messy_clinic_appointments[[#This Row],[billing_amount]]&lt;= 400, "Medium", "High"))</f>
        <v>High</v>
      </c>
      <c r="K43" s="14" t="s">
        <v>2013</v>
      </c>
      <c r="L43" s="2">
        <f>DATEDIF(messy_clinic_appointments[[#This Row],[booking_date]],messy_clinic_appointments[[#This Row],[appointment_date]],"d")</f>
        <v>570</v>
      </c>
      <c r="M43" s="14" t="str">
        <f>IF(messy_clinic_appointments[[#This Row],[days_to_appointment]]&gt;365, "Review", "OK")</f>
        <v>Review</v>
      </c>
    </row>
    <row r="44" spans="1:13" x14ac:dyDescent="0.25">
      <c r="A44">
        <v>1055</v>
      </c>
      <c r="B44" s="14" t="s">
        <v>102</v>
      </c>
      <c r="C44">
        <v>35</v>
      </c>
      <c r="D44" s="14" t="s">
        <v>50</v>
      </c>
      <c r="E44" s="1">
        <v>45801</v>
      </c>
      <c r="F44" s="1">
        <v>45491</v>
      </c>
      <c r="G44" s="14" t="s">
        <v>103</v>
      </c>
      <c r="H44" s="14" t="s">
        <v>15</v>
      </c>
      <c r="I44" s="14" t="s">
        <v>2056</v>
      </c>
      <c r="J44" s="14" t="str">
        <f>IF(messy_clinic_appointments[[#This Row],[billing_amount]] &lt; 200, "Low", IF(messy_clinic_appointments[[#This Row],[billing_amount]]&lt;= 400, "Medium", "High"))</f>
        <v>High</v>
      </c>
      <c r="K44" s="14" t="s">
        <v>2010</v>
      </c>
      <c r="L44" s="2">
        <f>DATEDIF(messy_clinic_appointments[[#This Row],[booking_date]],messy_clinic_appointments[[#This Row],[appointment_date]],"d")</f>
        <v>310</v>
      </c>
      <c r="M44" s="14" t="str">
        <f>IF(messy_clinic_appointments[[#This Row],[days_to_appointment]]&gt;365, "Review", "OK")</f>
        <v>OK</v>
      </c>
    </row>
    <row r="45" spans="1:13" x14ac:dyDescent="0.25">
      <c r="A45">
        <v>1063</v>
      </c>
      <c r="B45" s="14" t="s">
        <v>104</v>
      </c>
      <c r="C45">
        <v>29</v>
      </c>
      <c r="D45" s="14" t="s">
        <v>24</v>
      </c>
      <c r="E45" s="1">
        <v>45916</v>
      </c>
      <c r="F45" s="1">
        <v>45776</v>
      </c>
      <c r="G45" s="14" t="s">
        <v>105</v>
      </c>
      <c r="H45" s="14" t="s">
        <v>15</v>
      </c>
      <c r="I45" s="14" t="s">
        <v>2057</v>
      </c>
      <c r="J45" s="14" t="str">
        <f>IF(messy_clinic_appointments[[#This Row],[billing_amount]] &lt; 200, "Low", IF(messy_clinic_appointments[[#This Row],[billing_amount]]&lt;= 400, "Medium", "High"))</f>
        <v>High</v>
      </c>
      <c r="K45" s="14" t="s">
        <v>2039</v>
      </c>
      <c r="L45" s="2">
        <f>DATEDIF(messy_clinic_appointments[[#This Row],[booking_date]],messy_clinic_appointments[[#This Row],[appointment_date]],"d")</f>
        <v>140</v>
      </c>
      <c r="M45" s="14" t="str">
        <f>IF(messy_clinic_appointments[[#This Row],[days_to_appointment]]&gt;365, "Review", "OK")</f>
        <v>OK</v>
      </c>
    </row>
    <row r="46" spans="1:13" x14ac:dyDescent="0.25">
      <c r="A46">
        <v>1069</v>
      </c>
      <c r="B46" s="14" t="s">
        <v>106</v>
      </c>
      <c r="C46">
        <v>72</v>
      </c>
      <c r="D46" s="14" t="s">
        <v>2039</v>
      </c>
      <c r="E46" s="1">
        <v>45880</v>
      </c>
      <c r="F46" s="1">
        <v>45383</v>
      </c>
      <c r="G46" s="14" t="s">
        <v>107</v>
      </c>
      <c r="H46" s="14" t="s">
        <v>18</v>
      </c>
      <c r="I46" s="14" t="s">
        <v>2058</v>
      </c>
      <c r="J46" s="14" t="str">
        <f>IF(messy_clinic_appointments[[#This Row],[billing_amount]] &lt; 200, "Low", IF(messy_clinic_appointments[[#This Row],[billing_amount]]&lt;= 400, "Medium", "High"))</f>
        <v>High</v>
      </c>
      <c r="K46" s="14" t="s">
        <v>2013</v>
      </c>
      <c r="L46" s="2">
        <f>DATEDIF(messy_clinic_appointments[[#This Row],[booking_date]],messy_clinic_appointments[[#This Row],[appointment_date]],"d")</f>
        <v>497</v>
      </c>
      <c r="M46" s="14" t="str">
        <f>IF(messy_clinic_appointments[[#This Row],[days_to_appointment]]&gt;365, "Review", "OK")</f>
        <v>Review</v>
      </c>
    </row>
    <row r="47" spans="1:13" x14ac:dyDescent="0.25">
      <c r="A47">
        <v>1095</v>
      </c>
      <c r="B47" s="14" t="s">
        <v>108</v>
      </c>
      <c r="C47">
        <v>29</v>
      </c>
      <c r="D47" s="14" t="s">
        <v>2039</v>
      </c>
      <c r="E47" s="1">
        <v>45891</v>
      </c>
      <c r="F47" s="1">
        <v>45772</v>
      </c>
      <c r="G47" s="14" t="s">
        <v>109</v>
      </c>
      <c r="H47" s="14" t="s">
        <v>18</v>
      </c>
      <c r="I47" s="14" t="s">
        <v>2059</v>
      </c>
      <c r="J47" s="14" t="str">
        <f>IF(messy_clinic_appointments[[#This Row],[billing_amount]] &lt; 200, "Low", IF(messy_clinic_appointments[[#This Row],[billing_amount]]&lt;= 400, "Medium", "High"))</f>
        <v>High</v>
      </c>
      <c r="K47" s="14" t="s">
        <v>28</v>
      </c>
      <c r="L47" s="2">
        <f>DATEDIF(messy_clinic_appointments[[#This Row],[booking_date]],messy_clinic_appointments[[#This Row],[appointment_date]],"d")</f>
        <v>119</v>
      </c>
      <c r="M47" s="14" t="str">
        <f>IF(messy_clinic_appointments[[#This Row],[days_to_appointment]]&gt;365, "Review", "OK")</f>
        <v>OK</v>
      </c>
    </row>
    <row r="48" spans="1:13" x14ac:dyDescent="0.25">
      <c r="A48">
        <v>1005</v>
      </c>
      <c r="B48" s="14" t="s">
        <v>110</v>
      </c>
      <c r="C48">
        <v>49</v>
      </c>
      <c r="D48" s="14" t="s">
        <v>2010</v>
      </c>
      <c r="E48" s="1">
        <v>45820</v>
      </c>
      <c r="F48" s="1">
        <v>45515</v>
      </c>
      <c r="G48" s="14" t="s">
        <v>111</v>
      </c>
      <c r="H48" s="14" t="s">
        <v>12</v>
      </c>
      <c r="I48" s="14" t="s">
        <v>2060</v>
      </c>
      <c r="J48" s="14" t="str">
        <f>IF(messy_clinic_appointments[[#This Row],[billing_amount]] &lt; 200, "Low", IF(messy_clinic_appointments[[#This Row],[billing_amount]]&lt;= 400, "Medium", "High"))</f>
        <v>High</v>
      </c>
      <c r="K48" s="14" t="s">
        <v>2026</v>
      </c>
      <c r="L48" s="2">
        <f>DATEDIF(messy_clinic_appointments[[#This Row],[booking_date]],messy_clinic_appointments[[#This Row],[appointment_date]],"d")</f>
        <v>305</v>
      </c>
      <c r="M48" s="14" t="str">
        <f>IF(messy_clinic_appointments[[#This Row],[days_to_appointment]]&gt;365, "Review", "OK")</f>
        <v>OK</v>
      </c>
    </row>
    <row r="49" spans="1:13" x14ac:dyDescent="0.25">
      <c r="A49">
        <v>1001</v>
      </c>
      <c r="B49" s="14" t="s">
        <v>112</v>
      </c>
      <c r="C49">
        <v>64</v>
      </c>
      <c r="D49" s="14" t="s">
        <v>2008</v>
      </c>
      <c r="E49" s="1">
        <v>45867</v>
      </c>
      <c r="F49" s="1">
        <v>45451</v>
      </c>
      <c r="G49" s="14" t="s">
        <v>1990</v>
      </c>
      <c r="H49" s="14" t="s">
        <v>15</v>
      </c>
      <c r="I49" s="14" t="s">
        <v>2061</v>
      </c>
      <c r="J49" s="14" t="str">
        <f>IF(messy_clinic_appointments[[#This Row],[billing_amount]] &lt; 200, "Low", IF(messy_clinic_appointments[[#This Row],[billing_amount]]&lt;= 400, "Medium", "High"))</f>
        <v>High</v>
      </c>
      <c r="K49" s="14" t="s">
        <v>2026</v>
      </c>
      <c r="L49" s="2">
        <f>DATEDIF(messy_clinic_appointments[[#This Row],[booking_date]],messy_clinic_appointments[[#This Row],[appointment_date]],"d")</f>
        <v>416</v>
      </c>
      <c r="M49" s="14" t="str">
        <f>IF(messy_clinic_appointments[[#This Row],[days_to_appointment]]&gt;365, "Review", "OK")</f>
        <v>Review</v>
      </c>
    </row>
    <row r="50" spans="1:13" x14ac:dyDescent="0.25">
      <c r="A50">
        <v>1024</v>
      </c>
      <c r="B50" s="14" t="s">
        <v>113</v>
      </c>
      <c r="C50">
        <v>34</v>
      </c>
      <c r="D50" s="14" t="s">
        <v>30</v>
      </c>
      <c r="E50" s="1">
        <v>45931</v>
      </c>
      <c r="F50" s="1">
        <v>45578</v>
      </c>
      <c r="G50" s="14" t="s">
        <v>114</v>
      </c>
      <c r="H50" s="14" t="s">
        <v>15</v>
      </c>
      <c r="I50" s="14" t="s">
        <v>2062</v>
      </c>
      <c r="J50" s="14" t="str">
        <f>IF(messy_clinic_appointments[[#This Row],[billing_amount]] &lt; 200, "Low", IF(messy_clinic_appointments[[#This Row],[billing_amount]]&lt;= 400, "Medium", "High"))</f>
        <v>High</v>
      </c>
      <c r="K50" s="14" t="s">
        <v>22</v>
      </c>
      <c r="L50" s="2">
        <f>DATEDIF(messy_clinic_appointments[[#This Row],[booking_date]],messy_clinic_appointments[[#This Row],[appointment_date]],"d")</f>
        <v>353</v>
      </c>
      <c r="M50" s="14" t="str">
        <f>IF(messy_clinic_appointments[[#This Row],[days_to_appointment]]&gt;365, "Review", "OK")</f>
        <v>OK</v>
      </c>
    </row>
    <row r="51" spans="1:13" x14ac:dyDescent="0.25">
      <c r="A51">
        <v>1016</v>
      </c>
      <c r="B51" s="14" t="s">
        <v>115</v>
      </c>
      <c r="C51">
        <v>35</v>
      </c>
      <c r="D51" s="14" t="s">
        <v>2039</v>
      </c>
      <c r="E51" s="1">
        <v>46021</v>
      </c>
      <c r="F51" s="1">
        <v>45747</v>
      </c>
      <c r="G51" s="14" t="s">
        <v>1991</v>
      </c>
      <c r="H51" s="14" t="s">
        <v>15</v>
      </c>
      <c r="I51" s="14" t="s">
        <v>2063</v>
      </c>
      <c r="J51" s="14" t="str">
        <f>IF(messy_clinic_appointments[[#This Row],[billing_amount]] &lt; 200, "Low", IF(messy_clinic_appointments[[#This Row],[billing_amount]]&lt;= 400, "Medium", "High"))</f>
        <v>High</v>
      </c>
      <c r="K51" s="14" t="s">
        <v>2010</v>
      </c>
      <c r="L51" s="2">
        <f>DATEDIF(messy_clinic_appointments[[#This Row],[booking_date]],messy_clinic_appointments[[#This Row],[appointment_date]],"d")</f>
        <v>274</v>
      </c>
      <c r="M51" s="14" t="str">
        <f>IF(messy_clinic_appointments[[#This Row],[days_to_appointment]]&gt;365, "Review", "OK")</f>
        <v>OK</v>
      </c>
    </row>
    <row r="52" spans="1:13" x14ac:dyDescent="0.25">
      <c r="A52">
        <v>1040</v>
      </c>
      <c r="B52" s="14" t="s">
        <v>116</v>
      </c>
      <c r="C52">
        <v>26</v>
      </c>
      <c r="D52" s="14" t="s">
        <v>2022</v>
      </c>
      <c r="E52" s="1">
        <v>45883</v>
      </c>
      <c r="F52" s="1">
        <v>45446</v>
      </c>
      <c r="G52" s="14" t="s">
        <v>117</v>
      </c>
      <c r="H52" s="14" t="s">
        <v>12</v>
      </c>
      <c r="I52" s="14" t="s">
        <v>2064</v>
      </c>
      <c r="J52" s="14" t="str">
        <f>IF(messy_clinic_appointments[[#This Row],[billing_amount]] &lt; 200, "Low", IF(messy_clinic_appointments[[#This Row],[billing_amount]]&lt;= 400, "Medium", "High"))</f>
        <v>High</v>
      </c>
      <c r="K52" s="14" t="s">
        <v>28</v>
      </c>
      <c r="L52" s="2">
        <f>DATEDIF(messy_clinic_appointments[[#This Row],[booking_date]],messy_clinic_appointments[[#This Row],[appointment_date]],"d")</f>
        <v>437</v>
      </c>
      <c r="M52" s="14" t="str">
        <f>IF(messy_clinic_appointments[[#This Row],[days_to_appointment]]&gt;365, "Review", "OK")</f>
        <v>Review</v>
      </c>
    </row>
    <row r="53" spans="1:13" x14ac:dyDescent="0.25">
      <c r="A53">
        <v>1042</v>
      </c>
      <c r="B53" s="14" t="s">
        <v>118</v>
      </c>
      <c r="C53">
        <v>30</v>
      </c>
      <c r="D53" s="14" t="s">
        <v>2010</v>
      </c>
      <c r="E53" s="1">
        <v>45996</v>
      </c>
      <c r="F53" s="1">
        <v>45538</v>
      </c>
      <c r="G53" s="14" t="s">
        <v>119</v>
      </c>
      <c r="H53" s="14" t="s">
        <v>18</v>
      </c>
      <c r="I53" s="14" t="s">
        <v>2065</v>
      </c>
      <c r="J53" s="14" t="str">
        <f>IF(messy_clinic_appointments[[#This Row],[billing_amount]] &lt; 200, "Low", IF(messy_clinic_appointments[[#This Row],[billing_amount]]&lt;= 400, "Medium", "High"))</f>
        <v>High</v>
      </c>
      <c r="K53" s="14" t="s">
        <v>2013</v>
      </c>
      <c r="L53" s="2">
        <f>DATEDIF(messy_clinic_appointments[[#This Row],[booking_date]],messy_clinic_appointments[[#This Row],[appointment_date]],"d")</f>
        <v>458</v>
      </c>
      <c r="M53" s="14" t="str">
        <f>IF(messy_clinic_appointments[[#This Row],[days_to_appointment]]&gt;365, "Review", "OK")</f>
        <v>Review</v>
      </c>
    </row>
    <row r="54" spans="1:13" x14ac:dyDescent="0.25">
      <c r="A54">
        <v>1015</v>
      </c>
      <c r="B54" s="14" t="s">
        <v>120</v>
      </c>
      <c r="C54">
        <v>66</v>
      </c>
      <c r="D54" s="14" t="s">
        <v>50</v>
      </c>
      <c r="E54" s="1">
        <v>46050</v>
      </c>
      <c r="F54" s="1">
        <v>45783</v>
      </c>
      <c r="G54" s="14" t="s">
        <v>121</v>
      </c>
      <c r="H54" s="14" t="s">
        <v>18</v>
      </c>
      <c r="I54" s="14" t="s">
        <v>2066</v>
      </c>
      <c r="J54" s="14" t="str">
        <f>IF(messy_clinic_appointments[[#This Row],[billing_amount]] &lt; 200, "Low", IF(messy_clinic_appointments[[#This Row],[billing_amount]]&lt;= 400, "Medium", "High"))</f>
        <v>High</v>
      </c>
      <c r="K54" s="14" t="s">
        <v>2039</v>
      </c>
      <c r="L54" s="2">
        <f>DATEDIF(messy_clinic_appointments[[#This Row],[booking_date]],messy_clinic_appointments[[#This Row],[appointment_date]],"d")</f>
        <v>267</v>
      </c>
      <c r="M54" s="14" t="str">
        <f>IF(messy_clinic_appointments[[#This Row],[days_to_appointment]]&gt;365, "Review", "OK")</f>
        <v>OK</v>
      </c>
    </row>
    <row r="55" spans="1:13" x14ac:dyDescent="0.25">
      <c r="A55">
        <v>1053</v>
      </c>
      <c r="B55" s="14" t="s">
        <v>122</v>
      </c>
      <c r="C55">
        <v>49</v>
      </c>
      <c r="D55" s="14" t="s">
        <v>2022</v>
      </c>
      <c r="E55" s="1">
        <v>45875</v>
      </c>
      <c r="F55" s="1">
        <v>45739</v>
      </c>
      <c r="G55" s="14" t="s">
        <v>123</v>
      </c>
      <c r="H55" s="14" t="s">
        <v>18</v>
      </c>
      <c r="I55" s="14" t="s">
        <v>2067</v>
      </c>
      <c r="J55" s="14" t="str">
        <f>IF(messy_clinic_appointments[[#This Row],[billing_amount]] &lt; 200, "Low", IF(messy_clinic_appointments[[#This Row],[billing_amount]]&lt;= 400, "Medium", "High"))</f>
        <v>High</v>
      </c>
      <c r="K55" s="14" t="s">
        <v>2010</v>
      </c>
      <c r="L55" s="2">
        <f>DATEDIF(messy_clinic_appointments[[#This Row],[booking_date]],messy_clinic_appointments[[#This Row],[appointment_date]],"d")</f>
        <v>136</v>
      </c>
      <c r="M55" s="14" t="str">
        <f>IF(messy_clinic_appointments[[#This Row],[days_to_appointment]]&gt;365, "Review", "OK")</f>
        <v>OK</v>
      </c>
    </row>
    <row r="56" spans="1:13" x14ac:dyDescent="0.25">
      <c r="A56">
        <v>1063</v>
      </c>
      <c r="B56" s="14" t="s">
        <v>124</v>
      </c>
      <c r="C56">
        <v>62</v>
      </c>
      <c r="D56" s="14" t="s">
        <v>30</v>
      </c>
      <c r="E56" s="1">
        <v>46032</v>
      </c>
      <c r="F56" s="1">
        <v>45637</v>
      </c>
      <c r="G56" s="14" t="s">
        <v>125</v>
      </c>
      <c r="H56" s="14" t="s">
        <v>18</v>
      </c>
      <c r="I56" s="14" t="s">
        <v>2068</v>
      </c>
      <c r="J56" s="14" t="str">
        <f>IF(messy_clinic_appointments[[#This Row],[billing_amount]] &lt; 200, "Low", IF(messy_clinic_appointments[[#This Row],[billing_amount]]&lt;= 400, "Medium", "High"))</f>
        <v>High</v>
      </c>
      <c r="K56" s="14" t="s">
        <v>2039</v>
      </c>
      <c r="L56" s="2">
        <f>DATEDIF(messy_clinic_appointments[[#This Row],[booking_date]],messy_clinic_appointments[[#This Row],[appointment_date]],"d")</f>
        <v>395</v>
      </c>
      <c r="M56" s="14" t="str">
        <f>IF(messy_clinic_appointments[[#This Row],[days_to_appointment]]&gt;365, "Review", "OK")</f>
        <v>Review</v>
      </c>
    </row>
    <row r="57" spans="1:13" x14ac:dyDescent="0.25">
      <c r="A57">
        <v>1068</v>
      </c>
      <c r="B57" s="14" t="s">
        <v>126</v>
      </c>
      <c r="C57">
        <v>63</v>
      </c>
      <c r="D57" s="14" t="s">
        <v>2011</v>
      </c>
      <c r="E57" s="1">
        <v>45970</v>
      </c>
      <c r="F57" s="1">
        <v>45910</v>
      </c>
      <c r="G57" s="14" t="s">
        <v>127</v>
      </c>
      <c r="H57" s="14" t="s">
        <v>15</v>
      </c>
      <c r="I57" s="14" t="s">
        <v>2069</v>
      </c>
      <c r="J57" s="14" t="str">
        <f>IF(messy_clinic_appointments[[#This Row],[billing_amount]] &lt; 200, "Low", IF(messy_clinic_appointments[[#This Row],[billing_amount]]&lt;= 400, "Medium", "High"))</f>
        <v>High</v>
      </c>
      <c r="K57" s="14" t="s">
        <v>28</v>
      </c>
      <c r="L57" s="2">
        <f>DATEDIF(messy_clinic_appointments[[#This Row],[booking_date]],messy_clinic_appointments[[#This Row],[appointment_date]],"d")</f>
        <v>60</v>
      </c>
      <c r="M57" s="14" t="str">
        <f>IF(messy_clinic_appointments[[#This Row],[days_to_appointment]]&gt;365, "Review", "OK")</f>
        <v>OK</v>
      </c>
    </row>
    <row r="58" spans="1:13" x14ac:dyDescent="0.25">
      <c r="A58">
        <v>1006</v>
      </c>
      <c r="B58" s="14" t="s">
        <v>128</v>
      </c>
      <c r="C58">
        <v>48</v>
      </c>
      <c r="D58" s="14" t="s">
        <v>2039</v>
      </c>
      <c r="E58" s="1">
        <v>45847</v>
      </c>
      <c r="F58" s="1">
        <v>45750</v>
      </c>
      <c r="G58" s="14" t="s">
        <v>129</v>
      </c>
      <c r="H58" s="14" t="s">
        <v>18</v>
      </c>
      <c r="I58" s="14" t="s">
        <v>2070</v>
      </c>
      <c r="J58" s="14" t="str">
        <f>IF(messy_clinic_appointments[[#This Row],[billing_amount]] &lt; 200, "Low", IF(messy_clinic_appointments[[#This Row],[billing_amount]]&lt;= 400, "Medium", "High"))</f>
        <v>High</v>
      </c>
      <c r="K58" s="14" t="s">
        <v>2010</v>
      </c>
      <c r="L58" s="2">
        <f>DATEDIF(messy_clinic_appointments[[#This Row],[booking_date]],messy_clinic_appointments[[#This Row],[appointment_date]],"d")</f>
        <v>97</v>
      </c>
      <c r="M58" s="14" t="str">
        <f>IF(messy_clinic_appointments[[#This Row],[days_to_appointment]]&gt;365, "Review", "OK")</f>
        <v>OK</v>
      </c>
    </row>
    <row r="59" spans="1:13" x14ac:dyDescent="0.25">
      <c r="A59">
        <v>1047</v>
      </c>
      <c r="B59" s="14" t="s">
        <v>130</v>
      </c>
      <c r="C59">
        <v>87</v>
      </c>
      <c r="D59" s="14" t="s">
        <v>2022</v>
      </c>
      <c r="E59" s="1">
        <v>45874</v>
      </c>
      <c r="F59" s="1">
        <v>45691</v>
      </c>
      <c r="G59" s="14" t="s">
        <v>131</v>
      </c>
      <c r="H59" s="14" t="s">
        <v>15</v>
      </c>
      <c r="I59" s="14" t="s">
        <v>2071</v>
      </c>
      <c r="J59" s="14" t="str">
        <f>IF(messy_clinic_appointments[[#This Row],[billing_amount]] &lt; 200, "Low", IF(messy_clinic_appointments[[#This Row],[billing_amount]]&lt;= 400, "Medium", "High"))</f>
        <v>High</v>
      </c>
      <c r="K59" s="14" t="s">
        <v>2010</v>
      </c>
      <c r="L59" s="2">
        <f>DATEDIF(messy_clinic_appointments[[#This Row],[booking_date]],messy_clinic_appointments[[#This Row],[appointment_date]],"d")</f>
        <v>183</v>
      </c>
      <c r="M59" s="14" t="str">
        <f>IF(messy_clinic_appointments[[#This Row],[days_to_appointment]]&gt;365, "Review", "OK")</f>
        <v>OK</v>
      </c>
    </row>
    <row r="60" spans="1:13" x14ac:dyDescent="0.25">
      <c r="A60">
        <v>1095</v>
      </c>
      <c r="B60" s="14" t="s">
        <v>132</v>
      </c>
      <c r="C60">
        <v>58</v>
      </c>
      <c r="D60" s="14" t="s">
        <v>2008</v>
      </c>
      <c r="E60" s="1">
        <v>45812</v>
      </c>
      <c r="F60" s="1">
        <v>45683</v>
      </c>
      <c r="G60" s="14" t="s">
        <v>133</v>
      </c>
      <c r="H60" s="14" t="s">
        <v>18</v>
      </c>
      <c r="I60" s="14" t="s">
        <v>2072</v>
      </c>
      <c r="J60" s="14" t="str">
        <f>IF(messy_clinic_appointments[[#This Row],[billing_amount]] &lt; 200, "Low", IF(messy_clinic_appointments[[#This Row],[billing_amount]]&lt;= 400, "Medium", "High"))</f>
        <v>High</v>
      </c>
      <c r="K60" s="14" t="s">
        <v>2039</v>
      </c>
      <c r="L60" s="2">
        <f>DATEDIF(messy_clinic_appointments[[#This Row],[booking_date]],messy_clinic_appointments[[#This Row],[appointment_date]],"d")</f>
        <v>129</v>
      </c>
      <c r="M60" s="14" t="str">
        <f>IF(messy_clinic_appointments[[#This Row],[days_to_appointment]]&gt;365, "Review", "OK")</f>
        <v>OK</v>
      </c>
    </row>
    <row r="61" spans="1:13" x14ac:dyDescent="0.25">
      <c r="A61">
        <v>1009</v>
      </c>
      <c r="B61" s="14" t="s">
        <v>134</v>
      </c>
      <c r="C61">
        <v>63</v>
      </c>
      <c r="D61" s="14" t="s">
        <v>50</v>
      </c>
      <c r="E61" s="1">
        <v>45877</v>
      </c>
      <c r="F61" s="1">
        <v>45801</v>
      </c>
      <c r="G61" s="14" t="s">
        <v>135</v>
      </c>
      <c r="H61" s="14" t="s">
        <v>21</v>
      </c>
      <c r="I61" s="14" t="s">
        <v>2073</v>
      </c>
      <c r="J61" s="14" t="str">
        <f>IF(messy_clinic_appointments[[#This Row],[billing_amount]] &lt; 200, "Low", IF(messy_clinic_appointments[[#This Row],[billing_amount]]&lt;= 400, "Medium", "High"))</f>
        <v>High</v>
      </c>
      <c r="K61" s="14" t="s">
        <v>28</v>
      </c>
      <c r="L61" s="2">
        <f>DATEDIF(messy_clinic_appointments[[#This Row],[booking_date]],messy_clinic_appointments[[#This Row],[appointment_date]],"d")</f>
        <v>76</v>
      </c>
      <c r="M61" s="14" t="str">
        <f>IF(messy_clinic_appointments[[#This Row],[days_to_appointment]]&gt;365, "Review", "OK")</f>
        <v>OK</v>
      </c>
    </row>
    <row r="62" spans="1:13" x14ac:dyDescent="0.25">
      <c r="A62">
        <v>1078</v>
      </c>
      <c r="B62" s="14" t="s">
        <v>136</v>
      </c>
      <c r="C62">
        <v>54</v>
      </c>
      <c r="D62" s="14" t="s">
        <v>2039</v>
      </c>
      <c r="E62" s="1">
        <v>46000</v>
      </c>
      <c r="F62" s="1">
        <v>45850</v>
      </c>
      <c r="G62" s="14" t="s">
        <v>137</v>
      </c>
      <c r="H62" s="14" t="s">
        <v>21</v>
      </c>
      <c r="I62" s="14" t="s">
        <v>2074</v>
      </c>
      <c r="J62" s="14" t="str">
        <f>IF(messy_clinic_appointments[[#This Row],[billing_amount]] &lt; 200, "Low", IF(messy_clinic_appointments[[#This Row],[billing_amount]]&lt;= 400, "Medium", "High"))</f>
        <v>High</v>
      </c>
      <c r="K62" s="14" t="s">
        <v>22</v>
      </c>
      <c r="L62" s="2">
        <f>DATEDIF(messy_clinic_appointments[[#This Row],[booking_date]],messy_clinic_appointments[[#This Row],[appointment_date]],"d")</f>
        <v>150</v>
      </c>
      <c r="M62" s="14" t="str">
        <f>IF(messy_clinic_appointments[[#This Row],[days_to_appointment]]&gt;365, "Review", "OK")</f>
        <v>OK</v>
      </c>
    </row>
    <row r="63" spans="1:13" x14ac:dyDescent="0.25">
      <c r="A63">
        <v>1019</v>
      </c>
      <c r="B63" s="14" t="s">
        <v>138</v>
      </c>
      <c r="C63">
        <v>35</v>
      </c>
      <c r="D63" s="14" t="s">
        <v>2011</v>
      </c>
      <c r="E63" s="1">
        <v>45985</v>
      </c>
      <c r="F63" s="1">
        <v>45601</v>
      </c>
      <c r="G63" s="14" t="s">
        <v>139</v>
      </c>
      <c r="H63" s="14" t="s">
        <v>15</v>
      </c>
      <c r="I63" s="14" t="s">
        <v>2075</v>
      </c>
      <c r="J63" s="14" t="str">
        <f>IF(messy_clinic_appointments[[#This Row],[billing_amount]] &lt; 200, "Low", IF(messy_clinic_appointments[[#This Row],[billing_amount]]&lt;= 400, "Medium", "High"))</f>
        <v>High</v>
      </c>
      <c r="K63" s="14" t="s">
        <v>28</v>
      </c>
      <c r="L63" s="2">
        <f>DATEDIF(messy_clinic_appointments[[#This Row],[booking_date]],messy_clinic_appointments[[#This Row],[appointment_date]],"d")</f>
        <v>384</v>
      </c>
      <c r="M63" s="14" t="str">
        <f>IF(messy_clinic_appointments[[#This Row],[days_to_appointment]]&gt;365, "Review", "OK")</f>
        <v>Review</v>
      </c>
    </row>
    <row r="64" spans="1:13" x14ac:dyDescent="0.25">
      <c r="A64">
        <v>1021</v>
      </c>
      <c r="B64" s="14" t="s">
        <v>140</v>
      </c>
      <c r="C64">
        <v>39</v>
      </c>
      <c r="D64" s="14" t="s">
        <v>2014</v>
      </c>
      <c r="E64" s="1">
        <v>45836</v>
      </c>
      <c r="F64" s="1">
        <v>45378</v>
      </c>
      <c r="G64" s="14" t="s">
        <v>141</v>
      </c>
      <c r="H64" s="14" t="s">
        <v>21</v>
      </c>
      <c r="I64" s="14" t="s">
        <v>2076</v>
      </c>
      <c r="J64" s="14" t="str">
        <f>IF(messy_clinic_appointments[[#This Row],[billing_amount]] &lt; 200, "Low", IF(messy_clinic_appointments[[#This Row],[billing_amount]]&lt;= 400, "Medium", "High"))</f>
        <v>High</v>
      </c>
      <c r="K64" s="14" t="s">
        <v>2010</v>
      </c>
      <c r="L64" s="2">
        <f>DATEDIF(messy_clinic_appointments[[#This Row],[booking_date]],messy_clinic_appointments[[#This Row],[appointment_date]],"d")</f>
        <v>458</v>
      </c>
      <c r="M64" s="14" t="str">
        <f>IF(messy_clinic_appointments[[#This Row],[days_to_appointment]]&gt;365, "Review", "OK")</f>
        <v>Review</v>
      </c>
    </row>
    <row r="65" spans="1:13" x14ac:dyDescent="0.25">
      <c r="A65">
        <v>1018</v>
      </c>
      <c r="B65" s="14" t="s">
        <v>142</v>
      </c>
      <c r="C65">
        <v>78</v>
      </c>
      <c r="D65" s="14" t="s">
        <v>2010</v>
      </c>
      <c r="E65" s="1">
        <v>45869</v>
      </c>
      <c r="F65" s="1">
        <v>45832</v>
      </c>
      <c r="G65" s="14" t="s">
        <v>143</v>
      </c>
      <c r="H65" s="14" t="s">
        <v>21</v>
      </c>
      <c r="I65" s="14" t="s">
        <v>2077</v>
      </c>
      <c r="J65" s="14" t="str">
        <f>IF(messy_clinic_appointments[[#This Row],[billing_amount]] &lt; 200, "Low", IF(messy_clinic_appointments[[#This Row],[billing_amount]]&lt;= 400, "Medium", "High"))</f>
        <v>High</v>
      </c>
      <c r="K65" s="14" t="s">
        <v>2010</v>
      </c>
      <c r="L65" s="2">
        <f>DATEDIF(messy_clinic_appointments[[#This Row],[booking_date]],messy_clinic_appointments[[#This Row],[appointment_date]],"d")</f>
        <v>37</v>
      </c>
      <c r="M65" s="14" t="str">
        <f>IF(messy_clinic_appointments[[#This Row],[days_to_appointment]]&gt;365, "Review", "OK")</f>
        <v>OK</v>
      </c>
    </row>
    <row r="66" spans="1:13" x14ac:dyDescent="0.25">
      <c r="A66">
        <v>1077</v>
      </c>
      <c r="B66" s="14" t="s">
        <v>144</v>
      </c>
      <c r="C66">
        <v>34</v>
      </c>
      <c r="D66" s="14" t="s">
        <v>24</v>
      </c>
      <c r="E66" s="1">
        <v>45837</v>
      </c>
      <c r="F66" s="1">
        <v>45630</v>
      </c>
      <c r="G66" s="14" t="s">
        <v>145</v>
      </c>
      <c r="H66" s="14" t="s">
        <v>18</v>
      </c>
      <c r="I66" s="14" t="s">
        <v>2078</v>
      </c>
      <c r="J66" s="14" t="str">
        <f>IF(messy_clinic_appointments[[#This Row],[billing_amount]] &lt; 200, "Low", IF(messy_clinic_appointments[[#This Row],[billing_amount]]&lt;= 400, "Medium", "High"))</f>
        <v>High</v>
      </c>
      <c r="K66" s="14" t="s">
        <v>2026</v>
      </c>
      <c r="L66" s="2">
        <f>DATEDIF(messy_clinic_appointments[[#This Row],[booking_date]],messy_clinic_appointments[[#This Row],[appointment_date]],"d")</f>
        <v>207</v>
      </c>
      <c r="M66" s="14" t="str">
        <f>IF(messy_clinic_appointments[[#This Row],[days_to_appointment]]&gt;365, "Review", "OK")</f>
        <v>OK</v>
      </c>
    </row>
    <row r="67" spans="1:13" x14ac:dyDescent="0.25">
      <c r="A67">
        <v>1063</v>
      </c>
      <c r="B67" s="14" t="s">
        <v>146</v>
      </c>
      <c r="C67">
        <v>21</v>
      </c>
      <c r="D67" s="14" t="s">
        <v>2022</v>
      </c>
      <c r="E67" s="1">
        <v>45973</v>
      </c>
      <c r="F67" s="1">
        <v>45838</v>
      </c>
      <c r="G67" s="14" t="s">
        <v>147</v>
      </c>
      <c r="H67" s="14" t="s">
        <v>18</v>
      </c>
      <c r="I67" s="14" t="s">
        <v>2079</v>
      </c>
      <c r="J67" s="14" t="str">
        <f>IF(messy_clinic_appointments[[#This Row],[billing_amount]] &lt; 200, "Low", IF(messy_clinic_appointments[[#This Row],[billing_amount]]&lt;= 400, "Medium", "High"))</f>
        <v>High</v>
      </c>
      <c r="K67" s="14" t="s">
        <v>28</v>
      </c>
      <c r="L67" s="2">
        <f>DATEDIF(messy_clinic_appointments[[#This Row],[booking_date]],messy_clinic_appointments[[#This Row],[appointment_date]],"d")</f>
        <v>135</v>
      </c>
      <c r="M67" s="14" t="str">
        <f>IF(messy_clinic_appointments[[#This Row],[days_to_appointment]]&gt;365, "Review", "OK")</f>
        <v>OK</v>
      </c>
    </row>
    <row r="68" spans="1:13" x14ac:dyDescent="0.25">
      <c r="A68">
        <v>1015</v>
      </c>
      <c r="B68" s="14" t="s">
        <v>148</v>
      </c>
      <c r="C68">
        <v>37</v>
      </c>
      <c r="D68" s="14" t="s">
        <v>2039</v>
      </c>
      <c r="E68" s="1">
        <v>45857</v>
      </c>
      <c r="F68" s="1">
        <v>45453</v>
      </c>
      <c r="G68" s="14" t="s">
        <v>149</v>
      </c>
      <c r="H68" s="14" t="s">
        <v>15</v>
      </c>
      <c r="I68" s="14" t="s">
        <v>2080</v>
      </c>
      <c r="J68" s="14" t="str">
        <f>IF(messy_clinic_appointments[[#This Row],[billing_amount]] &lt; 200, "Low", IF(messy_clinic_appointments[[#This Row],[billing_amount]]&lt;= 400, "Medium", "High"))</f>
        <v>High</v>
      </c>
      <c r="K68" s="14" t="s">
        <v>22</v>
      </c>
      <c r="L68" s="2">
        <f>DATEDIF(messy_clinic_appointments[[#This Row],[booking_date]],messy_clinic_appointments[[#This Row],[appointment_date]],"d")</f>
        <v>404</v>
      </c>
      <c r="M68" s="14" t="str">
        <f>IF(messy_clinic_appointments[[#This Row],[days_to_appointment]]&gt;365, "Review", "OK")</f>
        <v>Review</v>
      </c>
    </row>
    <row r="69" spans="1:13" x14ac:dyDescent="0.25">
      <c r="A69">
        <v>1068</v>
      </c>
      <c r="B69" s="14" t="s">
        <v>150</v>
      </c>
      <c r="C69">
        <v>60</v>
      </c>
      <c r="D69" s="14" t="s">
        <v>2010</v>
      </c>
      <c r="E69" s="1">
        <v>46072</v>
      </c>
      <c r="F69" s="1">
        <v>45609</v>
      </c>
      <c r="G69" s="14" t="s">
        <v>151</v>
      </c>
      <c r="H69" s="14" t="s">
        <v>18</v>
      </c>
      <c r="I69" s="14" t="s">
        <v>2081</v>
      </c>
      <c r="J69" s="14" t="str">
        <f>IF(messy_clinic_appointments[[#This Row],[billing_amount]] &lt; 200, "Low", IF(messy_clinic_appointments[[#This Row],[billing_amount]]&lt;= 400, "Medium", "High"))</f>
        <v>High</v>
      </c>
      <c r="K69" s="14" t="s">
        <v>2010</v>
      </c>
      <c r="L69" s="2">
        <f>DATEDIF(messy_clinic_appointments[[#This Row],[booking_date]],messy_clinic_appointments[[#This Row],[appointment_date]],"d")</f>
        <v>463</v>
      </c>
      <c r="M69" s="14" t="str">
        <f>IF(messy_clinic_appointments[[#This Row],[days_to_appointment]]&gt;365, "Review", "OK")</f>
        <v>Review</v>
      </c>
    </row>
    <row r="70" spans="1:13" x14ac:dyDescent="0.25">
      <c r="A70">
        <v>1010</v>
      </c>
      <c r="B70" s="14" t="s">
        <v>152</v>
      </c>
      <c r="C70">
        <v>38</v>
      </c>
      <c r="D70" s="14" t="s">
        <v>30</v>
      </c>
      <c r="E70" s="1">
        <v>46064</v>
      </c>
      <c r="F70" s="1">
        <v>45928</v>
      </c>
      <c r="G70" s="14" t="s">
        <v>153</v>
      </c>
      <c r="H70" s="14" t="s">
        <v>15</v>
      </c>
      <c r="I70" s="14" t="s">
        <v>2082</v>
      </c>
      <c r="J70" s="14" t="str">
        <f>IF(messy_clinic_appointments[[#This Row],[billing_amount]] &lt; 200, "Low", IF(messy_clinic_appointments[[#This Row],[billing_amount]]&lt;= 400, "Medium", "High"))</f>
        <v>High</v>
      </c>
      <c r="K70" s="14" t="s">
        <v>2026</v>
      </c>
      <c r="L70" s="2">
        <f>DATEDIF(messy_clinic_appointments[[#This Row],[booking_date]],messy_clinic_appointments[[#This Row],[appointment_date]],"d")</f>
        <v>136</v>
      </c>
      <c r="M70" s="14" t="str">
        <f>IF(messy_clinic_appointments[[#This Row],[days_to_appointment]]&gt;365, "Review", "OK")</f>
        <v>OK</v>
      </c>
    </row>
    <row r="71" spans="1:13" x14ac:dyDescent="0.25">
      <c r="A71">
        <v>1034</v>
      </c>
      <c r="B71" s="14" t="s">
        <v>154</v>
      </c>
      <c r="C71">
        <v>68</v>
      </c>
      <c r="D71" s="14" t="s">
        <v>50</v>
      </c>
      <c r="E71" s="1">
        <v>45843</v>
      </c>
      <c r="F71" s="1">
        <v>45680</v>
      </c>
      <c r="G71" s="14" t="s">
        <v>155</v>
      </c>
      <c r="H71" s="14" t="s">
        <v>18</v>
      </c>
      <c r="I71" s="14" t="s">
        <v>2083</v>
      </c>
      <c r="J71" s="14" t="str">
        <f>IF(messy_clinic_appointments[[#This Row],[billing_amount]] &lt; 200, "Low", IF(messy_clinic_appointments[[#This Row],[billing_amount]]&lt;= 400, "Medium", "High"))</f>
        <v>High</v>
      </c>
      <c r="K71" s="14" t="s">
        <v>2026</v>
      </c>
      <c r="L71" s="2">
        <f>DATEDIF(messy_clinic_appointments[[#This Row],[booking_date]],messy_clinic_appointments[[#This Row],[appointment_date]],"d")</f>
        <v>163</v>
      </c>
      <c r="M71" s="14" t="str">
        <f>IF(messy_clinic_appointments[[#This Row],[days_to_appointment]]&gt;365, "Review", "OK")</f>
        <v>OK</v>
      </c>
    </row>
    <row r="72" spans="1:13" x14ac:dyDescent="0.25">
      <c r="A72">
        <v>1095</v>
      </c>
      <c r="B72" s="14" t="s">
        <v>156</v>
      </c>
      <c r="C72">
        <v>86</v>
      </c>
      <c r="D72" s="14" t="s">
        <v>24</v>
      </c>
      <c r="E72" s="1">
        <v>45833</v>
      </c>
      <c r="F72" s="1">
        <v>45406</v>
      </c>
      <c r="G72" s="14" t="s">
        <v>157</v>
      </c>
      <c r="H72" s="14" t="s">
        <v>12</v>
      </c>
      <c r="I72" s="14" t="s">
        <v>2084</v>
      </c>
      <c r="J72" s="14" t="str">
        <f>IF(messy_clinic_appointments[[#This Row],[billing_amount]] &lt; 200, "Low", IF(messy_clinic_appointments[[#This Row],[billing_amount]]&lt;= 400, "Medium", "High"))</f>
        <v>High</v>
      </c>
      <c r="K72" s="14" t="s">
        <v>28</v>
      </c>
      <c r="L72" s="2">
        <f>DATEDIF(messy_clinic_appointments[[#This Row],[booking_date]],messy_clinic_appointments[[#This Row],[appointment_date]],"d")</f>
        <v>427</v>
      </c>
      <c r="M72" s="14" t="str">
        <f>IF(messy_clinic_appointments[[#This Row],[days_to_appointment]]&gt;365, "Review", "OK")</f>
        <v>Review</v>
      </c>
    </row>
    <row r="73" spans="1:13" x14ac:dyDescent="0.25">
      <c r="A73">
        <v>1070</v>
      </c>
      <c r="B73" s="14" t="s">
        <v>158</v>
      </c>
      <c r="C73">
        <v>85</v>
      </c>
      <c r="D73" s="14" t="s">
        <v>2010</v>
      </c>
      <c r="E73" s="1">
        <v>45910</v>
      </c>
      <c r="F73" s="1">
        <v>45524</v>
      </c>
      <c r="G73" s="14" t="s">
        <v>159</v>
      </c>
      <c r="H73" s="14" t="s">
        <v>18</v>
      </c>
      <c r="I73" s="14" t="s">
        <v>2085</v>
      </c>
      <c r="J73" s="14" t="str">
        <f>IF(messy_clinic_appointments[[#This Row],[billing_amount]] &lt; 200, "Low", IF(messy_clinic_appointments[[#This Row],[billing_amount]]&lt;= 400, "Medium", "High"))</f>
        <v>High</v>
      </c>
      <c r="K73" s="14" t="s">
        <v>22</v>
      </c>
      <c r="L73" s="2">
        <f>DATEDIF(messy_clinic_appointments[[#This Row],[booking_date]],messy_clinic_appointments[[#This Row],[appointment_date]],"d")</f>
        <v>386</v>
      </c>
      <c r="M73" s="14" t="str">
        <f>IF(messy_clinic_appointments[[#This Row],[days_to_appointment]]&gt;365, "Review", "OK")</f>
        <v>Review</v>
      </c>
    </row>
    <row r="74" spans="1:13" x14ac:dyDescent="0.25">
      <c r="A74">
        <v>1099</v>
      </c>
      <c r="B74" s="14" t="s">
        <v>160</v>
      </c>
      <c r="C74">
        <v>28</v>
      </c>
      <c r="D74" s="14" t="s">
        <v>2011</v>
      </c>
      <c r="E74" s="1">
        <v>45859</v>
      </c>
      <c r="F74" s="1">
        <v>45852</v>
      </c>
      <c r="G74" s="14" t="s">
        <v>161</v>
      </c>
      <c r="H74" s="14" t="s">
        <v>18</v>
      </c>
      <c r="I74" s="14" t="s">
        <v>2086</v>
      </c>
      <c r="J74" s="14" t="str">
        <f>IF(messy_clinic_appointments[[#This Row],[billing_amount]] &lt; 200, "Low", IF(messy_clinic_appointments[[#This Row],[billing_amount]]&lt;= 400, "Medium", "High"))</f>
        <v>High</v>
      </c>
      <c r="K74" s="14" t="s">
        <v>2013</v>
      </c>
      <c r="L74" s="2">
        <f>DATEDIF(messy_clinic_appointments[[#This Row],[booking_date]],messy_clinic_appointments[[#This Row],[appointment_date]],"d")</f>
        <v>7</v>
      </c>
      <c r="M74" s="14" t="str">
        <f>IF(messy_clinic_appointments[[#This Row],[days_to_appointment]]&gt;365, "Review", "OK")</f>
        <v>OK</v>
      </c>
    </row>
    <row r="75" spans="1:13" x14ac:dyDescent="0.25">
      <c r="A75">
        <v>1022</v>
      </c>
      <c r="B75" s="14" t="s">
        <v>162</v>
      </c>
      <c r="C75">
        <v>23</v>
      </c>
      <c r="D75" s="14" t="s">
        <v>30</v>
      </c>
      <c r="E75" s="1">
        <v>46072</v>
      </c>
      <c r="F75" s="1">
        <v>45551</v>
      </c>
      <c r="G75" s="14" t="s">
        <v>163</v>
      </c>
      <c r="H75" s="14" t="s">
        <v>15</v>
      </c>
      <c r="I75" s="14" t="s">
        <v>2087</v>
      </c>
      <c r="J75" s="14" t="str">
        <f>IF(messy_clinic_appointments[[#This Row],[billing_amount]] &lt; 200, "Low", IF(messy_clinic_appointments[[#This Row],[billing_amount]]&lt;= 400, "Medium", "High"))</f>
        <v>High</v>
      </c>
      <c r="K75" s="14" t="s">
        <v>28</v>
      </c>
      <c r="L75" s="2">
        <f>DATEDIF(messy_clinic_appointments[[#This Row],[booking_date]],messy_clinic_appointments[[#This Row],[appointment_date]],"d")</f>
        <v>521</v>
      </c>
      <c r="M75" s="14" t="str">
        <f>IF(messy_clinic_appointments[[#This Row],[days_to_appointment]]&gt;365, "Review", "OK")</f>
        <v>Review</v>
      </c>
    </row>
    <row r="76" spans="1:13" x14ac:dyDescent="0.25">
      <c r="A76">
        <v>1095</v>
      </c>
      <c r="B76" s="14" t="s">
        <v>164</v>
      </c>
      <c r="C76">
        <v>86</v>
      </c>
      <c r="D76" s="14" t="s">
        <v>2011</v>
      </c>
      <c r="E76" s="1">
        <v>45952</v>
      </c>
      <c r="F76" s="1">
        <v>45857</v>
      </c>
      <c r="G76" s="14" t="s">
        <v>165</v>
      </c>
      <c r="H76" s="14" t="s">
        <v>15</v>
      </c>
      <c r="I76" s="14" t="s">
        <v>2088</v>
      </c>
      <c r="J76" s="14" t="str">
        <f>IF(messy_clinic_appointments[[#This Row],[billing_amount]] &lt; 200, "Low", IF(messy_clinic_appointments[[#This Row],[billing_amount]]&lt;= 400, "Medium", "High"))</f>
        <v>High</v>
      </c>
      <c r="K76" s="14" t="s">
        <v>28</v>
      </c>
      <c r="L76" s="2">
        <f>DATEDIF(messy_clinic_appointments[[#This Row],[booking_date]],messy_clinic_appointments[[#This Row],[appointment_date]],"d")</f>
        <v>95</v>
      </c>
      <c r="M76" s="14" t="str">
        <f>IF(messy_clinic_appointments[[#This Row],[days_to_appointment]]&gt;365, "Review", "OK")</f>
        <v>OK</v>
      </c>
    </row>
    <row r="77" spans="1:13" x14ac:dyDescent="0.25">
      <c r="A77">
        <v>1061</v>
      </c>
      <c r="B77" s="14" t="s">
        <v>166</v>
      </c>
      <c r="C77">
        <v>66</v>
      </c>
      <c r="D77" s="14" t="s">
        <v>2008</v>
      </c>
      <c r="E77" s="1">
        <v>45889</v>
      </c>
      <c r="F77" s="1">
        <v>45724</v>
      </c>
      <c r="G77" s="14" t="s">
        <v>167</v>
      </c>
      <c r="H77" s="14" t="s">
        <v>18</v>
      </c>
      <c r="I77" s="14" t="s">
        <v>24</v>
      </c>
      <c r="J77" s="14" t="str">
        <f>IF(messy_clinic_appointments[[#This Row],[billing_amount]] &lt; 200, "Low", IF(messy_clinic_appointments[[#This Row],[billing_amount]]&lt;= 400, "Medium", "High"))</f>
        <v>High</v>
      </c>
      <c r="K77" s="14" t="s">
        <v>28</v>
      </c>
      <c r="L77" s="2">
        <f>DATEDIF(messy_clinic_appointments[[#This Row],[booking_date]],messy_clinic_appointments[[#This Row],[appointment_date]],"d")</f>
        <v>165</v>
      </c>
      <c r="M77" s="14" t="str">
        <f>IF(messy_clinic_appointments[[#This Row],[days_to_appointment]]&gt;365, "Review", "OK")</f>
        <v>OK</v>
      </c>
    </row>
    <row r="78" spans="1:13" x14ac:dyDescent="0.25">
      <c r="A78">
        <v>1088</v>
      </c>
      <c r="B78" s="14" t="s">
        <v>168</v>
      </c>
      <c r="C78">
        <v>22</v>
      </c>
      <c r="D78" s="14" t="s">
        <v>2022</v>
      </c>
      <c r="E78" s="1">
        <v>45963</v>
      </c>
      <c r="F78" s="1">
        <v>45771</v>
      </c>
      <c r="G78" s="14" t="s">
        <v>169</v>
      </c>
      <c r="H78" s="14" t="s">
        <v>21</v>
      </c>
      <c r="I78" s="14" t="s">
        <v>2089</v>
      </c>
      <c r="J78" s="14" t="str">
        <f>IF(messy_clinic_appointments[[#This Row],[billing_amount]] &lt; 200, "Low", IF(messy_clinic_appointments[[#This Row],[billing_amount]]&lt;= 400, "Medium", "High"))</f>
        <v>High</v>
      </c>
      <c r="K78" s="14" t="s">
        <v>2010</v>
      </c>
      <c r="L78" s="2">
        <f>DATEDIF(messy_clinic_appointments[[#This Row],[booking_date]],messy_clinic_appointments[[#This Row],[appointment_date]],"d")</f>
        <v>192</v>
      </c>
      <c r="M78" s="14" t="str">
        <f>IF(messy_clinic_appointments[[#This Row],[days_to_appointment]]&gt;365, "Review", "OK")</f>
        <v>OK</v>
      </c>
    </row>
    <row r="79" spans="1:13" x14ac:dyDescent="0.25">
      <c r="A79">
        <v>1008</v>
      </c>
      <c r="B79" s="14" t="s">
        <v>170</v>
      </c>
      <c r="C79">
        <v>69</v>
      </c>
      <c r="D79" s="14" t="s">
        <v>2011</v>
      </c>
      <c r="E79" s="1">
        <v>45931</v>
      </c>
      <c r="F79" s="1">
        <v>45435</v>
      </c>
      <c r="G79" s="14" t="s">
        <v>171</v>
      </c>
      <c r="H79" s="14" t="s">
        <v>15</v>
      </c>
      <c r="I79" s="14" t="s">
        <v>2090</v>
      </c>
      <c r="J79" s="14" t="str">
        <f>IF(messy_clinic_appointments[[#This Row],[billing_amount]] &lt; 200, "Low", IF(messy_clinic_appointments[[#This Row],[billing_amount]]&lt;= 400, "Medium", "High"))</f>
        <v>High</v>
      </c>
      <c r="K79" s="14" t="s">
        <v>2039</v>
      </c>
      <c r="L79" s="2">
        <f>DATEDIF(messy_clinic_appointments[[#This Row],[booking_date]],messy_clinic_appointments[[#This Row],[appointment_date]],"d")</f>
        <v>496</v>
      </c>
      <c r="M79" s="14" t="str">
        <f>IF(messy_clinic_appointments[[#This Row],[days_to_appointment]]&gt;365, "Review", "OK")</f>
        <v>Review</v>
      </c>
    </row>
    <row r="80" spans="1:13" x14ac:dyDescent="0.25">
      <c r="A80">
        <v>1014</v>
      </c>
      <c r="B80" s="14" t="s">
        <v>172</v>
      </c>
      <c r="C80">
        <v>26</v>
      </c>
      <c r="D80" s="14" t="s">
        <v>2039</v>
      </c>
      <c r="E80" s="1">
        <v>45928</v>
      </c>
      <c r="F80" s="1">
        <v>45481</v>
      </c>
      <c r="G80" s="14" t="s">
        <v>173</v>
      </c>
      <c r="H80" s="14" t="s">
        <v>12</v>
      </c>
      <c r="I80" s="14" t="s">
        <v>2091</v>
      </c>
      <c r="J80" s="14" t="str">
        <f>IF(messy_clinic_appointments[[#This Row],[billing_amount]] &lt; 200, "Low", IF(messy_clinic_appointments[[#This Row],[billing_amount]]&lt;= 400, "Medium", "High"))</f>
        <v>High</v>
      </c>
      <c r="K80" s="14" t="s">
        <v>2010</v>
      </c>
      <c r="L80" s="2">
        <f>DATEDIF(messy_clinic_appointments[[#This Row],[booking_date]],messy_clinic_appointments[[#This Row],[appointment_date]],"d")</f>
        <v>447</v>
      </c>
      <c r="M80" s="14" t="str">
        <f>IF(messy_clinic_appointments[[#This Row],[days_to_appointment]]&gt;365, "Review", "OK")</f>
        <v>Review</v>
      </c>
    </row>
    <row r="81" spans="1:13" x14ac:dyDescent="0.25">
      <c r="A81">
        <v>1005</v>
      </c>
      <c r="B81" s="14" t="s">
        <v>174</v>
      </c>
      <c r="C81">
        <v>69</v>
      </c>
      <c r="D81" s="14" t="s">
        <v>2014</v>
      </c>
      <c r="E81" s="1">
        <v>46083</v>
      </c>
      <c r="F81" s="1">
        <v>45617</v>
      </c>
      <c r="G81" s="14" t="s">
        <v>175</v>
      </c>
      <c r="H81" s="14" t="s">
        <v>21</v>
      </c>
      <c r="I81" s="14" t="s">
        <v>2092</v>
      </c>
      <c r="J81" s="14" t="str">
        <f>IF(messy_clinic_appointments[[#This Row],[billing_amount]] &lt; 200, "Low", IF(messy_clinic_appointments[[#This Row],[billing_amount]]&lt;= 400, "Medium", "High"))</f>
        <v>High</v>
      </c>
      <c r="K81" s="14" t="s">
        <v>2010</v>
      </c>
      <c r="L81" s="2">
        <f>DATEDIF(messy_clinic_appointments[[#This Row],[booking_date]],messy_clinic_appointments[[#This Row],[appointment_date]],"d")</f>
        <v>466</v>
      </c>
      <c r="M81" s="14" t="str">
        <f>IF(messy_clinic_appointments[[#This Row],[days_to_appointment]]&gt;365, "Review", "OK")</f>
        <v>Review</v>
      </c>
    </row>
    <row r="82" spans="1:13" x14ac:dyDescent="0.25">
      <c r="A82">
        <v>1098</v>
      </c>
      <c r="B82" s="14" t="s">
        <v>176</v>
      </c>
      <c r="C82">
        <v>35</v>
      </c>
      <c r="D82" s="14" t="s">
        <v>2008</v>
      </c>
      <c r="E82" s="1">
        <v>46094</v>
      </c>
      <c r="F82" s="1">
        <v>45865</v>
      </c>
      <c r="G82" s="14" t="s">
        <v>177</v>
      </c>
      <c r="H82" s="14" t="s">
        <v>15</v>
      </c>
      <c r="I82" s="14" t="s">
        <v>2093</v>
      </c>
      <c r="J82" s="14" t="str">
        <f>IF(messy_clinic_appointments[[#This Row],[billing_amount]] &lt; 200, "Low", IF(messy_clinic_appointments[[#This Row],[billing_amount]]&lt;= 400, "Medium", "High"))</f>
        <v>High</v>
      </c>
      <c r="K82" s="14" t="s">
        <v>2010</v>
      </c>
      <c r="L82" s="2">
        <f>DATEDIF(messy_clinic_appointments[[#This Row],[booking_date]],messy_clinic_appointments[[#This Row],[appointment_date]],"d")</f>
        <v>229</v>
      </c>
      <c r="M82" s="14" t="str">
        <f>IF(messy_clinic_appointments[[#This Row],[days_to_appointment]]&gt;365, "Review", "OK")</f>
        <v>OK</v>
      </c>
    </row>
    <row r="83" spans="1:13" x14ac:dyDescent="0.25">
      <c r="A83">
        <v>1074</v>
      </c>
      <c r="B83" s="14" t="s">
        <v>178</v>
      </c>
      <c r="C83">
        <v>23</v>
      </c>
      <c r="D83" s="14" t="s">
        <v>2039</v>
      </c>
      <c r="E83" s="1">
        <v>46004</v>
      </c>
      <c r="F83" s="1">
        <v>45826</v>
      </c>
      <c r="G83" s="14" t="s">
        <v>179</v>
      </c>
      <c r="H83" s="14" t="s">
        <v>15</v>
      </c>
      <c r="I83" s="14" t="s">
        <v>2094</v>
      </c>
      <c r="J83" s="14" t="str">
        <f>IF(messy_clinic_appointments[[#This Row],[billing_amount]] &lt; 200, "Low", IF(messy_clinic_appointments[[#This Row],[billing_amount]]&lt;= 400, "Medium", "High"))</f>
        <v>High</v>
      </c>
      <c r="K83" s="14" t="s">
        <v>2013</v>
      </c>
      <c r="L83" s="2">
        <f>DATEDIF(messy_clinic_appointments[[#This Row],[booking_date]],messy_clinic_appointments[[#This Row],[appointment_date]],"d")</f>
        <v>178</v>
      </c>
      <c r="M83" s="14" t="str">
        <f>IF(messy_clinic_appointments[[#This Row],[days_to_appointment]]&gt;365, "Review", "OK")</f>
        <v>OK</v>
      </c>
    </row>
    <row r="84" spans="1:13" x14ac:dyDescent="0.25">
      <c r="A84">
        <v>1097</v>
      </c>
      <c r="B84" s="14" t="s">
        <v>180</v>
      </c>
      <c r="C84">
        <v>50</v>
      </c>
      <c r="D84" s="14" t="s">
        <v>2014</v>
      </c>
      <c r="E84" s="1">
        <v>45984</v>
      </c>
      <c r="F84" s="1">
        <v>45924</v>
      </c>
      <c r="G84" s="14" t="s">
        <v>1992</v>
      </c>
      <c r="H84" s="14" t="s">
        <v>15</v>
      </c>
      <c r="I84" s="14" t="s">
        <v>2095</v>
      </c>
      <c r="J84" s="14" t="str">
        <f>IF(messy_clinic_appointments[[#This Row],[billing_amount]] &lt; 200, "Low", IF(messy_clinic_appointments[[#This Row],[billing_amount]]&lt;= 400, "Medium", "High"))</f>
        <v>High</v>
      </c>
      <c r="K84" s="14" t="s">
        <v>2010</v>
      </c>
      <c r="L84" s="2">
        <f>DATEDIF(messy_clinic_appointments[[#This Row],[booking_date]],messy_clinic_appointments[[#This Row],[appointment_date]],"d")</f>
        <v>60</v>
      </c>
      <c r="M84" s="14" t="str">
        <f>IF(messy_clinic_appointments[[#This Row],[days_to_appointment]]&gt;365, "Review", "OK")</f>
        <v>OK</v>
      </c>
    </row>
    <row r="85" spans="1:13" x14ac:dyDescent="0.25">
      <c r="A85">
        <v>1047</v>
      </c>
      <c r="B85" s="14" t="s">
        <v>181</v>
      </c>
      <c r="C85">
        <v>40</v>
      </c>
      <c r="D85" s="14" t="s">
        <v>2014</v>
      </c>
      <c r="E85" s="1">
        <v>46078</v>
      </c>
      <c r="F85" s="1">
        <v>45809</v>
      </c>
      <c r="G85" s="14" t="s">
        <v>182</v>
      </c>
      <c r="H85" s="14" t="s">
        <v>15</v>
      </c>
      <c r="I85" s="14" t="s">
        <v>2096</v>
      </c>
      <c r="J85" s="14" t="str">
        <f>IF(messy_clinic_appointments[[#This Row],[billing_amount]] &lt; 200, "Low", IF(messy_clinic_appointments[[#This Row],[billing_amount]]&lt;= 400, "Medium", "High"))</f>
        <v>High</v>
      </c>
      <c r="K85" s="14" t="s">
        <v>28</v>
      </c>
      <c r="L85" s="2">
        <f>DATEDIF(messy_clinic_appointments[[#This Row],[booking_date]],messy_clinic_appointments[[#This Row],[appointment_date]],"d")</f>
        <v>269</v>
      </c>
      <c r="M85" s="14" t="str">
        <f>IF(messy_clinic_appointments[[#This Row],[days_to_appointment]]&gt;365, "Review", "OK")</f>
        <v>OK</v>
      </c>
    </row>
    <row r="86" spans="1:13" x14ac:dyDescent="0.25">
      <c r="A86">
        <v>1093</v>
      </c>
      <c r="B86" s="14" t="s">
        <v>183</v>
      </c>
      <c r="C86">
        <v>55</v>
      </c>
      <c r="D86" s="14" t="s">
        <v>24</v>
      </c>
      <c r="E86" s="1">
        <v>45942</v>
      </c>
      <c r="F86" s="1">
        <v>45889</v>
      </c>
      <c r="G86" s="14" t="s">
        <v>184</v>
      </c>
      <c r="H86" s="14" t="s">
        <v>18</v>
      </c>
      <c r="I86" s="14" t="s">
        <v>2097</v>
      </c>
      <c r="J86" s="14" t="str">
        <f>IF(messy_clinic_appointments[[#This Row],[billing_amount]] &lt; 200, "Low", IF(messy_clinic_appointments[[#This Row],[billing_amount]]&lt;= 400, "Medium", "High"))</f>
        <v>High</v>
      </c>
      <c r="K86" s="14" t="s">
        <v>22</v>
      </c>
      <c r="L86" s="2">
        <f>DATEDIF(messy_clinic_appointments[[#This Row],[booking_date]],messy_clinic_appointments[[#This Row],[appointment_date]],"d")</f>
        <v>53</v>
      </c>
      <c r="M86" s="14" t="str">
        <f>IF(messy_clinic_appointments[[#This Row],[days_to_appointment]]&gt;365, "Review", "OK")</f>
        <v>OK</v>
      </c>
    </row>
    <row r="87" spans="1:13" x14ac:dyDescent="0.25">
      <c r="A87">
        <v>1044</v>
      </c>
      <c r="B87" s="14" t="s">
        <v>185</v>
      </c>
      <c r="C87">
        <v>57</v>
      </c>
      <c r="D87" s="14" t="s">
        <v>2039</v>
      </c>
      <c r="E87" s="1">
        <v>45786</v>
      </c>
      <c r="F87" s="1">
        <v>45644</v>
      </c>
      <c r="G87" s="14" t="s">
        <v>186</v>
      </c>
      <c r="H87" s="14" t="s">
        <v>15</v>
      </c>
      <c r="I87" s="14" t="s">
        <v>2098</v>
      </c>
      <c r="J87" s="14" t="str">
        <f>IF(messy_clinic_appointments[[#This Row],[billing_amount]] &lt; 200, "Low", IF(messy_clinic_appointments[[#This Row],[billing_amount]]&lt;= 400, "Medium", "High"))</f>
        <v>High</v>
      </c>
      <c r="K87" s="14" t="s">
        <v>2026</v>
      </c>
      <c r="L87" s="2">
        <f>DATEDIF(messy_clinic_appointments[[#This Row],[booking_date]],messy_clinic_appointments[[#This Row],[appointment_date]],"d")</f>
        <v>142</v>
      </c>
      <c r="M87" s="14" t="str">
        <f>IF(messy_clinic_appointments[[#This Row],[days_to_appointment]]&gt;365, "Review", "OK")</f>
        <v>OK</v>
      </c>
    </row>
    <row r="88" spans="1:13" x14ac:dyDescent="0.25">
      <c r="A88">
        <v>1050</v>
      </c>
      <c r="B88" s="14" t="s">
        <v>187</v>
      </c>
      <c r="C88">
        <v>60</v>
      </c>
      <c r="D88" s="14" t="s">
        <v>2010</v>
      </c>
      <c r="E88" s="1">
        <v>45933</v>
      </c>
      <c r="F88" s="1">
        <v>45895</v>
      </c>
      <c r="G88" s="14" t="s">
        <v>188</v>
      </c>
      <c r="H88" s="14" t="s">
        <v>21</v>
      </c>
      <c r="I88" s="14" t="s">
        <v>2099</v>
      </c>
      <c r="J88" s="14" t="str">
        <f>IF(messy_clinic_appointments[[#This Row],[billing_amount]] &lt; 200, "Low", IF(messy_clinic_appointments[[#This Row],[billing_amount]]&lt;= 400, "Medium", "High"))</f>
        <v>High</v>
      </c>
      <c r="K88" s="14" t="s">
        <v>2013</v>
      </c>
      <c r="L88" s="2">
        <f>DATEDIF(messy_clinic_appointments[[#This Row],[booking_date]],messy_clinic_appointments[[#This Row],[appointment_date]],"d")</f>
        <v>38</v>
      </c>
      <c r="M88" s="14" t="str">
        <f>IF(messy_clinic_appointments[[#This Row],[days_to_appointment]]&gt;365, "Review", "OK")</f>
        <v>OK</v>
      </c>
    </row>
    <row r="89" spans="1:13" x14ac:dyDescent="0.25">
      <c r="A89">
        <v>1100</v>
      </c>
      <c r="B89" s="14" t="s">
        <v>189</v>
      </c>
      <c r="C89">
        <v>58</v>
      </c>
      <c r="D89" s="14" t="s">
        <v>2014</v>
      </c>
      <c r="E89" s="1">
        <v>45841</v>
      </c>
      <c r="F89" s="1">
        <v>45529</v>
      </c>
      <c r="G89" s="14" t="s">
        <v>190</v>
      </c>
      <c r="H89" s="14" t="s">
        <v>18</v>
      </c>
      <c r="I89" s="14" t="s">
        <v>2100</v>
      </c>
      <c r="J89" s="14" t="str">
        <f>IF(messy_clinic_appointments[[#This Row],[billing_amount]] &lt; 200, "Low", IF(messy_clinic_appointments[[#This Row],[billing_amount]]&lt;= 400, "Medium", "High"))</f>
        <v>High</v>
      </c>
      <c r="K89" s="14" t="s">
        <v>22</v>
      </c>
      <c r="L89" s="2">
        <f>DATEDIF(messy_clinic_appointments[[#This Row],[booking_date]],messy_clinic_appointments[[#This Row],[appointment_date]],"d")</f>
        <v>312</v>
      </c>
      <c r="M89" s="14" t="str">
        <f>IF(messy_clinic_appointments[[#This Row],[days_to_appointment]]&gt;365, "Review", "OK")</f>
        <v>OK</v>
      </c>
    </row>
    <row r="90" spans="1:13" x14ac:dyDescent="0.25">
      <c r="A90">
        <v>1095</v>
      </c>
      <c r="B90" s="14" t="s">
        <v>191</v>
      </c>
      <c r="C90">
        <v>61</v>
      </c>
      <c r="D90" s="14" t="s">
        <v>50</v>
      </c>
      <c r="E90" s="1">
        <v>45949</v>
      </c>
      <c r="F90" s="1">
        <v>45891</v>
      </c>
      <c r="G90" s="14" t="s">
        <v>192</v>
      </c>
      <c r="H90" s="14" t="s">
        <v>18</v>
      </c>
      <c r="I90" s="14" t="s">
        <v>2101</v>
      </c>
      <c r="J90" s="14" t="str">
        <f>IF(messy_clinic_appointments[[#This Row],[billing_amount]] &lt; 200, "Low", IF(messy_clinic_appointments[[#This Row],[billing_amount]]&lt;= 400, "Medium", "High"))</f>
        <v>High</v>
      </c>
      <c r="K90" s="14" t="s">
        <v>2039</v>
      </c>
      <c r="L90" s="2">
        <f>DATEDIF(messy_clinic_appointments[[#This Row],[booking_date]],messy_clinic_appointments[[#This Row],[appointment_date]],"d")</f>
        <v>58</v>
      </c>
      <c r="M90" s="14" t="str">
        <f>IF(messy_clinic_appointments[[#This Row],[days_to_appointment]]&gt;365, "Review", "OK")</f>
        <v>OK</v>
      </c>
    </row>
    <row r="91" spans="1:13" x14ac:dyDescent="0.25">
      <c r="A91">
        <v>1088</v>
      </c>
      <c r="B91" s="14" t="s">
        <v>193</v>
      </c>
      <c r="C91">
        <v>34</v>
      </c>
      <c r="D91" s="14" t="s">
        <v>30</v>
      </c>
      <c r="E91" s="1">
        <v>45942</v>
      </c>
      <c r="F91" s="1">
        <v>45672</v>
      </c>
      <c r="G91" s="14" t="s">
        <v>194</v>
      </c>
      <c r="H91" s="14" t="s">
        <v>12</v>
      </c>
      <c r="I91" s="14" t="s">
        <v>2102</v>
      </c>
      <c r="J91" s="14" t="str">
        <f>IF(messy_clinic_appointments[[#This Row],[billing_amount]] &lt; 200, "Low", IF(messy_clinic_appointments[[#This Row],[billing_amount]]&lt;= 400, "Medium", "High"))</f>
        <v>High</v>
      </c>
      <c r="K91" s="14" t="s">
        <v>28</v>
      </c>
      <c r="L91" s="2">
        <f>DATEDIF(messy_clinic_appointments[[#This Row],[booking_date]],messy_clinic_appointments[[#This Row],[appointment_date]],"d")</f>
        <v>270</v>
      </c>
      <c r="M91" s="14" t="str">
        <f>IF(messy_clinic_appointments[[#This Row],[days_to_appointment]]&gt;365, "Review", "OK")</f>
        <v>OK</v>
      </c>
    </row>
    <row r="92" spans="1:13" x14ac:dyDescent="0.25">
      <c r="A92">
        <v>1027</v>
      </c>
      <c r="B92" s="14" t="s">
        <v>195</v>
      </c>
      <c r="C92">
        <v>35</v>
      </c>
      <c r="D92" s="14" t="s">
        <v>2014</v>
      </c>
      <c r="E92" s="1">
        <v>45923</v>
      </c>
      <c r="F92" s="1">
        <v>45488</v>
      </c>
      <c r="G92" s="14" t="s">
        <v>196</v>
      </c>
      <c r="H92" s="14" t="s">
        <v>15</v>
      </c>
      <c r="I92" s="14" t="s">
        <v>2103</v>
      </c>
      <c r="J92" s="14" t="str">
        <f>IF(messy_clinic_appointments[[#This Row],[billing_amount]] &lt; 200, "Low", IF(messy_clinic_appointments[[#This Row],[billing_amount]]&lt;= 400, "Medium", "High"))</f>
        <v>High</v>
      </c>
      <c r="K92" s="14" t="s">
        <v>2010</v>
      </c>
      <c r="L92" s="2">
        <f>DATEDIF(messy_clinic_appointments[[#This Row],[booking_date]],messy_clinic_appointments[[#This Row],[appointment_date]],"d")</f>
        <v>435</v>
      </c>
      <c r="M92" s="14" t="str">
        <f>IF(messy_clinic_appointments[[#This Row],[days_to_appointment]]&gt;365, "Review", "OK")</f>
        <v>Review</v>
      </c>
    </row>
    <row r="93" spans="1:13" x14ac:dyDescent="0.25">
      <c r="A93">
        <v>1040</v>
      </c>
      <c r="B93" s="14" t="s">
        <v>197</v>
      </c>
      <c r="C93">
        <v>62</v>
      </c>
      <c r="D93" s="14" t="s">
        <v>24</v>
      </c>
      <c r="E93" s="1">
        <v>46020</v>
      </c>
      <c r="F93" s="1">
        <v>45425</v>
      </c>
      <c r="G93" s="14" t="s">
        <v>198</v>
      </c>
      <c r="H93" s="14" t="s">
        <v>12</v>
      </c>
      <c r="I93" s="14" t="s">
        <v>2104</v>
      </c>
      <c r="J93" s="14" t="str">
        <f>IF(messy_clinic_appointments[[#This Row],[billing_amount]] &lt; 200, "Low", IF(messy_clinic_appointments[[#This Row],[billing_amount]]&lt;= 400, "Medium", "High"))</f>
        <v>High</v>
      </c>
      <c r="K93" s="14" t="s">
        <v>28</v>
      </c>
      <c r="L93" s="2">
        <f>DATEDIF(messy_clinic_appointments[[#This Row],[booking_date]],messy_clinic_appointments[[#This Row],[appointment_date]],"d")</f>
        <v>595</v>
      </c>
      <c r="M93" s="14" t="str">
        <f>IF(messy_clinic_appointments[[#This Row],[days_to_appointment]]&gt;365, "Review", "OK")</f>
        <v>Review</v>
      </c>
    </row>
    <row r="94" spans="1:13" x14ac:dyDescent="0.25">
      <c r="A94">
        <v>1099</v>
      </c>
      <c r="B94" s="14" t="s">
        <v>199</v>
      </c>
      <c r="C94">
        <v>31</v>
      </c>
      <c r="D94" s="14" t="s">
        <v>2022</v>
      </c>
      <c r="E94" s="1">
        <v>45849</v>
      </c>
      <c r="F94" s="1">
        <v>45735</v>
      </c>
      <c r="G94" s="14" t="s">
        <v>200</v>
      </c>
      <c r="H94" s="14" t="s">
        <v>15</v>
      </c>
      <c r="I94" s="14" t="s">
        <v>2105</v>
      </c>
      <c r="J94" s="14" t="str">
        <f>IF(messy_clinic_appointments[[#This Row],[billing_amount]] &lt; 200, "Low", IF(messy_clinic_appointments[[#This Row],[billing_amount]]&lt;= 400, "Medium", "High"))</f>
        <v>High</v>
      </c>
      <c r="K94" s="14" t="s">
        <v>28</v>
      </c>
      <c r="L94" s="2">
        <f>DATEDIF(messy_clinic_appointments[[#This Row],[booking_date]],messy_clinic_appointments[[#This Row],[appointment_date]],"d")</f>
        <v>114</v>
      </c>
      <c r="M94" s="14" t="str">
        <f>IF(messy_clinic_appointments[[#This Row],[days_to_appointment]]&gt;365, "Review", "OK")</f>
        <v>OK</v>
      </c>
    </row>
    <row r="95" spans="1:13" x14ac:dyDescent="0.25">
      <c r="A95">
        <v>1070</v>
      </c>
      <c r="B95" s="14" t="s">
        <v>201</v>
      </c>
      <c r="C95">
        <v>28</v>
      </c>
      <c r="D95" s="14" t="s">
        <v>30</v>
      </c>
      <c r="E95" s="1">
        <v>45938</v>
      </c>
      <c r="F95" s="1">
        <v>45787</v>
      </c>
      <c r="G95" s="14" t="s">
        <v>202</v>
      </c>
      <c r="H95" s="14" t="s">
        <v>18</v>
      </c>
      <c r="I95" s="14" t="s">
        <v>2106</v>
      </c>
      <c r="J95" s="14" t="str">
        <f>IF(messy_clinic_appointments[[#This Row],[billing_amount]] &lt; 200, "Low", IF(messy_clinic_appointments[[#This Row],[billing_amount]]&lt;= 400, "Medium", "High"))</f>
        <v>High</v>
      </c>
      <c r="K95" s="14" t="s">
        <v>22</v>
      </c>
      <c r="L95" s="2">
        <f>DATEDIF(messy_clinic_appointments[[#This Row],[booking_date]],messy_clinic_appointments[[#This Row],[appointment_date]],"d")</f>
        <v>151</v>
      </c>
      <c r="M95" s="14" t="str">
        <f>IF(messy_clinic_appointments[[#This Row],[days_to_appointment]]&gt;365, "Review", "OK")</f>
        <v>OK</v>
      </c>
    </row>
    <row r="96" spans="1:13" x14ac:dyDescent="0.25">
      <c r="A96">
        <v>1058</v>
      </c>
      <c r="B96" s="14" t="s">
        <v>203</v>
      </c>
      <c r="C96">
        <v>18</v>
      </c>
      <c r="D96" s="14" t="s">
        <v>30</v>
      </c>
      <c r="E96" s="1">
        <v>46057</v>
      </c>
      <c r="F96" s="1">
        <v>45636</v>
      </c>
      <c r="G96" s="14" t="s">
        <v>204</v>
      </c>
      <c r="H96" s="14" t="s">
        <v>21</v>
      </c>
      <c r="I96" s="14" t="s">
        <v>2107</v>
      </c>
      <c r="J96" s="14" t="str">
        <f>IF(messy_clinic_appointments[[#This Row],[billing_amount]] &lt; 200, "Low", IF(messy_clinic_appointments[[#This Row],[billing_amount]]&lt;= 400, "Medium", "High"))</f>
        <v>High</v>
      </c>
      <c r="K96" s="14" t="s">
        <v>22</v>
      </c>
      <c r="L96" s="2">
        <f>DATEDIF(messy_clinic_appointments[[#This Row],[booking_date]],messy_clinic_appointments[[#This Row],[appointment_date]],"d")</f>
        <v>421</v>
      </c>
      <c r="M96" s="14" t="str">
        <f>IF(messy_clinic_appointments[[#This Row],[days_to_appointment]]&gt;365, "Review", "OK")</f>
        <v>Review</v>
      </c>
    </row>
    <row r="97" spans="1:13" x14ac:dyDescent="0.25">
      <c r="A97">
        <v>1040</v>
      </c>
      <c r="B97" s="14" t="s">
        <v>205</v>
      </c>
      <c r="C97">
        <v>34</v>
      </c>
      <c r="D97" s="14" t="s">
        <v>2039</v>
      </c>
      <c r="E97" s="1">
        <v>45961</v>
      </c>
      <c r="F97" s="1">
        <v>45735</v>
      </c>
      <c r="G97" s="14" t="s">
        <v>206</v>
      </c>
      <c r="H97" s="14" t="s">
        <v>18</v>
      </c>
      <c r="I97" s="14" t="s">
        <v>2108</v>
      </c>
      <c r="J97" s="14" t="str">
        <f>IF(messy_clinic_appointments[[#This Row],[billing_amount]] &lt; 200, "Low", IF(messy_clinic_appointments[[#This Row],[billing_amount]]&lt;= 400, "Medium", "High"))</f>
        <v>High</v>
      </c>
      <c r="K97" s="14" t="s">
        <v>2039</v>
      </c>
      <c r="L97" s="2">
        <f>DATEDIF(messy_clinic_appointments[[#This Row],[booking_date]],messy_clinic_appointments[[#This Row],[appointment_date]],"d")</f>
        <v>226</v>
      </c>
      <c r="M97" s="14" t="str">
        <f>IF(messy_clinic_appointments[[#This Row],[days_to_appointment]]&gt;365, "Review", "OK")</f>
        <v>OK</v>
      </c>
    </row>
    <row r="98" spans="1:13" x14ac:dyDescent="0.25">
      <c r="A98">
        <v>1018</v>
      </c>
      <c r="B98" s="14" t="s">
        <v>207</v>
      </c>
      <c r="C98">
        <v>34</v>
      </c>
      <c r="D98" s="14" t="s">
        <v>30</v>
      </c>
      <c r="E98" s="1">
        <v>46016</v>
      </c>
      <c r="F98" s="1">
        <v>45547</v>
      </c>
      <c r="G98" s="14" t="s">
        <v>208</v>
      </c>
      <c r="H98" s="14" t="s">
        <v>12</v>
      </c>
      <c r="I98" s="14" t="s">
        <v>2109</v>
      </c>
      <c r="J98" s="14" t="str">
        <f>IF(messy_clinic_appointments[[#This Row],[billing_amount]] &lt; 200, "Low", IF(messy_clinic_appointments[[#This Row],[billing_amount]]&lt;= 400, "Medium", "High"))</f>
        <v>High</v>
      </c>
      <c r="K98" s="14" t="s">
        <v>22</v>
      </c>
      <c r="L98" s="2">
        <f>DATEDIF(messy_clinic_appointments[[#This Row],[booking_date]],messy_clinic_appointments[[#This Row],[appointment_date]],"d")</f>
        <v>469</v>
      </c>
      <c r="M98" s="14" t="str">
        <f>IF(messy_clinic_appointments[[#This Row],[days_to_appointment]]&gt;365, "Review", "OK")</f>
        <v>Review</v>
      </c>
    </row>
    <row r="99" spans="1:13" x14ac:dyDescent="0.25">
      <c r="A99">
        <v>1052</v>
      </c>
      <c r="B99" s="14" t="s">
        <v>209</v>
      </c>
      <c r="C99">
        <v>60</v>
      </c>
      <c r="D99" s="14" t="s">
        <v>2008</v>
      </c>
      <c r="E99" s="1">
        <v>45968</v>
      </c>
      <c r="F99" s="1">
        <v>45532</v>
      </c>
      <c r="G99" s="14" t="s">
        <v>210</v>
      </c>
      <c r="H99" s="14" t="s">
        <v>21</v>
      </c>
      <c r="I99" s="14" t="s">
        <v>24</v>
      </c>
      <c r="J99" s="14" t="str">
        <f>IF(messy_clinic_appointments[[#This Row],[billing_amount]] &lt; 200, "Low", IF(messy_clinic_appointments[[#This Row],[billing_amount]]&lt;= 400, "Medium", "High"))</f>
        <v>High</v>
      </c>
      <c r="K99" s="14" t="s">
        <v>2013</v>
      </c>
      <c r="L99" s="2">
        <f>DATEDIF(messy_clinic_appointments[[#This Row],[booking_date]],messy_clinic_appointments[[#This Row],[appointment_date]],"d")</f>
        <v>436</v>
      </c>
      <c r="M99" s="14" t="str">
        <f>IF(messy_clinic_appointments[[#This Row],[days_to_appointment]]&gt;365, "Review", "OK")</f>
        <v>Review</v>
      </c>
    </row>
    <row r="100" spans="1:13" x14ac:dyDescent="0.25">
      <c r="A100">
        <v>1031</v>
      </c>
      <c r="B100" s="14" t="s">
        <v>211</v>
      </c>
      <c r="C100">
        <v>65</v>
      </c>
      <c r="D100" s="14" t="s">
        <v>30</v>
      </c>
      <c r="E100" s="1">
        <v>45816</v>
      </c>
      <c r="F100" s="1">
        <v>45671</v>
      </c>
      <c r="G100" s="14" t="s">
        <v>212</v>
      </c>
      <c r="H100" s="14" t="s">
        <v>21</v>
      </c>
      <c r="I100" s="14" t="s">
        <v>2110</v>
      </c>
      <c r="J100" s="14" t="str">
        <f>IF(messy_clinic_appointments[[#This Row],[billing_amount]] &lt; 200, "Low", IF(messy_clinic_appointments[[#This Row],[billing_amount]]&lt;= 400, "Medium", "High"))</f>
        <v>High</v>
      </c>
      <c r="K100" s="14" t="s">
        <v>2039</v>
      </c>
      <c r="L100" s="2">
        <f>DATEDIF(messy_clinic_appointments[[#This Row],[booking_date]],messy_clinic_appointments[[#This Row],[appointment_date]],"d")</f>
        <v>145</v>
      </c>
      <c r="M100" s="14" t="str">
        <f>IF(messy_clinic_appointments[[#This Row],[days_to_appointment]]&gt;365, "Review", "OK")</f>
        <v>OK</v>
      </c>
    </row>
    <row r="101" spans="1:13" x14ac:dyDescent="0.25">
      <c r="A101">
        <v>1028</v>
      </c>
      <c r="B101" s="14" t="s">
        <v>213</v>
      </c>
      <c r="C101">
        <v>21</v>
      </c>
      <c r="D101" s="14" t="s">
        <v>2008</v>
      </c>
      <c r="E101" s="1">
        <v>45968</v>
      </c>
      <c r="F101" s="1">
        <v>45865</v>
      </c>
      <c r="G101" s="14" t="s">
        <v>214</v>
      </c>
      <c r="H101" s="14" t="s">
        <v>18</v>
      </c>
      <c r="I101" s="14" t="s">
        <v>2111</v>
      </c>
      <c r="J101" s="14" t="str">
        <f>IF(messy_clinic_appointments[[#This Row],[billing_amount]] &lt; 200, "Low", IF(messy_clinic_appointments[[#This Row],[billing_amount]]&lt;= 400, "Medium", "High"))</f>
        <v>High</v>
      </c>
      <c r="K101" s="14" t="s">
        <v>2026</v>
      </c>
      <c r="L101" s="2">
        <f>DATEDIF(messy_clinic_appointments[[#This Row],[booking_date]],messy_clinic_appointments[[#This Row],[appointment_date]],"d")</f>
        <v>103</v>
      </c>
      <c r="M101" s="14" t="str">
        <f>IF(messy_clinic_appointments[[#This Row],[days_to_appointment]]&gt;365, "Review", "OK")</f>
        <v>OK</v>
      </c>
    </row>
    <row r="102" spans="1:13" x14ac:dyDescent="0.25">
      <c r="A102">
        <v>1089</v>
      </c>
      <c r="B102" s="14" t="s">
        <v>215</v>
      </c>
      <c r="C102">
        <v>56</v>
      </c>
      <c r="D102" s="14" t="s">
        <v>50</v>
      </c>
      <c r="E102" s="1">
        <v>46071</v>
      </c>
      <c r="F102" s="1">
        <v>45634</v>
      </c>
      <c r="G102" s="14" t="s">
        <v>216</v>
      </c>
      <c r="H102" s="14" t="s">
        <v>15</v>
      </c>
      <c r="I102" s="14" t="s">
        <v>2112</v>
      </c>
      <c r="J102" s="14" t="str">
        <f>IF(messy_clinic_appointments[[#This Row],[billing_amount]] &lt; 200, "Low", IF(messy_clinic_appointments[[#This Row],[billing_amount]]&lt;= 400, "Medium", "High"))</f>
        <v>High</v>
      </c>
      <c r="K102" s="14" t="s">
        <v>2010</v>
      </c>
      <c r="L102" s="2">
        <f>DATEDIF(messy_clinic_appointments[[#This Row],[booking_date]],messy_clinic_appointments[[#This Row],[appointment_date]],"d")</f>
        <v>437</v>
      </c>
      <c r="M102" s="14" t="str">
        <f>IF(messy_clinic_appointments[[#This Row],[days_to_appointment]]&gt;365, "Review", "OK")</f>
        <v>Review</v>
      </c>
    </row>
    <row r="103" spans="1:13" x14ac:dyDescent="0.25">
      <c r="A103">
        <v>1092</v>
      </c>
      <c r="B103" s="14" t="s">
        <v>217</v>
      </c>
      <c r="C103">
        <v>40</v>
      </c>
      <c r="D103" s="14" t="s">
        <v>2008</v>
      </c>
      <c r="E103" s="1">
        <v>46063</v>
      </c>
      <c r="F103" s="1">
        <v>46009</v>
      </c>
      <c r="G103" s="14" t="s">
        <v>218</v>
      </c>
      <c r="H103" s="14" t="s">
        <v>18</v>
      </c>
      <c r="I103" s="14" t="s">
        <v>2113</v>
      </c>
      <c r="J103" s="14" t="str">
        <f>IF(messy_clinic_appointments[[#This Row],[billing_amount]] &lt; 200, "Low", IF(messy_clinic_appointments[[#This Row],[billing_amount]]&lt;= 400, "Medium", "High"))</f>
        <v>High</v>
      </c>
      <c r="K103" s="14" t="s">
        <v>28</v>
      </c>
      <c r="L103" s="2">
        <f>DATEDIF(messy_clinic_appointments[[#This Row],[booking_date]],messy_clinic_appointments[[#This Row],[appointment_date]],"d")</f>
        <v>54</v>
      </c>
      <c r="M103" s="14" t="str">
        <f>IF(messy_clinic_appointments[[#This Row],[days_to_appointment]]&gt;365, "Review", "OK")</f>
        <v>OK</v>
      </c>
    </row>
    <row r="104" spans="1:13" x14ac:dyDescent="0.25">
      <c r="A104">
        <v>1088</v>
      </c>
      <c r="B104" s="14" t="s">
        <v>219</v>
      </c>
      <c r="C104">
        <v>60</v>
      </c>
      <c r="D104" s="14" t="s">
        <v>24</v>
      </c>
      <c r="E104" s="1">
        <v>46100</v>
      </c>
      <c r="F104" s="1">
        <v>45583</v>
      </c>
      <c r="G104" s="14" t="s">
        <v>220</v>
      </c>
      <c r="H104" s="14" t="s">
        <v>21</v>
      </c>
      <c r="I104" s="14" t="s">
        <v>2114</v>
      </c>
      <c r="J104" s="14" t="str">
        <f>IF(messy_clinic_appointments[[#This Row],[billing_amount]] &lt; 200, "Low", IF(messy_clinic_appointments[[#This Row],[billing_amount]]&lt;= 400, "Medium", "High"))</f>
        <v>High</v>
      </c>
      <c r="K104" s="14" t="s">
        <v>28</v>
      </c>
      <c r="L104" s="2">
        <f>DATEDIF(messy_clinic_appointments[[#This Row],[booking_date]],messy_clinic_appointments[[#This Row],[appointment_date]],"d")</f>
        <v>517</v>
      </c>
      <c r="M104" s="14" t="str">
        <f>IF(messy_clinic_appointments[[#This Row],[days_to_appointment]]&gt;365, "Review", "OK")</f>
        <v>Review</v>
      </c>
    </row>
    <row r="105" spans="1:13" x14ac:dyDescent="0.25">
      <c r="A105">
        <v>1058</v>
      </c>
      <c r="B105" s="14" t="s">
        <v>221</v>
      </c>
      <c r="C105">
        <v>24</v>
      </c>
      <c r="D105" s="14" t="s">
        <v>2008</v>
      </c>
      <c r="E105" s="1">
        <v>46069</v>
      </c>
      <c r="F105" s="1">
        <v>45895</v>
      </c>
      <c r="G105" s="14" t="s">
        <v>222</v>
      </c>
      <c r="H105" s="14" t="s">
        <v>21</v>
      </c>
      <c r="I105" s="14" t="s">
        <v>2115</v>
      </c>
      <c r="J105" s="14" t="str">
        <f>IF(messy_clinic_appointments[[#This Row],[billing_amount]] &lt; 200, "Low", IF(messy_clinic_appointments[[#This Row],[billing_amount]]&lt;= 400, "Medium", "High"))</f>
        <v>High</v>
      </c>
      <c r="K105" s="14" t="s">
        <v>2039</v>
      </c>
      <c r="L105" s="2">
        <f>DATEDIF(messy_clinic_appointments[[#This Row],[booking_date]],messy_clinic_appointments[[#This Row],[appointment_date]],"d")</f>
        <v>174</v>
      </c>
      <c r="M105" s="14" t="str">
        <f>IF(messy_clinic_appointments[[#This Row],[days_to_appointment]]&gt;365, "Review", "OK")</f>
        <v>OK</v>
      </c>
    </row>
    <row r="106" spans="1:13" x14ac:dyDescent="0.25">
      <c r="A106">
        <v>1078</v>
      </c>
      <c r="B106" s="14" t="s">
        <v>223</v>
      </c>
      <c r="C106">
        <v>69</v>
      </c>
      <c r="D106" s="14" t="s">
        <v>2010</v>
      </c>
      <c r="E106" s="1">
        <v>45988</v>
      </c>
      <c r="F106" s="1">
        <v>45430</v>
      </c>
      <c r="G106" s="14" t="s">
        <v>224</v>
      </c>
      <c r="H106" s="14" t="s">
        <v>15</v>
      </c>
      <c r="I106" s="14" t="s">
        <v>2116</v>
      </c>
      <c r="J106" s="14" t="str">
        <f>IF(messy_clinic_appointments[[#This Row],[billing_amount]] &lt; 200, "Low", IF(messy_clinic_appointments[[#This Row],[billing_amount]]&lt;= 400, "Medium", "High"))</f>
        <v>High</v>
      </c>
      <c r="K106" s="14" t="s">
        <v>22</v>
      </c>
      <c r="L106" s="2">
        <f>DATEDIF(messy_clinic_appointments[[#This Row],[booking_date]],messy_clinic_appointments[[#This Row],[appointment_date]],"d")</f>
        <v>558</v>
      </c>
      <c r="M106" s="14" t="str">
        <f>IF(messy_clinic_appointments[[#This Row],[days_to_appointment]]&gt;365, "Review", "OK")</f>
        <v>Review</v>
      </c>
    </row>
    <row r="107" spans="1:13" x14ac:dyDescent="0.25">
      <c r="A107">
        <v>1027</v>
      </c>
      <c r="B107" s="14" t="s">
        <v>225</v>
      </c>
      <c r="C107">
        <v>32</v>
      </c>
      <c r="D107" s="14" t="s">
        <v>2011</v>
      </c>
      <c r="E107" s="1">
        <v>46083</v>
      </c>
      <c r="F107" s="1">
        <v>46008</v>
      </c>
      <c r="G107" s="14" t="s">
        <v>226</v>
      </c>
      <c r="H107" s="14" t="s">
        <v>12</v>
      </c>
      <c r="I107" s="14" t="s">
        <v>2117</v>
      </c>
      <c r="J107" s="14" t="str">
        <f>IF(messy_clinic_appointments[[#This Row],[billing_amount]] &lt; 200, "Low", IF(messy_clinic_appointments[[#This Row],[billing_amount]]&lt;= 400, "Medium", "High"))</f>
        <v>High</v>
      </c>
      <c r="K107" s="14" t="s">
        <v>2010</v>
      </c>
      <c r="L107" s="2">
        <f>DATEDIF(messy_clinic_appointments[[#This Row],[booking_date]],messy_clinic_appointments[[#This Row],[appointment_date]],"d")</f>
        <v>75</v>
      </c>
      <c r="M107" s="14" t="str">
        <f>IF(messy_clinic_appointments[[#This Row],[days_to_appointment]]&gt;365, "Review", "OK")</f>
        <v>OK</v>
      </c>
    </row>
    <row r="108" spans="1:13" x14ac:dyDescent="0.25">
      <c r="A108">
        <v>1062</v>
      </c>
      <c r="B108" s="14" t="s">
        <v>227</v>
      </c>
      <c r="C108">
        <v>60</v>
      </c>
      <c r="D108" s="14" t="s">
        <v>2022</v>
      </c>
      <c r="E108" s="1">
        <v>46049</v>
      </c>
      <c r="F108" s="1">
        <v>46040</v>
      </c>
      <c r="G108" s="14" t="s">
        <v>228</v>
      </c>
      <c r="H108" s="14" t="s">
        <v>12</v>
      </c>
      <c r="I108" s="14" t="s">
        <v>2118</v>
      </c>
      <c r="J108" s="14" t="str">
        <f>IF(messy_clinic_appointments[[#This Row],[billing_amount]] &lt; 200, "Low", IF(messy_clinic_appointments[[#This Row],[billing_amount]]&lt;= 400, "Medium", "High"))</f>
        <v>High</v>
      </c>
      <c r="K108" s="14" t="s">
        <v>22</v>
      </c>
      <c r="L108" s="2">
        <f>DATEDIF(messy_clinic_appointments[[#This Row],[booking_date]],messy_clinic_appointments[[#This Row],[appointment_date]],"d")</f>
        <v>9</v>
      </c>
      <c r="M108" s="14" t="str">
        <f>IF(messy_clinic_appointments[[#This Row],[days_to_appointment]]&gt;365, "Review", "OK")</f>
        <v>OK</v>
      </c>
    </row>
    <row r="109" spans="1:13" x14ac:dyDescent="0.25">
      <c r="A109">
        <v>1015</v>
      </c>
      <c r="B109" s="14" t="s">
        <v>229</v>
      </c>
      <c r="C109">
        <v>68</v>
      </c>
      <c r="D109" s="14" t="s">
        <v>2011</v>
      </c>
      <c r="E109" s="1">
        <v>45998</v>
      </c>
      <c r="F109" s="1">
        <v>45740</v>
      </c>
      <c r="G109" s="14" t="s">
        <v>230</v>
      </c>
      <c r="H109" s="14" t="s">
        <v>15</v>
      </c>
      <c r="I109" s="14" t="s">
        <v>2119</v>
      </c>
      <c r="J109" s="14" t="str">
        <f>IF(messy_clinic_appointments[[#This Row],[billing_amount]] &lt; 200, "Low", IF(messy_clinic_appointments[[#This Row],[billing_amount]]&lt;= 400, "Medium", "High"))</f>
        <v>High</v>
      </c>
      <c r="K109" s="14" t="s">
        <v>2013</v>
      </c>
      <c r="L109" s="2">
        <f>DATEDIF(messy_clinic_appointments[[#This Row],[booking_date]],messy_clinic_appointments[[#This Row],[appointment_date]],"d")</f>
        <v>258</v>
      </c>
      <c r="M109" s="14" t="str">
        <f>IF(messy_clinic_appointments[[#This Row],[days_to_appointment]]&gt;365, "Review", "OK")</f>
        <v>OK</v>
      </c>
    </row>
    <row r="110" spans="1:13" x14ac:dyDescent="0.25">
      <c r="A110">
        <v>1018</v>
      </c>
      <c r="B110" s="14" t="s">
        <v>231</v>
      </c>
      <c r="C110">
        <v>53</v>
      </c>
      <c r="D110" s="14" t="s">
        <v>24</v>
      </c>
      <c r="E110" s="1">
        <v>45941</v>
      </c>
      <c r="F110" s="1">
        <v>45381</v>
      </c>
      <c r="G110" s="14" t="s">
        <v>232</v>
      </c>
      <c r="H110" s="14" t="s">
        <v>18</v>
      </c>
      <c r="I110" s="14" t="s">
        <v>2120</v>
      </c>
      <c r="J110" s="14" t="str">
        <f>IF(messy_clinic_appointments[[#This Row],[billing_amount]] &lt; 200, "Low", IF(messy_clinic_appointments[[#This Row],[billing_amount]]&lt;= 400, "Medium", "High"))</f>
        <v>High</v>
      </c>
      <c r="K110" s="14" t="s">
        <v>28</v>
      </c>
      <c r="L110" s="2">
        <f>DATEDIF(messy_clinic_appointments[[#This Row],[booking_date]],messy_clinic_appointments[[#This Row],[appointment_date]],"d")</f>
        <v>560</v>
      </c>
      <c r="M110" s="14" t="str">
        <f>IF(messy_clinic_appointments[[#This Row],[days_to_appointment]]&gt;365, "Review", "OK")</f>
        <v>Review</v>
      </c>
    </row>
    <row r="111" spans="1:13" x14ac:dyDescent="0.25">
      <c r="A111">
        <v>1061</v>
      </c>
      <c r="B111" s="14" t="s">
        <v>233</v>
      </c>
      <c r="C111">
        <v>18</v>
      </c>
      <c r="D111" s="14" t="s">
        <v>2022</v>
      </c>
      <c r="E111" s="1">
        <v>46103</v>
      </c>
      <c r="F111" s="1">
        <v>45570</v>
      </c>
      <c r="G111" s="14" t="s">
        <v>234</v>
      </c>
      <c r="H111" s="14" t="s">
        <v>18</v>
      </c>
      <c r="I111" s="14" t="s">
        <v>2121</v>
      </c>
      <c r="J111" s="14" t="str">
        <f>IF(messy_clinic_appointments[[#This Row],[billing_amount]] &lt; 200, "Low", IF(messy_clinic_appointments[[#This Row],[billing_amount]]&lt;= 400, "Medium", "High"))</f>
        <v>High</v>
      </c>
      <c r="K111" s="14" t="s">
        <v>22</v>
      </c>
      <c r="L111" s="2">
        <f>DATEDIF(messy_clinic_appointments[[#This Row],[booking_date]],messy_clinic_appointments[[#This Row],[appointment_date]],"d")</f>
        <v>533</v>
      </c>
      <c r="M111" s="14" t="str">
        <f>IF(messy_clinic_appointments[[#This Row],[days_to_appointment]]&gt;365, "Review", "OK")</f>
        <v>Review</v>
      </c>
    </row>
    <row r="112" spans="1:13" x14ac:dyDescent="0.25">
      <c r="A112">
        <v>1013</v>
      </c>
      <c r="B112" s="14" t="s">
        <v>235</v>
      </c>
      <c r="C112">
        <v>60</v>
      </c>
      <c r="D112" s="14" t="s">
        <v>2039</v>
      </c>
      <c r="E112" s="1">
        <v>45759</v>
      </c>
      <c r="F112" s="1">
        <v>45680</v>
      </c>
      <c r="G112" s="14" t="s">
        <v>236</v>
      </c>
      <c r="H112" s="14" t="s">
        <v>18</v>
      </c>
      <c r="I112" s="14" t="s">
        <v>2122</v>
      </c>
      <c r="J112" s="14" t="str">
        <f>IF(messy_clinic_appointments[[#This Row],[billing_amount]] &lt; 200, "Low", IF(messy_clinic_appointments[[#This Row],[billing_amount]]&lt;= 400, "Medium", "High"))</f>
        <v>High</v>
      </c>
      <c r="K112" s="14" t="s">
        <v>28</v>
      </c>
      <c r="L112" s="2">
        <f>DATEDIF(messy_clinic_appointments[[#This Row],[booking_date]],messy_clinic_appointments[[#This Row],[appointment_date]],"d")</f>
        <v>79</v>
      </c>
      <c r="M112" s="14" t="str">
        <f>IF(messy_clinic_appointments[[#This Row],[days_to_appointment]]&gt;365, "Review", "OK")</f>
        <v>OK</v>
      </c>
    </row>
    <row r="113" spans="1:13" x14ac:dyDescent="0.25">
      <c r="A113">
        <v>1087</v>
      </c>
      <c r="B113" s="14" t="s">
        <v>237</v>
      </c>
      <c r="C113">
        <v>72</v>
      </c>
      <c r="D113" s="14" t="s">
        <v>30</v>
      </c>
      <c r="E113" s="1">
        <v>45834</v>
      </c>
      <c r="F113" s="1">
        <v>45796</v>
      </c>
      <c r="G113" s="14" t="s">
        <v>238</v>
      </c>
      <c r="H113" s="14" t="s">
        <v>21</v>
      </c>
      <c r="I113" s="14" t="s">
        <v>2123</v>
      </c>
      <c r="J113" s="14" t="str">
        <f>IF(messy_clinic_appointments[[#This Row],[billing_amount]] &lt; 200, "Low", IF(messy_clinic_appointments[[#This Row],[billing_amount]]&lt;= 400, "Medium", "High"))</f>
        <v>High</v>
      </c>
      <c r="K113" s="14" t="s">
        <v>2010</v>
      </c>
      <c r="L113" s="2">
        <f>DATEDIF(messy_clinic_appointments[[#This Row],[booking_date]],messy_clinic_appointments[[#This Row],[appointment_date]],"d")</f>
        <v>38</v>
      </c>
      <c r="M113" s="14" t="str">
        <f>IF(messy_clinic_appointments[[#This Row],[days_to_appointment]]&gt;365, "Review", "OK")</f>
        <v>OK</v>
      </c>
    </row>
    <row r="114" spans="1:13" x14ac:dyDescent="0.25">
      <c r="A114">
        <v>1090</v>
      </c>
      <c r="B114" s="14" t="s">
        <v>239</v>
      </c>
      <c r="C114">
        <v>63</v>
      </c>
      <c r="D114" s="14" t="s">
        <v>2011</v>
      </c>
      <c r="E114" s="1">
        <v>46019</v>
      </c>
      <c r="F114" s="1">
        <v>46013</v>
      </c>
      <c r="G114" s="14" t="s">
        <v>240</v>
      </c>
      <c r="H114" s="14" t="s">
        <v>18</v>
      </c>
      <c r="I114" s="14" t="s">
        <v>2124</v>
      </c>
      <c r="J114" s="14" t="str">
        <f>IF(messy_clinic_appointments[[#This Row],[billing_amount]] &lt; 200, "Low", IF(messy_clinic_appointments[[#This Row],[billing_amount]]&lt;= 400, "Medium", "High"))</f>
        <v>High</v>
      </c>
      <c r="K114" s="14" t="s">
        <v>2013</v>
      </c>
      <c r="L114" s="2">
        <f>DATEDIF(messy_clinic_appointments[[#This Row],[booking_date]],messy_clinic_appointments[[#This Row],[appointment_date]],"d")</f>
        <v>6</v>
      </c>
      <c r="M114" s="14" t="str">
        <f>IF(messy_clinic_appointments[[#This Row],[days_to_appointment]]&gt;365, "Review", "OK")</f>
        <v>OK</v>
      </c>
    </row>
    <row r="115" spans="1:13" x14ac:dyDescent="0.25">
      <c r="A115">
        <v>1086</v>
      </c>
      <c r="B115" s="14" t="s">
        <v>241</v>
      </c>
      <c r="C115">
        <v>80</v>
      </c>
      <c r="D115" s="14" t="s">
        <v>30</v>
      </c>
      <c r="E115" s="1">
        <v>45992</v>
      </c>
      <c r="F115" s="1">
        <v>45593</v>
      </c>
      <c r="G115" s="14" t="s">
        <v>242</v>
      </c>
      <c r="H115" s="14" t="s">
        <v>15</v>
      </c>
      <c r="I115" s="14" t="s">
        <v>2125</v>
      </c>
      <c r="J115" s="14" t="str">
        <f>IF(messy_clinic_appointments[[#This Row],[billing_amount]] &lt; 200, "Low", IF(messy_clinic_appointments[[#This Row],[billing_amount]]&lt;= 400, "Medium", "High"))</f>
        <v>High</v>
      </c>
      <c r="K115" s="14" t="s">
        <v>28</v>
      </c>
      <c r="L115" s="2">
        <f>DATEDIF(messy_clinic_appointments[[#This Row],[booking_date]],messy_clinic_appointments[[#This Row],[appointment_date]],"d")</f>
        <v>399</v>
      </c>
      <c r="M115" s="14" t="str">
        <f>IF(messy_clinic_appointments[[#This Row],[days_to_appointment]]&gt;365, "Review", "OK")</f>
        <v>Review</v>
      </c>
    </row>
    <row r="116" spans="1:13" x14ac:dyDescent="0.25">
      <c r="A116">
        <v>1047</v>
      </c>
      <c r="B116" s="14" t="s">
        <v>243</v>
      </c>
      <c r="C116">
        <v>39</v>
      </c>
      <c r="D116" s="14" t="s">
        <v>2014</v>
      </c>
      <c r="E116" s="1">
        <v>45983</v>
      </c>
      <c r="F116" s="1">
        <v>45610</v>
      </c>
      <c r="G116" s="14" t="s">
        <v>244</v>
      </c>
      <c r="H116" s="14" t="s">
        <v>18</v>
      </c>
      <c r="I116" s="14" t="s">
        <v>2126</v>
      </c>
      <c r="J116" s="14" t="str">
        <f>IF(messy_clinic_appointments[[#This Row],[billing_amount]] &lt; 200, "Low", IF(messy_clinic_appointments[[#This Row],[billing_amount]]&lt;= 400, "Medium", "High"))</f>
        <v>High</v>
      </c>
      <c r="K116" s="14" t="s">
        <v>2039</v>
      </c>
      <c r="L116" s="2">
        <f>DATEDIF(messy_clinic_appointments[[#This Row],[booking_date]],messy_clinic_appointments[[#This Row],[appointment_date]],"d")</f>
        <v>373</v>
      </c>
      <c r="M116" s="14" t="str">
        <f>IF(messy_clinic_appointments[[#This Row],[days_to_appointment]]&gt;365, "Review", "OK")</f>
        <v>Review</v>
      </c>
    </row>
    <row r="117" spans="1:13" x14ac:dyDescent="0.25">
      <c r="A117">
        <v>1014</v>
      </c>
      <c r="B117" s="14" t="s">
        <v>245</v>
      </c>
      <c r="C117">
        <v>81</v>
      </c>
      <c r="D117" s="14" t="s">
        <v>2008</v>
      </c>
      <c r="E117" s="1">
        <v>45809</v>
      </c>
      <c r="F117" s="1">
        <v>45523</v>
      </c>
      <c r="G117" s="14" t="s">
        <v>246</v>
      </c>
      <c r="H117" s="14" t="s">
        <v>12</v>
      </c>
      <c r="I117" s="14" t="s">
        <v>2127</v>
      </c>
      <c r="J117" s="14" t="str">
        <f>IF(messy_clinic_appointments[[#This Row],[billing_amount]] &lt; 200, "Low", IF(messy_clinic_appointments[[#This Row],[billing_amount]]&lt;= 400, "Medium", "High"))</f>
        <v>High</v>
      </c>
      <c r="K117" s="14" t="s">
        <v>2026</v>
      </c>
      <c r="L117" s="2">
        <f>DATEDIF(messy_clinic_appointments[[#This Row],[booking_date]],messy_clinic_appointments[[#This Row],[appointment_date]],"d")</f>
        <v>286</v>
      </c>
      <c r="M117" s="14" t="str">
        <f>IF(messy_clinic_appointments[[#This Row],[days_to_appointment]]&gt;365, "Review", "OK")</f>
        <v>OK</v>
      </c>
    </row>
    <row r="118" spans="1:13" x14ac:dyDescent="0.25">
      <c r="A118">
        <v>1047</v>
      </c>
      <c r="B118" s="14" t="s">
        <v>247</v>
      </c>
      <c r="C118">
        <v>38</v>
      </c>
      <c r="D118" s="14" t="s">
        <v>2014</v>
      </c>
      <c r="E118" s="1">
        <v>46006</v>
      </c>
      <c r="F118" s="1">
        <v>45651</v>
      </c>
      <c r="G118" s="14" t="s">
        <v>248</v>
      </c>
      <c r="H118" s="14" t="s">
        <v>12</v>
      </c>
      <c r="I118" s="14" t="s">
        <v>2128</v>
      </c>
      <c r="J118" s="14" t="str">
        <f>IF(messy_clinic_appointments[[#This Row],[billing_amount]] &lt; 200, "Low", IF(messy_clinic_appointments[[#This Row],[billing_amount]]&lt;= 400, "Medium", "High"))</f>
        <v>High</v>
      </c>
      <c r="K118" s="14" t="s">
        <v>2013</v>
      </c>
      <c r="L118" s="2">
        <f>DATEDIF(messy_clinic_appointments[[#This Row],[booking_date]],messy_clinic_appointments[[#This Row],[appointment_date]],"d")</f>
        <v>355</v>
      </c>
      <c r="M118" s="14" t="str">
        <f>IF(messy_clinic_appointments[[#This Row],[days_to_appointment]]&gt;365, "Review", "OK")</f>
        <v>OK</v>
      </c>
    </row>
    <row r="119" spans="1:13" x14ac:dyDescent="0.25">
      <c r="A119">
        <v>1073</v>
      </c>
      <c r="B119" s="14" t="s">
        <v>249</v>
      </c>
      <c r="C119">
        <v>38</v>
      </c>
      <c r="D119" s="14" t="s">
        <v>2039</v>
      </c>
      <c r="E119" s="1">
        <v>45990</v>
      </c>
      <c r="F119" s="1">
        <v>45849</v>
      </c>
      <c r="G119" s="14" t="s">
        <v>250</v>
      </c>
      <c r="H119" s="14" t="s">
        <v>15</v>
      </c>
      <c r="I119" s="14" t="s">
        <v>2129</v>
      </c>
      <c r="J119" s="14" t="str">
        <f>IF(messy_clinic_appointments[[#This Row],[billing_amount]] &lt; 200, "Low", IF(messy_clinic_appointments[[#This Row],[billing_amount]]&lt;= 400, "Medium", "High"))</f>
        <v>High</v>
      </c>
      <c r="K119" s="14" t="s">
        <v>2026</v>
      </c>
      <c r="L119" s="2">
        <f>DATEDIF(messy_clinic_appointments[[#This Row],[booking_date]],messy_clinic_appointments[[#This Row],[appointment_date]],"d")</f>
        <v>141</v>
      </c>
      <c r="M119" s="14" t="str">
        <f>IF(messy_clinic_appointments[[#This Row],[days_to_appointment]]&gt;365, "Review", "OK")</f>
        <v>OK</v>
      </c>
    </row>
    <row r="120" spans="1:13" x14ac:dyDescent="0.25">
      <c r="A120">
        <v>1093</v>
      </c>
      <c r="B120" s="14" t="s">
        <v>251</v>
      </c>
      <c r="C120">
        <v>79</v>
      </c>
      <c r="D120" s="14" t="s">
        <v>2008</v>
      </c>
      <c r="E120" s="1">
        <v>45745</v>
      </c>
      <c r="F120" s="1">
        <v>45470</v>
      </c>
      <c r="G120" s="14" t="s">
        <v>252</v>
      </c>
      <c r="H120" s="14" t="s">
        <v>15</v>
      </c>
      <c r="I120" s="14" t="s">
        <v>2130</v>
      </c>
      <c r="J120" s="14" t="str">
        <f>IF(messy_clinic_appointments[[#This Row],[billing_amount]] &lt; 200, "Low", IF(messy_clinic_appointments[[#This Row],[billing_amount]]&lt;= 400, "Medium", "High"))</f>
        <v>High</v>
      </c>
      <c r="K120" s="14" t="s">
        <v>2013</v>
      </c>
      <c r="L120" s="2">
        <f>DATEDIF(messy_clinic_appointments[[#This Row],[booking_date]],messy_clinic_appointments[[#This Row],[appointment_date]],"d")</f>
        <v>275</v>
      </c>
      <c r="M120" s="14" t="str">
        <f>IF(messy_clinic_appointments[[#This Row],[days_to_appointment]]&gt;365, "Review", "OK")</f>
        <v>OK</v>
      </c>
    </row>
    <row r="121" spans="1:13" x14ac:dyDescent="0.25">
      <c r="A121">
        <v>1027</v>
      </c>
      <c r="B121" s="14" t="s">
        <v>253</v>
      </c>
      <c r="C121">
        <v>54</v>
      </c>
      <c r="D121" s="14" t="s">
        <v>30</v>
      </c>
      <c r="E121" s="1">
        <v>46018</v>
      </c>
      <c r="F121" s="1">
        <v>45804</v>
      </c>
      <c r="G121" s="14" t="s">
        <v>254</v>
      </c>
      <c r="H121" s="14" t="s">
        <v>15</v>
      </c>
      <c r="I121" s="14" t="s">
        <v>2131</v>
      </c>
      <c r="J121" s="14" t="str">
        <f>IF(messy_clinic_appointments[[#This Row],[billing_amount]] &lt; 200, "Low", IF(messy_clinic_appointments[[#This Row],[billing_amount]]&lt;= 400, "Medium", "High"))</f>
        <v>High</v>
      </c>
      <c r="K121" s="14" t="s">
        <v>2039</v>
      </c>
      <c r="L121" s="2">
        <f>DATEDIF(messy_clinic_appointments[[#This Row],[booking_date]],messy_clinic_appointments[[#This Row],[appointment_date]],"d")</f>
        <v>214</v>
      </c>
      <c r="M121" s="14" t="str">
        <f>IF(messy_clinic_appointments[[#This Row],[days_to_appointment]]&gt;365, "Review", "OK")</f>
        <v>OK</v>
      </c>
    </row>
    <row r="122" spans="1:13" x14ac:dyDescent="0.25">
      <c r="A122">
        <v>1037</v>
      </c>
      <c r="B122" s="14" t="s">
        <v>255</v>
      </c>
      <c r="C122">
        <v>22</v>
      </c>
      <c r="D122" s="14" t="s">
        <v>30</v>
      </c>
      <c r="E122" s="1">
        <v>46081</v>
      </c>
      <c r="F122" s="1">
        <v>45738</v>
      </c>
      <c r="G122" s="14" t="s">
        <v>256</v>
      </c>
      <c r="H122" s="14" t="s">
        <v>18</v>
      </c>
      <c r="I122" s="14" t="s">
        <v>2132</v>
      </c>
      <c r="J122" s="14" t="str">
        <f>IF(messy_clinic_appointments[[#This Row],[billing_amount]] &lt; 200, "Low", IF(messy_clinic_appointments[[#This Row],[billing_amount]]&lt;= 400, "Medium", "High"))</f>
        <v>High</v>
      </c>
      <c r="K122" s="14" t="s">
        <v>2010</v>
      </c>
      <c r="L122" s="2">
        <f>DATEDIF(messy_clinic_appointments[[#This Row],[booking_date]],messy_clinic_appointments[[#This Row],[appointment_date]],"d")</f>
        <v>343</v>
      </c>
      <c r="M122" s="14" t="str">
        <f>IF(messy_clinic_appointments[[#This Row],[days_to_appointment]]&gt;365, "Review", "OK")</f>
        <v>OK</v>
      </c>
    </row>
    <row r="123" spans="1:13" x14ac:dyDescent="0.25">
      <c r="A123">
        <v>1021</v>
      </c>
      <c r="B123" s="14" t="s">
        <v>257</v>
      </c>
      <c r="C123">
        <v>27</v>
      </c>
      <c r="D123" s="14" t="s">
        <v>2039</v>
      </c>
      <c r="E123" s="1">
        <v>45781</v>
      </c>
      <c r="F123" s="1">
        <v>45484</v>
      </c>
      <c r="G123" s="14" t="s">
        <v>258</v>
      </c>
      <c r="H123" s="14" t="s">
        <v>21</v>
      </c>
      <c r="I123" s="14" t="s">
        <v>2133</v>
      </c>
      <c r="J123" s="14" t="str">
        <f>IF(messy_clinic_appointments[[#This Row],[billing_amount]] &lt; 200, "Low", IF(messy_clinic_appointments[[#This Row],[billing_amount]]&lt;= 400, "Medium", "High"))</f>
        <v>High</v>
      </c>
      <c r="K123" s="14" t="s">
        <v>2010</v>
      </c>
      <c r="L123" s="2">
        <f>DATEDIF(messy_clinic_appointments[[#This Row],[booking_date]],messy_clinic_appointments[[#This Row],[appointment_date]],"d")</f>
        <v>297</v>
      </c>
      <c r="M123" s="14" t="str">
        <f>IF(messy_clinic_appointments[[#This Row],[days_to_appointment]]&gt;365, "Review", "OK")</f>
        <v>OK</v>
      </c>
    </row>
    <row r="124" spans="1:13" x14ac:dyDescent="0.25">
      <c r="A124">
        <v>1007</v>
      </c>
      <c r="B124" s="14" t="s">
        <v>259</v>
      </c>
      <c r="C124">
        <v>20</v>
      </c>
      <c r="D124" s="14" t="s">
        <v>2022</v>
      </c>
      <c r="E124" s="1">
        <v>45977</v>
      </c>
      <c r="F124" s="1">
        <v>45918</v>
      </c>
      <c r="G124" s="14" t="s">
        <v>260</v>
      </c>
      <c r="H124" s="14" t="s">
        <v>21</v>
      </c>
      <c r="I124" s="14" t="s">
        <v>2134</v>
      </c>
      <c r="J124" s="14" t="str">
        <f>IF(messy_clinic_appointments[[#This Row],[billing_amount]] &lt; 200, "Low", IF(messy_clinic_appointments[[#This Row],[billing_amount]]&lt;= 400, "Medium", "High"))</f>
        <v>High</v>
      </c>
      <c r="K124" s="14" t="s">
        <v>2039</v>
      </c>
      <c r="L124" s="2">
        <f>DATEDIF(messy_clinic_appointments[[#This Row],[booking_date]],messy_clinic_appointments[[#This Row],[appointment_date]],"d")</f>
        <v>59</v>
      </c>
      <c r="M124" s="14" t="str">
        <f>IF(messy_clinic_appointments[[#This Row],[days_to_appointment]]&gt;365, "Review", "OK")</f>
        <v>OK</v>
      </c>
    </row>
    <row r="125" spans="1:13" x14ac:dyDescent="0.25">
      <c r="A125">
        <v>1043</v>
      </c>
      <c r="B125" s="14" t="s">
        <v>261</v>
      </c>
      <c r="C125">
        <v>31</v>
      </c>
      <c r="D125" s="14" t="s">
        <v>2010</v>
      </c>
      <c r="E125" s="1">
        <v>45841</v>
      </c>
      <c r="F125" s="1">
        <v>45773</v>
      </c>
      <c r="G125" s="14" t="s">
        <v>262</v>
      </c>
      <c r="H125" s="14" t="s">
        <v>15</v>
      </c>
      <c r="I125" s="14" t="s">
        <v>2135</v>
      </c>
      <c r="J125" s="14" t="str">
        <f>IF(messy_clinic_appointments[[#This Row],[billing_amount]] &lt; 200, "Low", IF(messy_clinic_appointments[[#This Row],[billing_amount]]&lt;= 400, "Medium", "High"))</f>
        <v>High</v>
      </c>
      <c r="K125" s="14" t="s">
        <v>2026</v>
      </c>
      <c r="L125" s="2">
        <f>DATEDIF(messy_clinic_appointments[[#This Row],[booking_date]],messy_clinic_appointments[[#This Row],[appointment_date]],"d")</f>
        <v>68</v>
      </c>
      <c r="M125" s="14" t="str">
        <f>IF(messy_clinic_appointments[[#This Row],[days_to_appointment]]&gt;365, "Review", "OK")</f>
        <v>OK</v>
      </c>
    </row>
    <row r="126" spans="1:13" x14ac:dyDescent="0.25">
      <c r="A126">
        <v>1081</v>
      </c>
      <c r="B126" s="14" t="s">
        <v>263</v>
      </c>
      <c r="C126">
        <v>86</v>
      </c>
      <c r="D126" s="14" t="s">
        <v>2010</v>
      </c>
      <c r="E126" s="1">
        <v>45861</v>
      </c>
      <c r="F126" s="1">
        <v>45769</v>
      </c>
      <c r="G126" s="14" t="s">
        <v>264</v>
      </c>
      <c r="H126" s="14" t="s">
        <v>21</v>
      </c>
      <c r="I126" s="14" t="s">
        <v>2136</v>
      </c>
      <c r="J126" s="14" t="str">
        <f>IF(messy_clinic_appointments[[#This Row],[billing_amount]] &lt; 200, "Low", IF(messy_clinic_appointments[[#This Row],[billing_amount]]&lt;= 400, "Medium", "High"))</f>
        <v>High</v>
      </c>
      <c r="K126" s="14" t="s">
        <v>22</v>
      </c>
      <c r="L126" s="2">
        <f>DATEDIF(messy_clinic_appointments[[#This Row],[booking_date]],messy_clinic_appointments[[#This Row],[appointment_date]],"d")</f>
        <v>92</v>
      </c>
      <c r="M126" s="14" t="str">
        <f>IF(messy_clinic_appointments[[#This Row],[days_to_appointment]]&gt;365, "Review", "OK")</f>
        <v>OK</v>
      </c>
    </row>
    <row r="127" spans="1:13" x14ac:dyDescent="0.25">
      <c r="A127">
        <v>1053</v>
      </c>
      <c r="B127" s="14" t="s">
        <v>265</v>
      </c>
      <c r="C127">
        <v>81</v>
      </c>
      <c r="D127" s="14" t="s">
        <v>24</v>
      </c>
      <c r="E127" s="1">
        <v>45770</v>
      </c>
      <c r="F127" s="1">
        <v>45656</v>
      </c>
      <c r="G127" s="14" t="s">
        <v>266</v>
      </c>
      <c r="H127" s="14" t="s">
        <v>21</v>
      </c>
      <c r="I127" s="14" t="s">
        <v>2137</v>
      </c>
      <c r="J127" s="14" t="str">
        <f>IF(messy_clinic_appointments[[#This Row],[billing_amount]] &lt; 200, "Low", IF(messy_clinic_appointments[[#This Row],[billing_amount]]&lt;= 400, "Medium", "High"))</f>
        <v>High</v>
      </c>
      <c r="K127" s="14" t="s">
        <v>2026</v>
      </c>
      <c r="L127" s="2">
        <f>DATEDIF(messy_clinic_appointments[[#This Row],[booking_date]],messy_clinic_appointments[[#This Row],[appointment_date]],"d")</f>
        <v>114</v>
      </c>
      <c r="M127" s="14" t="str">
        <f>IF(messy_clinic_appointments[[#This Row],[days_to_appointment]]&gt;365, "Review", "OK")</f>
        <v>OK</v>
      </c>
    </row>
    <row r="128" spans="1:13" x14ac:dyDescent="0.25">
      <c r="A128">
        <v>1035</v>
      </c>
      <c r="B128" s="14" t="s">
        <v>267</v>
      </c>
      <c r="C128">
        <v>58</v>
      </c>
      <c r="D128" s="14" t="s">
        <v>2014</v>
      </c>
      <c r="E128" s="1">
        <v>46045</v>
      </c>
      <c r="F128" s="1">
        <v>45396</v>
      </c>
      <c r="G128" s="14" t="s">
        <v>268</v>
      </c>
      <c r="H128" s="14" t="s">
        <v>12</v>
      </c>
      <c r="I128" s="14" t="s">
        <v>2138</v>
      </c>
      <c r="J128" s="14" t="str">
        <f>IF(messy_clinic_appointments[[#This Row],[billing_amount]] &lt; 200, "Low", IF(messy_clinic_appointments[[#This Row],[billing_amount]]&lt;= 400, "Medium", "High"))</f>
        <v>High</v>
      </c>
      <c r="K128" s="14" t="s">
        <v>2013</v>
      </c>
      <c r="L128" s="2">
        <f>DATEDIF(messy_clinic_appointments[[#This Row],[booking_date]],messy_clinic_appointments[[#This Row],[appointment_date]],"d")</f>
        <v>649</v>
      </c>
      <c r="M128" s="14" t="str">
        <f>IF(messy_clinic_appointments[[#This Row],[days_to_appointment]]&gt;365, "Review", "OK")</f>
        <v>Review</v>
      </c>
    </row>
    <row r="129" spans="1:13" x14ac:dyDescent="0.25">
      <c r="A129">
        <v>1036</v>
      </c>
      <c r="B129" s="14" t="s">
        <v>269</v>
      </c>
      <c r="C129">
        <v>38</v>
      </c>
      <c r="D129" s="14" t="s">
        <v>2010</v>
      </c>
      <c r="E129" s="1">
        <v>45742</v>
      </c>
      <c r="F129" s="1">
        <v>45718</v>
      </c>
      <c r="G129" s="14" t="s">
        <v>270</v>
      </c>
      <c r="H129" s="14" t="s">
        <v>12</v>
      </c>
      <c r="I129" s="14" t="s">
        <v>2139</v>
      </c>
      <c r="J129" s="14" t="str">
        <f>IF(messy_clinic_appointments[[#This Row],[billing_amount]] &lt; 200, "Low", IF(messy_clinic_appointments[[#This Row],[billing_amount]]&lt;= 400, "Medium", "High"))</f>
        <v>High</v>
      </c>
      <c r="K129" s="14" t="s">
        <v>2026</v>
      </c>
      <c r="L129" s="2">
        <f>DATEDIF(messy_clinic_appointments[[#This Row],[booking_date]],messy_clinic_appointments[[#This Row],[appointment_date]],"d")</f>
        <v>24</v>
      </c>
      <c r="M129" s="14" t="str">
        <f>IF(messy_clinic_appointments[[#This Row],[days_to_appointment]]&gt;365, "Review", "OK")</f>
        <v>OK</v>
      </c>
    </row>
    <row r="130" spans="1:13" x14ac:dyDescent="0.25">
      <c r="A130">
        <v>1052</v>
      </c>
      <c r="B130" s="14" t="s">
        <v>271</v>
      </c>
      <c r="C130">
        <v>22</v>
      </c>
      <c r="D130" s="14" t="s">
        <v>30</v>
      </c>
      <c r="E130" s="1">
        <v>45954</v>
      </c>
      <c r="F130" s="1">
        <v>45663</v>
      </c>
      <c r="G130" s="14" t="s">
        <v>272</v>
      </c>
      <c r="H130" s="14" t="s">
        <v>15</v>
      </c>
      <c r="I130" s="14" t="s">
        <v>2140</v>
      </c>
      <c r="J130" s="14" t="str">
        <f>IF(messy_clinic_appointments[[#This Row],[billing_amount]] &lt; 200, "Low", IF(messy_clinic_appointments[[#This Row],[billing_amount]]&lt;= 400, "Medium", "High"))</f>
        <v>High</v>
      </c>
      <c r="K130" s="14" t="s">
        <v>2039</v>
      </c>
      <c r="L130" s="2">
        <f>DATEDIF(messy_clinic_appointments[[#This Row],[booking_date]],messy_clinic_appointments[[#This Row],[appointment_date]],"d")</f>
        <v>291</v>
      </c>
      <c r="M130" s="14" t="str">
        <f>IF(messy_clinic_appointments[[#This Row],[days_to_appointment]]&gt;365, "Review", "OK")</f>
        <v>OK</v>
      </c>
    </row>
    <row r="131" spans="1:13" x14ac:dyDescent="0.25">
      <c r="A131">
        <v>1058</v>
      </c>
      <c r="B131" s="14" t="s">
        <v>273</v>
      </c>
      <c r="C131">
        <v>83</v>
      </c>
      <c r="D131" s="14" t="s">
        <v>2008</v>
      </c>
      <c r="E131" s="1">
        <v>46009</v>
      </c>
      <c r="F131" s="1">
        <v>45768</v>
      </c>
      <c r="G131" s="14" t="s">
        <v>274</v>
      </c>
      <c r="H131" s="14" t="s">
        <v>18</v>
      </c>
      <c r="I131" s="14" t="s">
        <v>2141</v>
      </c>
      <c r="J131" s="14" t="str">
        <f>IF(messy_clinic_appointments[[#This Row],[billing_amount]] &lt; 200, "Low", IF(messy_clinic_appointments[[#This Row],[billing_amount]]&lt;= 400, "Medium", "High"))</f>
        <v>High</v>
      </c>
      <c r="K131" s="14" t="s">
        <v>28</v>
      </c>
      <c r="L131" s="2">
        <f>DATEDIF(messy_clinic_appointments[[#This Row],[booking_date]],messy_clinic_appointments[[#This Row],[appointment_date]],"d")</f>
        <v>241</v>
      </c>
      <c r="M131" s="14" t="str">
        <f>IF(messy_clinic_appointments[[#This Row],[days_to_appointment]]&gt;365, "Review", "OK")</f>
        <v>OK</v>
      </c>
    </row>
    <row r="132" spans="1:13" x14ac:dyDescent="0.25">
      <c r="A132">
        <v>1074</v>
      </c>
      <c r="B132" s="14" t="s">
        <v>275</v>
      </c>
      <c r="C132">
        <v>19</v>
      </c>
      <c r="D132" s="14" t="s">
        <v>2011</v>
      </c>
      <c r="E132" s="1">
        <v>45771</v>
      </c>
      <c r="F132" s="1">
        <v>45573</v>
      </c>
      <c r="G132" s="14" t="s">
        <v>276</v>
      </c>
      <c r="H132" s="14" t="s">
        <v>18</v>
      </c>
      <c r="I132" s="14" t="s">
        <v>2142</v>
      </c>
      <c r="J132" s="14" t="str">
        <f>IF(messy_clinic_appointments[[#This Row],[billing_amount]] &lt; 200, "Low", IF(messy_clinic_appointments[[#This Row],[billing_amount]]&lt;= 400, "Medium", "High"))</f>
        <v>High</v>
      </c>
      <c r="K132" s="14" t="s">
        <v>2039</v>
      </c>
      <c r="L132" s="2">
        <f>DATEDIF(messy_clinic_appointments[[#This Row],[booking_date]],messy_clinic_appointments[[#This Row],[appointment_date]],"d")</f>
        <v>198</v>
      </c>
      <c r="M132" s="14" t="str">
        <f>IF(messy_clinic_appointments[[#This Row],[days_to_appointment]]&gt;365, "Review", "OK")</f>
        <v>OK</v>
      </c>
    </row>
    <row r="133" spans="1:13" x14ac:dyDescent="0.25">
      <c r="A133">
        <v>1018</v>
      </c>
      <c r="B133" s="14" t="s">
        <v>277</v>
      </c>
      <c r="C133">
        <v>54</v>
      </c>
      <c r="D133" s="14" t="s">
        <v>2011</v>
      </c>
      <c r="E133" s="1">
        <v>46106</v>
      </c>
      <c r="F133" s="1">
        <v>45540</v>
      </c>
      <c r="G133" s="14" t="s">
        <v>278</v>
      </c>
      <c r="H133" s="14" t="s">
        <v>21</v>
      </c>
      <c r="I133" s="14" t="s">
        <v>2143</v>
      </c>
      <c r="J133" s="14" t="str">
        <f>IF(messy_clinic_appointments[[#This Row],[billing_amount]] &lt; 200, "Low", IF(messy_clinic_appointments[[#This Row],[billing_amount]]&lt;= 400, "Medium", "High"))</f>
        <v>High</v>
      </c>
      <c r="K133" s="14" t="s">
        <v>2010</v>
      </c>
      <c r="L133" s="2">
        <f>DATEDIF(messy_clinic_appointments[[#This Row],[booking_date]],messy_clinic_appointments[[#This Row],[appointment_date]],"d")</f>
        <v>566</v>
      </c>
      <c r="M133" s="14" t="str">
        <f>IF(messy_clinic_appointments[[#This Row],[days_to_appointment]]&gt;365, "Review", "OK")</f>
        <v>Review</v>
      </c>
    </row>
    <row r="134" spans="1:13" x14ac:dyDescent="0.25">
      <c r="A134">
        <v>1033</v>
      </c>
      <c r="B134" s="14" t="s">
        <v>279</v>
      </c>
      <c r="C134">
        <v>68</v>
      </c>
      <c r="D134" s="14" t="s">
        <v>2022</v>
      </c>
      <c r="E134" s="1">
        <v>45958</v>
      </c>
      <c r="F134" s="1">
        <v>45581</v>
      </c>
      <c r="G134" s="14" t="s">
        <v>155</v>
      </c>
      <c r="H134" s="14" t="s">
        <v>21</v>
      </c>
      <c r="I134" s="14" t="s">
        <v>2144</v>
      </c>
      <c r="J134" s="14" t="str">
        <f>IF(messy_clinic_appointments[[#This Row],[billing_amount]] &lt; 200, "Low", IF(messy_clinic_appointments[[#This Row],[billing_amount]]&lt;= 400, "Medium", "High"))</f>
        <v>High</v>
      </c>
      <c r="K134" s="14" t="s">
        <v>28</v>
      </c>
      <c r="L134" s="2">
        <f>DATEDIF(messy_clinic_appointments[[#This Row],[booking_date]],messy_clinic_appointments[[#This Row],[appointment_date]],"d")</f>
        <v>377</v>
      </c>
      <c r="M134" s="14" t="str">
        <f>IF(messy_clinic_appointments[[#This Row],[days_to_appointment]]&gt;365, "Review", "OK")</f>
        <v>Review</v>
      </c>
    </row>
    <row r="135" spans="1:13" x14ac:dyDescent="0.25">
      <c r="A135">
        <v>1045</v>
      </c>
      <c r="B135" s="14" t="s">
        <v>280</v>
      </c>
      <c r="C135">
        <v>55</v>
      </c>
      <c r="D135" s="14" t="s">
        <v>30</v>
      </c>
      <c r="E135" s="1">
        <v>46024</v>
      </c>
      <c r="F135" s="1">
        <v>45393</v>
      </c>
      <c r="G135" s="14" t="s">
        <v>281</v>
      </c>
      <c r="H135" s="14" t="s">
        <v>21</v>
      </c>
      <c r="I135" s="14" t="s">
        <v>2145</v>
      </c>
      <c r="J135" s="14" t="str">
        <f>IF(messy_clinic_appointments[[#This Row],[billing_amount]] &lt; 200, "Low", IF(messy_clinic_appointments[[#This Row],[billing_amount]]&lt;= 400, "Medium", "High"))</f>
        <v>High</v>
      </c>
      <c r="K135" s="14" t="s">
        <v>28</v>
      </c>
      <c r="L135" s="2">
        <f>DATEDIF(messy_clinic_appointments[[#This Row],[booking_date]],messy_clinic_appointments[[#This Row],[appointment_date]],"d")</f>
        <v>631</v>
      </c>
      <c r="M135" s="14" t="str">
        <f>IF(messy_clinic_appointments[[#This Row],[days_to_appointment]]&gt;365, "Review", "OK")</f>
        <v>Review</v>
      </c>
    </row>
    <row r="136" spans="1:13" x14ac:dyDescent="0.25">
      <c r="A136">
        <v>1087</v>
      </c>
      <c r="B136" s="14" t="s">
        <v>282</v>
      </c>
      <c r="C136">
        <v>80</v>
      </c>
      <c r="D136" s="14" t="s">
        <v>2010</v>
      </c>
      <c r="E136" s="1">
        <v>46029</v>
      </c>
      <c r="F136" s="1">
        <v>45438</v>
      </c>
      <c r="G136" s="14" t="s">
        <v>283</v>
      </c>
      <c r="H136" s="14" t="s">
        <v>18</v>
      </c>
      <c r="I136" s="14" t="s">
        <v>2146</v>
      </c>
      <c r="J136" s="14" t="str">
        <f>IF(messy_clinic_appointments[[#This Row],[billing_amount]] &lt; 200, "Low", IF(messy_clinic_appointments[[#This Row],[billing_amount]]&lt;= 400, "Medium", "High"))</f>
        <v>High</v>
      </c>
      <c r="K136" s="14" t="s">
        <v>22</v>
      </c>
      <c r="L136" s="2">
        <f>DATEDIF(messy_clinic_appointments[[#This Row],[booking_date]],messy_clinic_appointments[[#This Row],[appointment_date]],"d")</f>
        <v>591</v>
      </c>
      <c r="M136" s="14" t="str">
        <f>IF(messy_clinic_appointments[[#This Row],[days_to_appointment]]&gt;365, "Review", "OK")</f>
        <v>Review</v>
      </c>
    </row>
    <row r="137" spans="1:13" x14ac:dyDescent="0.25">
      <c r="A137">
        <v>1043</v>
      </c>
      <c r="B137" s="14" t="s">
        <v>284</v>
      </c>
      <c r="C137">
        <v>58</v>
      </c>
      <c r="D137" s="14" t="s">
        <v>2010</v>
      </c>
      <c r="E137" s="1">
        <v>45967</v>
      </c>
      <c r="F137" s="1">
        <v>45792</v>
      </c>
      <c r="G137" s="14" t="s">
        <v>285</v>
      </c>
      <c r="H137" s="14" t="s">
        <v>12</v>
      </c>
      <c r="I137" s="14" t="s">
        <v>2147</v>
      </c>
      <c r="J137" s="14" t="str">
        <f>IF(messy_clinic_appointments[[#This Row],[billing_amount]] &lt; 200, "Low", IF(messy_clinic_appointments[[#This Row],[billing_amount]]&lt;= 400, "Medium", "High"))</f>
        <v>High</v>
      </c>
      <c r="K137" s="14" t="s">
        <v>2039</v>
      </c>
      <c r="L137" s="2">
        <f>DATEDIF(messy_clinic_appointments[[#This Row],[booking_date]],messy_clinic_appointments[[#This Row],[appointment_date]],"d")</f>
        <v>175</v>
      </c>
      <c r="M137" s="14" t="str">
        <f>IF(messy_clinic_appointments[[#This Row],[days_to_appointment]]&gt;365, "Review", "OK")</f>
        <v>OK</v>
      </c>
    </row>
    <row r="138" spans="1:13" x14ac:dyDescent="0.25">
      <c r="A138">
        <v>1020</v>
      </c>
      <c r="B138" s="14" t="s">
        <v>286</v>
      </c>
      <c r="C138">
        <v>31</v>
      </c>
      <c r="D138" s="14" t="s">
        <v>2010</v>
      </c>
      <c r="E138" s="1">
        <v>45929</v>
      </c>
      <c r="F138" s="1">
        <v>45600</v>
      </c>
      <c r="G138" s="14" t="s">
        <v>287</v>
      </c>
      <c r="H138" s="14" t="s">
        <v>18</v>
      </c>
      <c r="I138" s="14" t="s">
        <v>2148</v>
      </c>
      <c r="J138" s="14" t="str">
        <f>IF(messy_clinic_appointments[[#This Row],[billing_amount]] &lt; 200, "Low", IF(messy_clinic_appointments[[#This Row],[billing_amount]]&lt;= 400, "Medium", "High"))</f>
        <v>High</v>
      </c>
      <c r="K138" s="14" t="s">
        <v>2013</v>
      </c>
      <c r="L138" s="2">
        <f>DATEDIF(messy_clinic_appointments[[#This Row],[booking_date]],messy_clinic_appointments[[#This Row],[appointment_date]],"d")</f>
        <v>329</v>
      </c>
      <c r="M138" s="14" t="str">
        <f>IF(messy_clinic_appointments[[#This Row],[days_to_appointment]]&gt;365, "Review", "OK")</f>
        <v>OK</v>
      </c>
    </row>
    <row r="139" spans="1:13" x14ac:dyDescent="0.25">
      <c r="A139">
        <v>1089</v>
      </c>
      <c r="B139" s="14" t="s">
        <v>288</v>
      </c>
      <c r="C139">
        <v>73</v>
      </c>
      <c r="D139" s="14" t="s">
        <v>2011</v>
      </c>
      <c r="E139" s="1">
        <v>45778</v>
      </c>
      <c r="F139" s="1">
        <v>45498</v>
      </c>
      <c r="G139" s="14" t="s">
        <v>289</v>
      </c>
      <c r="H139" s="14" t="s">
        <v>12</v>
      </c>
      <c r="I139" s="14" t="s">
        <v>2149</v>
      </c>
      <c r="J139" s="14" t="str">
        <f>IF(messy_clinic_appointments[[#This Row],[billing_amount]] &lt; 200, "Low", IF(messy_clinic_appointments[[#This Row],[billing_amount]]&lt;= 400, "Medium", "High"))</f>
        <v>High</v>
      </c>
      <c r="K139" s="14" t="s">
        <v>2026</v>
      </c>
      <c r="L139" s="2">
        <f>DATEDIF(messy_clinic_appointments[[#This Row],[booking_date]],messy_clinic_appointments[[#This Row],[appointment_date]],"d")</f>
        <v>280</v>
      </c>
      <c r="M139" s="14" t="str">
        <f>IF(messy_clinic_appointments[[#This Row],[days_to_appointment]]&gt;365, "Review", "OK")</f>
        <v>OK</v>
      </c>
    </row>
    <row r="140" spans="1:13" x14ac:dyDescent="0.25">
      <c r="A140">
        <v>1005</v>
      </c>
      <c r="B140" s="14" t="s">
        <v>290</v>
      </c>
      <c r="C140">
        <v>63</v>
      </c>
      <c r="D140" s="14" t="s">
        <v>2010</v>
      </c>
      <c r="E140" s="1">
        <v>45921</v>
      </c>
      <c r="F140" s="1">
        <v>45601</v>
      </c>
      <c r="G140" s="14" t="s">
        <v>291</v>
      </c>
      <c r="H140" s="14" t="s">
        <v>12</v>
      </c>
      <c r="I140" s="14" t="s">
        <v>2150</v>
      </c>
      <c r="J140" s="14" t="str">
        <f>IF(messy_clinic_appointments[[#This Row],[billing_amount]] &lt; 200, "Low", IF(messy_clinic_appointments[[#This Row],[billing_amount]]&lt;= 400, "Medium", "High"))</f>
        <v>High</v>
      </c>
      <c r="K140" s="14" t="s">
        <v>2013</v>
      </c>
      <c r="L140" s="2">
        <f>DATEDIF(messy_clinic_appointments[[#This Row],[booking_date]],messy_clinic_appointments[[#This Row],[appointment_date]],"d")</f>
        <v>320</v>
      </c>
      <c r="M140" s="14" t="str">
        <f>IF(messy_clinic_appointments[[#This Row],[days_to_appointment]]&gt;365, "Review", "OK")</f>
        <v>OK</v>
      </c>
    </row>
    <row r="141" spans="1:13" x14ac:dyDescent="0.25">
      <c r="A141">
        <v>1031</v>
      </c>
      <c r="B141" s="14" t="s">
        <v>292</v>
      </c>
      <c r="C141">
        <v>49</v>
      </c>
      <c r="D141" s="14" t="s">
        <v>2008</v>
      </c>
      <c r="E141" s="1">
        <v>46024</v>
      </c>
      <c r="F141" s="1">
        <v>45990</v>
      </c>
      <c r="G141" s="14" t="s">
        <v>293</v>
      </c>
      <c r="H141" s="14" t="s">
        <v>18</v>
      </c>
      <c r="I141" s="14" t="s">
        <v>2151</v>
      </c>
      <c r="J141" s="14" t="str">
        <f>IF(messy_clinic_appointments[[#This Row],[billing_amount]] &lt; 200, "Low", IF(messy_clinic_appointments[[#This Row],[billing_amount]]&lt;= 400, "Medium", "High"))</f>
        <v>High</v>
      </c>
      <c r="K141" s="14" t="s">
        <v>2026</v>
      </c>
      <c r="L141" s="2">
        <f>DATEDIF(messy_clinic_appointments[[#This Row],[booking_date]],messy_clinic_appointments[[#This Row],[appointment_date]],"d")</f>
        <v>34</v>
      </c>
      <c r="M141" s="14" t="str">
        <f>IF(messy_clinic_appointments[[#This Row],[days_to_appointment]]&gt;365, "Review", "OK")</f>
        <v>OK</v>
      </c>
    </row>
    <row r="142" spans="1:13" x14ac:dyDescent="0.25">
      <c r="A142">
        <v>1069</v>
      </c>
      <c r="B142" s="14" t="s">
        <v>294</v>
      </c>
      <c r="C142">
        <v>60</v>
      </c>
      <c r="D142" s="14" t="s">
        <v>2010</v>
      </c>
      <c r="E142" s="1">
        <v>45903</v>
      </c>
      <c r="F142" s="1">
        <v>45870</v>
      </c>
      <c r="G142" s="14" t="s">
        <v>295</v>
      </c>
      <c r="H142" s="14" t="s">
        <v>21</v>
      </c>
      <c r="I142" s="14" t="s">
        <v>24</v>
      </c>
      <c r="J142" s="14" t="str">
        <f>IF(messy_clinic_appointments[[#This Row],[billing_amount]] &lt; 200, "Low", IF(messy_clinic_appointments[[#This Row],[billing_amount]]&lt;= 400, "Medium", "High"))</f>
        <v>High</v>
      </c>
      <c r="K142" s="14" t="s">
        <v>22</v>
      </c>
      <c r="L142" s="2">
        <f>DATEDIF(messy_clinic_appointments[[#This Row],[booking_date]],messy_clinic_appointments[[#This Row],[appointment_date]],"d")</f>
        <v>33</v>
      </c>
      <c r="M142" s="14" t="str">
        <f>IF(messy_clinic_appointments[[#This Row],[days_to_appointment]]&gt;365, "Review", "OK")</f>
        <v>OK</v>
      </c>
    </row>
    <row r="143" spans="1:13" x14ac:dyDescent="0.25">
      <c r="A143">
        <v>1093</v>
      </c>
      <c r="B143" s="14" t="s">
        <v>296</v>
      </c>
      <c r="C143">
        <v>77</v>
      </c>
      <c r="D143" s="14" t="s">
        <v>30</v>
      </c>
      <c r="E143" s="1">
        <v>46042</v>
      </c>
      <c r="F143" s="1">
        <v>45386</v>
      </c>
      <c r="G143" s="14" t="s">
        <v>297</v>
      </c>
      <c r="H143" s="14" t="s">
        <v>18</v>
      </c>
      <c r="I143" s="14" t="s">
        <v>2152</v>
      </c>
      <c r="J143" s="14" t="str">
        <f>IF(messy_clinic_appointments[[#This Row],[billing_amount]] &lt; 200, "Low", IF(messy_clinic_appointments[[#This Row],[billing_amount]]&lt;= 400, "Medium", "High"))</f>
        <v>High</v>
      </c>
      <c r="K143" s="14" t="s">
        <v>2010</v>
      </c>
      <c r="L143" s="2">
        <f>DATEDIF(messy_clinic_appointments[[#This Row],[booking_date]],messy_clinic_appointments[[#This Row],[appointment_date]],"d")</f>
        <v>656</v>
      </c>
      <c r="M143" s="14" t="str">
        <f>IF(messy_clinic_appointments[[#This Row],[days_to_appointment]]&gt;365, "Review", "OK")</f>
        <v>Review</v>
      </c>
    </row>
    <row r="144" spans="1:13" x14ac:dyDescent="0.25">
      <c r="A144">
        <v>1073</v>
      </c>
      <c r="B144" s="14" t="s">
        <v>298</v>
      </c>
      <c r="C144">
        <v>29</v>
      </c>
      <c r="D144" s="14" t="s">
        <v>50</v>
      </c>
      <c r="E144" s="1">
        <v>45865</v>
      </c>
      <c r="F144" s="1">
        <v>45816</v>
      </c>
      <c r="G144" s="14" t="s">
        <v>299</v>
      </c>
      <c r="H144" s="14" t="s">
        <v>21</v>
      </c>
      <c r="I144" s="14" t="s">
        <v>2153</v>
      </c>
      <c r="J144" s="14" t="str">
        <f>IF(messy_clinic_appointments[[#This Row],[billing_amount]] &lt; 200, "Low", IF(messy_clinic_appointments[[#This Row],[billing_amount]]&lt;= 400, "Medium", "High"))</f>
        <v>High</v>
      </c>
      <c r="K144" s="14" t="s">
        <v>2013</v>
      </c>
      <c r="L144" s="2">
        <f>DATEDIF(messy_clinic_appointments[[#This Row],[booking_date]],messy_clinic_appointments[[#This Row],[appointment_date]],"d")</f>
        <v>49</v>
      </c>
      <c r="M144" s="14" t="str">
        <f>IF(messy_clinic_appointments[[#This Row],[days_to_appointment]]&gt;365, "Review", "OK")</f>
        <v>OK</v>
      </c>
    </row>
    <row r="145" spans="1:13" x14ac:dyDescent="0.25">
      <c r="A145">
        <v>1040</v>
      </c>
      <c r="B145" s="14" t="s">
        <v>300</v>
      </c>
      <c r="C145">
        <v>52</v>
      </c>
      <c r="D145" s="14" t="s">
        <v>50</v>
      </c>
      <c r="E145" s="1">
        <v>45795</v>
      </c>
      <c r="F145" s="1">
        <v>45703</v>
      </c>
      <c r="G145" s="14" t="s">
        <v>301</v>
      </c>
      <c r="H145" s="14" t="s">
        <v>12</v>
      </c>
      <c r="I145" s="14" t="s">
        <v>2154</v>
      </c>
      <c r="J145" s="14" t="str">
        <f>IF(messy_clinic_appointments[[#This Row],[billing_amount]] &lt; 200, "Low", IF(messy_clinic_appointments[[#This Row],[billing_amount]]&lt;= 400, "Medium", "High"))</f>
        <v>High</v>
      </c>
      <c r="K145" s="14" t="s">
        <v>2026</v>
      </c>
      <c r="L145" s="2">
        <f>DATEDIF(messy_clinic_appointments[[#This Row],[booking_date]],messy_clinic_appointments[[#This Row],[appointment_date]],"d")</f>
        <v>92</v>
      </c>
      <c r="M145" s="14" t="str">
        <f>IF(messy_clinic_appointments[[#This Row],[days_to_appointment]]&gt;365, "Review", "OK")</f>
        <v>OK</v>
      </c>
    </row>
    <row r="146" spans="1:13" x14ac:dyDescent="0.25">
      <c r="A146">
        <v>1066</v>
      </c>
      <c r="B146" s="14" t="s">
        <v>302</v>
      </c>
      <c r="C146">
        <v>54</v>
      </c>
      <c r="D146" s="14" t="s">
        <v>50</v>
      </c>
      <c r="E146" s="1">
        <v>45881</v>
      </c>
      <c r="F146" s="1">
        <v>45863</v>
      </c>
      <c r="G146" s="14" t="s">
        <v>303</v>
      </c>
      <c r="H146" s="14" t="s">
        <v>21</v>
      </c>
      <c r="I146" s="14" t="s">
        <v>2155</v>
      </c>
      <c r="J146" s="14" t="str">
        <f>IF(messy_clinic_appointments[[#This Row],[billing_amount]] &lt; 200, "Low", IF(messy_clinic_appointments[[#This Row],[billing_amount]]&lt;= 400, "Medium", "High"))</f>
        <v>High</v>
      </c>
      <c r="K146" s="14" t="s">
        <v>2010</v>
      </c>
      <c r="L146" s="2">
        <f>DATEDIF(messy_clinic_appointments[[#This Row],[booking_date]],messy_clinic_appointments[[#This Row],[appointment_date]],"d")</f>
        <v>18</v>
      </c>
      <c r="M146" s="14" t="str">
        <f>IF(messy_clinic_appointments[[#This Row],[days_to_appointment]]&gt;365, "Review", "OK")</f>
        <v>OK</v>
      </c>
    </row>
    <row r="147" spans="1:13" x14ac:dyDescent="0.25">
      <c r="A147">
        <v>1047</v>
      </c>
      <c r="B147" s="14" t="s">
        <v>304</v>
      </c>
      <c r="C147">
        <v>67</v>
      </c>
      <c r="D147" s="14" t="s">
        <v>2039</v>
      </c>
      <c r="E147" s="1">
        <v>46063</v>
      </c>
      <c r="F147" s="1">
        <v>45464</v>
      </c>
      <c r="G147" s="14" t="s">
        <v>305</v>
      </c>
      <c r="H147" s="14" t="s">
        <v>15</v>
      </c>
      <c r="I147" s="14" t="s">
        <v>24</v>
      </c>
      <c r="J147" s="14" t="str">
        <f>IF(messy_clinic_appointments[[#This Row],[billing_amount]] &lt; 200, "Low", IF(messy_clinic_appointments[[#This Row],[billing_amount]]&lt;= 400, "Medium", "High"))</f>
        <v>High</v>
      </c>
      <c r="K147" s="14" t="s">
        <v>2026</v>
      </c>
      <c r="L147" s="2">
        <f>DATEDIF(messy_clinic_appointments[[#This Row],[booking_date]],messy_clinic_appointments[[#This Row],[appointment_date]],"d")</f>
        <v>599</v>
      </c>
      <c r="M147" s="14" t="str">
        <f>IF(messy_clinic_appointments[[#This Row],[days_to_appointment]]&gt;365, "Review", "OK")</f>
        <v>Review</v>
      </c>
    </row>
    <row r="148" spans="1:13" x14ac:dyDescent="0.25">
      <c r="A148">
        <v>1021</v>
      </c>
      <c r="B148" s="14" t="s">
        <v>306</v>
      </c>
      <c r="C148">
        <v>38</v>
      </c>
      <c r="D148" s="14" t="s">
        <v>30</v>
      </c>
      <c r="E148" s="1">
        <v>45962</v>
      </c>
      <c r="F148" s="1">
        <v>45437</v>
      </c>
      <c r="G148" s="14" t="s">
        <v>307</v>
      </c>
      <c r="H148" s="14" t="s">
        <v>18</v>
      </c>
      <c r="I148" s="14" t="s">
        <v>2156</v>
      </c>
      <c r="J148" s="14" t="str">
        <f>IF(messy_clinic_appointments[[#This Row],[billing_amount]] &lt; 200, "Low", IF(messy_clinic_appointments[[#This Row],[billing_amount]]&lt;= 400, "Medium", "High"))</f>
        <v>High</v>
      </c>
      <c r="K148" s="14" t="s">
        <v>28</v>
      </c>
      <c r="L148" s="2">
        <f>DATEDIF(messy_clinic_appointments[[#This Row],[booking_date]],messy_clinic_appointments[[#This Row],[appointment_date]],"d")</f>
        <v>525</v>
      </c>
      <c r="M148" s="14" t="str">
        <f>IF(messy_clinic_appointments[[#This Row],[days_to_appointment]]&gt;365, "Review", "OK")</f>
        <v>Review</v>
      </c>
    </row>
    <row r="149" spans="1:13" x14ac:dyDescent="0.25">
      <c r="A149">
        <v>1072</v>
      </c>
      <c r="B149" s="14" t="s">
        <v>308</v>
      </c>
      <c r="C149">
        <v>37</v>
      </c>
      <c r="D149" s="14" t="s">
        <v>2022</v>
      </c>
      <c r="E149" s="1">
        <v>45883</v>
      </c>
      <c r="F149" s="1">
        <v>45880</v>
      </c>
      <c r="G149" s="14" t="s">
        <v>309</v>
      </c>
      <c r="H149" s="14" t="s">
        <v>12</v>
      </c>
      <c r="I149" s="14" t="s">
        <v>2157</v>
      </c>
      <c r="J149" s="14" t="str">
        <f>IF(messy_clinic_appointments[[#This Row],[billing_amount]] &lt; 200, "Low", IF(messy_clinic_appointments[[#This Row],[billing_amount]]&lt;= 400, "Medium", "High"))</f>
        <v>High</v>
      </c>
      <c r="K149" s="14" t="s">
        <v>2039</v>
      </c>
      <c r="L149" s="2">
        <f>DATEDIF(messy_clinic_appointments[[#This Row],[booking_date]],messy_clinic_appointments[[#This Row],[appointment_date]],"d")</f>
        <v>3</v>
      </c>
      <c r="M149" s="14" t="str">
        <f>IF(messy_clinic_appointments[[#This Row],[days_to_appointment]]&gt;365, "Review", "OK")</f>
        <v>OK</v>
      </c>
    </row>
    <row r="150" spans="1:13" x14ac:dyDescent="0.25">
      <c r="A150">
        <v>1011</v>
      </c>
      <c r="B150" s="14" t="s">
        <v>310</v>
      </c>
      <c r="C150">
        <v>66</v>
      </c>
      <c r="D150" s="14" t="s">
        <v>50</v>
      </c>
      <c r="E150" s="1">
        <v>45776</v>
      </c>
      <c r="F150" s="1">
        <v>45754</v>
      </c>
      <c r="G150" s="14" t="s">
        <v>311</v>
      </c>
      <c r="H150" s="14" t="s">
        <v>21</v>
      </c>
      <c r="I150" s="14" t="s">
        <v>2158</v>
      </c>
      <c r="J150" s="14" t="str">
        <f>IF(messy_clinic_appointments[[#This Row],[billing_amount]] &lt; 200, "Low", IF(messy_clinic_appointments[[#This Row],[billing_amount]]&lt;= 400, "Medium", "High"))</f>
        <v>High</v>
      </c>
      <c r="K150" s="14" t="s">
        <v>2010</v>
      </c>
      <c r="L150" s="2">
        <f>DATEDIF(messy_clinic_appointments[[#This Row],[booking_date]],messy_clinic_appointments[[#This Row],[appointment_date]],"d")</f>
        <v>22</v>
      </c>
      <c r="M150" s="14" t="str">
        <f>IF(messy_clinic_appointments[[#This Row],[days_to_appointment]]&gt;365, "Review", "OK")</f>
        <v>OK</v>
      </c>
    </row>
    <row r="151" spans="1:13" x14ac:dyDescent="0.25">
      <c r="A151">
        <v>1097</v>
      </c>
      <c r="B151" s="14" t="s">
        <v>312</v>
      </c>
      <c r="C151">
        <v>48</v>
      </c>
      <c r="D151" s="14" t="s">
        <v>2039</v>
      </c>
      <c r="E151" s="1">
        <v>45914</v>
      </c>
      <c r="F151" s="1">
        <v>45624</v>
      </c>
      <c r="G151" s="14" t="s">
        <v>313</v>
      </c>
      <c r="H151" s="14" t="s">
        <v>12</v>
      </c>
      <c r="I151" s="14" t="s">
        <v>2159</v>
      </c>
      <c r="J151" s="14" t="str">
        <f>IF(messy_clinic_appointments[[#This Row],[billing_amount]] &lt; 200, "Low", IF(messy_clinic_appointments[[#This Row],[billing_amount]]&lt;= 400, "Medium", "High"))</f>
        <v>High</v>
      </c>
      <c r="K151" s="14" t="s">
        <v>2026</v>
      </c>
      <c r="L151" s="2">
        <f>DATEDIF(messy_clinic_appointments[[#This Row],[booking_date]],messy_clinic_appointments[[#This Row],[appointment_date]],"d")</f>
        <v>290</v>
      </c>
      <c r="M151" s="14" t="str">
        <f>IF(messy_clinic_appointments[[#This Row],[days_to_appointment]]&gt;365, "Review", "OK")</f>
        <v>OK</v>
      </c>
    </row>
    <row r="152" spans="1:13" x14ac:dyDescent="0.25">
      <c r="A152">
        <v>1028</v>
      </c>
      <c r="B152" s="14" t="s">
        <v>314</v>
      </c>
      <c r="C152">
        <v>56</v>
      </c>
      <c r="D152" s="14" t="s">
        <v>2022</v>
      </c>
      <c r="E152" s="1">
        <v>45960</v>
      </c>
      <c r="F152" s="1">
        <v>45430</v>
      </c>
      <c r="G152" s="14" t="s">
        <v>315</v>
      </c>
      <c r="H152" s="14" t="s">
        <v>15</v>
      </c>
      <c r="I152" s="14" t="s">
        <v>2160</v>
      </c>
      <c r="J152" s="14" t="str">
        <f>IF(messy_clinic_appointments[[#This Row],[billing_amount]] &lt; 200, "Low", IF(messy_clinic_appointments[[#This Row],[billing_amount]]&lt;= 400, "Medium", "High"))</f>
        <v>High</v>
      </c>
      <c r="K152" s="14" t="s">
        <v>2026</v>
      </c>
      <c r="L152" s="2">
        <f>DATEDIF(messy_clinic_appointments[[#This Row],[booking_date]],messy_clinic_appointments[[#This Row],[appointment_date]],"d")</f>
        <v>530</v>
      </c>
      <c r="M152" s="14" t="str">
        <f>IF(messy_clinic_appointments[[#This Row],[days_to_appointment]]&gt;365, "Review", "OK")</f>
        <v>Review</v>
      </c>
    </row>
    <row r="153" spans="1:13" x14ac:dyDescent="0.25">
      <c r="A153">
        <v>1057</v>
      </c>
      <c r="B153" s="14" t="s">
        <v>316</v>
      </c>
      <c r="C153">
        <v>32</v>
      </c>
      <c r="D153" s="14" t="s">
        <v>50</v>
      </c>
      <c r="E153" s="1">
        <v>45746</v>
      </c>
      <c r="F153" s="1">
        <v>45415</v>
      </c>
      <c r="G153" s="14" t="s">
        <v>317</v>
      </c>
      <c r="H153" s="14" t="s">
        <v>21</v>
      </c>
      <c r="I153" s="14" t="s">
        <v>2161</v>
      </c>
      <c r="J153" s="14" t="str">
        <f>IF(messy_clinic_appointments[[#This Row],[billing_amount]] &lt; 200, "Low", IF(messy_clinic_appointments[[#This Row],[billing_amount]]&lt;= 400, "Medium", "High"))</f>
        <v>High</v>
      </c>
      <c r="K153" s="14" t="s">
        <v>2010</v>
      </c>
      <c r="L153" s="2">
        <f>DATEDIF(messy_clinic_appointments[[#This Row],[booking_date]],messy_clinic_appointments[[#This Row],[appointment_date]],"d")</f>
        <v>331</v>
      </c>
      <c r="M153" s="14" t="str">
        <f>IF(messy_clinic_appointments[[#This Row],[days_to_appointment]]&gt;365, "Review", "OK")</f>
        <v>OK</v>
      </c>
    </row>
    <row r="154" spans="1:13" x14ac:dyDescent="0.25">
      <c r="A154">
        <v>1002</v>
      </c>
      <c r="B154" s="14" t="s">
        <v>318</v>
      </c>
      <c r="C154">
        <v>87</v>
      </c>
      <c r="D154" s="14" t="s">
        <v>2014</v>
      </c>
      <c r="E154" s="1">
        <v>45755</v>
      </c>
      <c r="F154" s="1">
        <v>45630</v>
      </c>
      <c r="G154" s="14" t="s">
        <v>319</v>
      </c>
      <c r="H154" s="14" t="s">
        <v>12</v>
      </c>
      <c r="I154" s="14" t="s">
        <v>2162</v>
      </c>
      <c r="J154" s="14" t="str">
        <f>IF(messy_clinic_appointments[[#This Row],[billing_amount]] &lt; 200, "Low", IF(messy_clinic_appointments[[#This Row],[billing_amount]]&lt;= 400, "Medium", "High"))</f>
        <v>High</v>
      </c>
      <c r="K154" s="14" t="s">
        <v>28</v>
      </c>
      <c r="L154" s="2">
        <f>DATEDIF(messy_clinic_appointments[[#This Row],[booking_date]],messy_clinic_appointments[[#This Row],[appointment_date]],"d")</f>
        <v>125</v>
      </c>
      <c r="M154" s="14" t="str">
        <f>IF(messy_clinic_appointments[[#This Row],[days_to_appointment]]&gt;365, "Review", "OK")</f>
        <v>OK</v>
      </c>
    </row>
    <row r="155" spans="1:13" x14ac:dyDescent="0.25">
      <c r="A155">
        <v>1065</v>
      </c>
      <c r="B155" s="14" t="s">
        <v>320</v>
      </c>
      <c r="C155">
        <v>18</v>
      </c>
      <c r="D155" s="14" t="s">
        <v>2039</v>
      </c>
      <c r="E155" s="1">
        <v>45955</v>
      </c>
      <c r="F155" s="1">
        <v>45538</v>
      </c>
      <c r="G155" s="14" t="s">
        <v>321</v>
      </c>
      <c r="H155" s="14" t="s">
        <v>18</v>
      </c>
      <c r="I155" s="14" t="s">
        <v>2163</v>
      </c>
      <c r="J155" s="14" t="str">
        <f>IF(messy_clinic_appointments[[#This Row],[billing_amount]] &lt; 200, "Low", IF(messy_clinic_appointments[[#This Row],[billing_amount]]&lt;= 400, "Medium", "High"))</f>
        <v>High</v>
      </c>
      <c r="K155" s="14" t="s">
        <v>2039</v>
      </c>
      <c r="L155" s="2">
        <f>DATEDIF(messy_clinic_appointments[[#This Row],[booking_date]],messy_clinic_appointments[[#This Row],[appointment_date]],"d")</f>
        <v>417</v>
      </c>
      <c r="M155" s="14" t="str">
        <f>IF(messy_clinic_appointments[[#This Row],[days_to_appointment]]&gt;365, "Review", "OK")</f>
        <v>Review</v>
      </c>
    </row>
    <row r="156" spans="1:13" x14ac:dyDescent="0.25">
      <c r="A156">
        <v>1026</v>
      </c>
      <c r="B156" s="14" t="s">
        <v>322</v>
      </c>
      <c r="C156">
        <v>87</v>
      </c>
      <c r="D156" s="14" t="s">
        <v>2010</v>
      </c>
      <c r="E156" s="1">
        <v>46056</v>
      </c>
      <c r="F156" s="1">
        <v>45850</v>
      </c>
      <c r="G156" s="14" t="s">
        <v>323</v>
      </c>
      <c r="H156" s="14" t="s">
        <v>18</v>
      </c>
      <c r="I156" s="14" t="s">
        <v>2164</v>
      </c>
      <c r="J156" s="14" t="str">
        <f>IF(messy_clinic_appointments[[#This Row],[billing_amount]] &lt; 200, "Low", IF(messy_clinic_appointments[[#This Row],[billing_amount]]&lt;= 400, "Medium", "High"))</f>
        <v>High</v>
      </c>
      <c r="K156" s="14" t="s">
        <v>2013</v>
      </c>
      <c r="L156" s="2">
        <f>DATEDIF(messy_clinic_appointments[[#This Row],[booking_date]],messy_clinic_appointments[[#This Row],[appointment_date]],"d")</f>
        <v>206</v>
      </c>
      <c r="M156" s="14" t="str">
        <f>IF(messy_clinic_appointments[[#This Row],[days_to_appointment]]&gt;365, "Review", "OK")</f>
        <v>OK</v>
      </c>
    </row>
    <row r="157" spans="1:13" x14ac:dyDescent="0.25">
      <c r="A157">
        <v>1100</v>
      </c>
      <c r="B157" s="14" t="s">
        <v>324</v>
      </c>
      <c r="C157">
        <v>62</v>
      </c>
      <c r="D157" s="14" t="s">
        <v>2039</v>
      </c>
      <c r="E157" s="1">
        <v>45750</v>
      </c>
      <c r="F157" s="1">
        <v>45734</v>
      </c>
      <c r="G157" s="14" t="s">
        <v>325</v>
      </c>
      <c r="H157" s="14" t="s">
        <v>15</v>
      </c>
      <c r="I157" s="14" t="s">
        <v>2165</v>
      </c>
      <c r="J157" s="14" t="str">
        <f>IF(messy_clinic_appointments[[#This Row],[billing_amount]] &lt; 200, "Low", IF(messy_clinic_appointments[[#This Row],[billing_amount]]&lt;= 400, "Medium", "High"))</f>
        <v>High</v>
      </c>
      <c r="K157" s="14" t="s">
        <v>2013</v>
      </c>
      <c r="L157" s="2">
        <f>DATEDIF(messy_clinic_appointments[[#This Row],[booking_date]],messy_clinic_appointments[[#This Row],[appointment_date]],"d")</f>
        <v>16</v>
      </c>
      <c r="M157" s="14" t="str">
        <f>IF(messy_clinic_appointments[[#This Row],[days_to_appointment]]&gt;365, "Review", "OK")</f>
        <v>OK</v>
      </c>
    </row>
    <row r="158" spans="1:13" x14ac:dyDescent="0.25">
      <c r="A158">
        <v>1066</v>
      </c>
      <c r="B158" s="14" t="s">
        <v>326</v>
      </c>
      <c r="C158">
        <v>86</v>
      </c>
      <c r="D158" s="14" t="s">
        <v>2011</v>
      </c>
      <c r="E158" s="1">
        <v>46071</v>
      </c>
      <c r="F158" s="1">
        <v>45577</v>
      </c>
      <c r="G158" s="14" t="s">
        <v>327</v>
      </c>
      <c r="H158" s="14" t="s">
        <v>12</v>
      </c>
      <c r="I158" s="14" t="s">
        <v>2166</v>
      </c>
      <c r="J158" s="14" t="str">
        <f>IF(messy_clinic_appointments[[#This Row],[billing_amount]] &lt; 200, "Low", IF(messy_clinic_appointments[[#This Row],[billing_amount]]&lt;= 400, "Medium", "High"))</f>
        <v>High</v>
      </c>
      <c r="K158" s="14" t="s">
        <v>2010</v>
      </c>
      <c r="L158" s="2">
        <f>DATEDIF(messy_clinic_appointments[[#This Row],[booking_date]],messy_clinic_appointments[[#This Row],[appointment_date]],"d")</f>
        <v>494</v>
      </c>
      <c r="M158" s="14" t="str">
        <f>IF(messy_clinic_appointments[[#This Row],[days_to_appointment]]&gt;365, "Review", "OK")</f>
        <v>Review</v>
      </c>
    </row>
    <row r="159" spans="1:13" x14ac:dyDescent="0.25">
      <c r="A159">
        <v>1025</v>
      </c>
      <c r="B159" s="14" t="s">
        <v>328</v>
      </c>
      <c r="C159">
        <v>25</v>
      </c>
      <c r="D159" s="14" t="s">
        <v>2022</v>
      </c>
      <c r="E159" s="1">
        <v>45938</v>
      </c>
      <c r="F159" s="1">
        <v>45740</v>
      </c>
      <c r="G159" s="14" t="s">
        <v>329</v>
      </c>
      <c r="H159" s="14" t="s">
        <v>15</v>
      </c>
      <c r="I159" s="14" t="s">
        <v>2167</v>
      </c>
      <c r="J159" s="14" t="str">
        <f>IF(messy_clinic_appointments[[#This Row],[billing_amount]] &lt; 200, "Low", IF(messy_clinic_appointments[[#This Row],[billing_amount]]&lt;= 400, "Medium", "High"))</f>
        <v>High</v>
      </c>
      <c r="K159" s="14" t="s">
        <v>2039</v>
      </c>
      <c r="L159" s="2">
        <f>DATEDIF(messy_clinic_appointments[[#This Row],[booking_date]],messy_clinic_appointments[[#This Row],[appointment_date]],"d")</f>
        <v>198</v>
      </c>
      <c r="M159" s="14" t="str">
        <f>IF(messy_clinic_appointments[[#This Row],[days_to_appointment]]&gt;365, "Review", "OK")</f>
        <v>OK</v>
      </c>
    </row>
    <row r="160" spans="1:13" x14ac:dyDescent="0.25">
      <c r="A160">
        <v>1038</v>
      </c>
      <c r="B160" s="14" t="s">
        <v>330</v>
      </c>
      <c r="C160">
        <v>46</v>
      </c>
      <c r="D160" s="14" t="s">
        <v>30</v>
      </c>
      <c r="E160" s="1">
        <v>45904</v>
      </c>
      <c r="F160" s="1">
        <v>45785</v>
      </c>
      <c r="G160" s="14" t="s">
        <v>331</v>
      </c>
      <c r="H160" s="14" t="s">
        <v>15</v>
      </c>
      <c r="I160" s="14" t="s">
        <v>2168</v>
      </c>
      <c r="J160" s="14" t="str">
        <f>IF(messy_clinic_appointments[[#This Row],[billing_amount]] &lt; 200, "Low", IF(messy_clinic_appointments[[#This Row],[billing_amount]]&lt;= 400, "Medium", "High"))</f>
        <v>High</v>
      </c>
      <c r="K160" s="14" t="s">
        <v>2010</v>
      </c>
      <c r="L160" s="2">
        <f>DATEDIF(messy_clinic_appointments[[#This Row],[booking_date]],messy_clinic_appointments[[#This Row],[appointment_date]],"d")</f>
        <v>119</v>
      </c>
      <c r="M160" s="14" t="str">
        <f>IF(messy_clinic_appointments[[#This Row],[days_to_appointment]]&gt;365, "Review", "OK")</f>
        <v>OK</v>
      </c>
    </row>
    <row r="161" spans="1:13" x14ac:dyDescent="0.25">
      <c r="A161">
        <v>1038</v>
      </c>
      <c r="B161" s="14" t="s">
        <v>332</v>
      </c>
      <c r="C161">
        <v>39</v>
      </c>
      <c r="D161" s="14" t="s">
        <v>2022</v>
      </c>
      <c r="E161" s="1">
        <v>45953</v>
      </c>
      <c r="F161" s="1">
        <v>45856</v>
      </c>
      <c r="G161" s="14" t="s">
        <v>333</v>
      </c>
      <c r="H161" s="14" t="s">
        <v>15</v>
      </c>
      <c r="I161" s="14" t="s">
        <v>24</v>
      </c>
      <c r="J161" s="14" t="str">
        <f>IF(messy_clinic_appointments[[#This Row],[billing_amount]] &lt; 200, "Low", IF(messy_clinic_appointments[[#This Row],[billing_amount]]&lt;= 400, "Medium", "High"))</f>
        <v>High</v>
      </c>
      <c r="K161" s="14" t="s">
        <v>2039</v>
      </c>
      <c r="L161" s="2">
        <f>DATEDIF(messy_clinic_appointments[[#This Row],[booking_date]],messy_clinic_appointments[[#This Row],[appointment_date]],"d")</f>
        <v>97</v>
      </c>
      <c r="M161" s="14" t="str">
        <f>IF(messy_clinic_appointments[[#This Row],[days_to_appointment]]&gt;365, "Review", "OK")</f>
        <v>OK</v>
      </c>
    </row>
    <row r="162" spans="1:13" x14ac:dyDescent="0.25">
      <c r="A162">
        <v>1000</v>
      </c>
      <c r="B162" s="14" t="s">
        <v>334</v>
      </c>
      <c r="C162">
        <v>81</v>
      </c>
      <c r="D162" s="14" t="s">
        <v>2011</v>
      </c>
      <c r="E162" s="1">
        <v>45956</v>
      </c>
      <c r="F162" s="1">
        <v>45707</v>
      </c>
      <c r="G162" s="14" t="s">
        <v>335</v>
      </c>
      <c r="H162" s="14" t="s">
        <v>21</v>
      </c>
      <c r="I162" s="14" t="s">
        <v>2169</v>
      </c>
      <c r="J162" s="14" t="str">
        <f>IF(messy_clinic_appointments[[#This Row],[billing_amount]] &lt; 200, "Low", IF(messy_clinic_appointments[[#This Row],[billing_amount]]&lt;= 400, "Medium", "High"))</f>
        <v>High</v>
      </c>
      <c r="K162" s="14" t="s">
        <v>2010</v>
      </c>
      <c r="L162" s="2">
        <f>DATEDIF(messy_clinic_appointments[[#This Row],[booking_date]],messy_clinic_appointments[[#This Row],[appointment_date]],"d")</f>
        <v>249</v>
      </c>
      <c r="M162" s="14" t="str">
        <f>IF(messy_clinic_appointments[[#This Row],[days_to_appointment]]&gt;365, "Review", "OK")</f>
        <v>OK</v>
      </c>
    </row>
    <row r="163" spans="1:13" x14ac:dyDescent="0.25">
      <c r="A163">
        <v>1008</v>
      </c>
      <c r="B163" s="14" t="s">
        <v>336</v>
      </c>
      <c r="C163">
        <v>69</v>
      </c>
      <c r="D163" s="14" t="s">
        <v>2039</v>
      </c>
      <c r="E163" s="1">
        <v>45785</v>
      </c>
      <c r="F163" s="1">
        <v>45681</v>
      </c>
      <c r="G163" s="14" t="s">
        <v>337</v>
      </c>
      <c r="H163" s="14" t="s">
        <v>18</v>
      </c>
      <c r="I163" s="14" t="s">
        <v>2170</v>
      </c>
      <c r="J163" s="14" t="str">
        <f>IF(messy_clinic_appointments[[#This Row],[billing_amount]] &lt; 200, "Low", IF(messy_clinic_appointments[[#This Row],[billing_amount]]&lt;= 400, "Medium", "High"))</f>
        <v>High</v>
      </c>
      <c r="K163" s="14" t="s">
        <v>28</v>
      </c>
      <c r="L163" s="2">
        <f>DATEDIF(messy_clinic_appointments[[#This Row],[booking_date]],messy_clinic_appointments[[#This Row],[appointment_date]],"d")</f>
        <v>104</v>
      </c>
      <c r="M163" s="14" t="str">
        <f>IF(messy_clinic_appointments[[#This Row],[days_to_appointment]]&gt;365, "Review", "OK")</f>
        <v>OK</v>
      </c>
    </row>
    <row r="164" spans="1:13" x14ac:dyDescent="0.25">
      <c r="A164">
        <v>1078</v>
      </c>
      <c r="B164" s="14" t="s">
        <v>338</v>
      </c>
      <c r="C164">
        <v>54</v>
      </c>
      <c r="D164" s="14" t="s">
        <v>2039</v>
      </c>
      <c r="E164" s="1">
        <v>45867</v>
      </c>
      <c r="F164" s="1">
        <v>45449</v>
      </c>
      <c r="G164" s="14" t="s">
        <v>339</v>
      </c>
      <c r="H164" s="14" t="s">
        <v>18</v>
      </c>
      <c r="I164" s="14" t="s">
        <v>2171</v>
      </c>
      <c r="J164" s="14" t="str">
        <f>IF(messy_clinic_appointments[[#This Row],[billing_amount]] &lt; 200, "Low", IF(messy_clinic_appointments[[#This Row],[billing_amount]]&lt;= 400, "Medium", "High"))</f>
        <v>High</v>
      </c>
      <c r="K164" s="14" t="s">
        <v>22</v>
      </c>
      <c r="L164" s="2">
        <f>DATEDIF(messy_clinic_appointments[[#This Row],[booking_date]],messy_clinic_appointments[[#This Row],[appointment_date]],"d")</f>
        <v>418</v>
      </c>
      <c r="M164" s="14" t="str">
        <f>IF(messy_clinic_appointments[[#This Row],[days_to_appointment]]&gt;365, "Review", "OK")</f>
        <v>Review</v>
      </c>
    </row>
    <row r="165" spans="1:13" x14ac:dyDescent="0.25">
      <c r="A165">
        <v>1038</v>
      </c>
      <c r="B165" s="14" t="s">
        <v>340</v>
      </c>
      <c r="C165">
        <v>79</v>
      </c>
      <c r="D165" s="14" t="s">
        <v>2011</v>
      </c>
      <c r="E165" s="1">
        <v>45790</v>
      </c>
      <c r="F165" s="1">
        <v>45537</v>
      </c>
      <c r="G165" s="14" t="s">
        <v>341</v>
      </c>
      <c r="H165" s="14" t="s">
        <v>15</v>
      </c>
      <c r="I165" s="14" t="s">
        <v>2172</v>
      </c>
      <c r="J165" s="14" t="str">
        <f>IF(messy_clinic_appointments[[#This Row],[billing_amount]] &lt; 200, "Low", IF(messy_clinic_appointments[[#This Row],[billing_amount]]&lt;= 400, "Medium", "High"))</f>
        <v>High</v>
      </c>
      <c r="K165" s="14" t="s">
        <v>22</v>
      </c>
      <c r="L165" s="2">
        <f>DATEDIF(messy_clinic_appointments[[#This Row],[booking_date]],messy_clinic_appointments[[#This Row],[appointment_date]],"d")</f>
        <v>253</v>
      </c>
      <c r="M165" s="14" t="str">
        <f>IF(messy_clinic_appointments[[#This Row],[days_to_appointment]]&gt;365, "Review", "OK")</f>
        <v>OK</v>
      </c>
    </row>
    <row r="166" spans="1:13" x14ac:dyDescent="0.25">
      <c r="A166">
        <v>1082</v>
      </c>
      <c r="B166" s="14" t="s">
        <v>342</v>
      </c>
      <c r="C166">
        <v>87</v>
      </c>
      <c r="D166" s="14" t="s">
        <v>24</v>
      </c>
      <c r="E166" s="1">
        <v>45742</v>
      </c>
      <c r="F166" s="1">
        <v>45377</v>
      </c>
      <c r="G166" s="14" t="s">
        <v>343</v>
      </c>
      <c r="H166" s="14" t="s">
        <v>15</v>
      </c>
      <c r="I166" s="14" t="s">
        <v>2173</v>
      </c>
      <c r="J166" s="14" t="str">
        <f>IF(messy_clinic_appointments[[#This Row],[billing_amount]] &lt; 200, "Low", IF(messy_clinic_appointments[[#This Row],[billing_amount]]&lt;= 400, "Medium", "High"))</f>
        <v>High</v>
      </c>
      <c r="K166" s="14" t="s">
        <v>28</v>
      </c>
      <c r="L166" s="2">
        <f>DATEDIF(messy_clinic_appointments[[#This Row],[booking_date]],messy_clinic_appointments[[#This Row],[appointment_date]],"d")</f>
        <v>365</v>
      </c>
      <c r="M166" s="14" t="str">
        <f>IF(messy_clinic_appointments[[#This Row],[days_to_appointment]]&gt;365, "Review", "OK")</f>
        <v>OK</v>
      </c>
    </row>
    <row r="167" spans="1:13" x14ac:dyDescent="0.25">
      <c r="A167">
        <v>1028</v>
      </c>
      <c r="B167" s="14" t="s">
        <v>344</v>
      </c>
      <c r="C167">
        <v>24</v>
      </c>
      <c r="D167" s="14" t="s">
        <v>2022</v>
      </c>
      <c r="E167" s="1">
        <v>46010</v>
      </c>
      <c r="F167" s="1">
        <v>45839</v>
      </c>
      <c r="G167" s="14" t="s">
        <v>345</v>
      </c>
      <c r="H167" s="14" t="s">
        <v>21</v>
      </c>
      <c r="I167" s="14" t="s">
        <v>2174</v>
      </c>
      <c r="J167" s="14" t="str">
        <f>IF(messy_clinic_appointments[[#This Row],[billing_amount]] &lt; 200, "Low", IF(messy_clinic_appointments[[#This Row],[billing_amount]]&lt;= 400, "Medium", "High"))</f>
        <v>High</v>
      </c>
      <c r="K167" s="14" t="s">
        <v>28</v>
      </c>
      <c r="L167" s="2">
        <f>DATEDIF(messy_clinic_appointments[[#This Row],[booking_date]],messy_clinic_appointments[[#This Row],[appointment_date]],"d")</f>
        <v>171</v>
      </c>
      <c r="M167" s="14" t="str">
        <f>IF(messy_clinic_appointments[[#This Row],[days_to_appointment]]&gt;365, "Review", "OK")</f>
        <v>OK</v>
      </c>
    </row>
    <row r="168" spans="1:13" x14ac:dyDescent="0.25">
      <c r="A168">
        <v>1048</v>
      </c>
      <c r="B168" s="14" t="s">
        <v>346</v>
      </c>
      <c r="C168">
        <v>77</v>
      </c>
      <c r="D168" s="14" t="s">
        <v>2008</v>
      </c>
      <c r="E168" s="1">
        <v>45951</v>
      </c>
      <c r="F168" s="1">
        <v>45491</v>
      </c>
      <c r="G168" s="14" t="s">
        <v>347</v>
      </c>
      <c r="H168" s="14" t="s">
        <v>21</v>
      </c>
      <c r="I168" s="14" t="s">
        <v>2175</v>
      </c>
      <c r="J168" s="14" t="str">
        <f>IF(messy_clinic_appointments[[#This Row],[billing_amount]] &lt; 200, "Low", IF(messy_clinic_appointments[[#This Row],[billing_amount]]&lt;= 400, "Medium", "High"))</f>
        <v>High</v>
      </c>
      <c r="K168" s="14" t="s">
        <v>2026</v>
      </c>
      <c r="L168" s="2">
        <f>DATEDIF(messy_clinic_appointments[[#This Row],[booking_date]],messy_clinic_appointments[[#This Row],[appointment_date]],"d")</f>
        <v>460</v>
      </c>
      <c r="M168" s="14" t="str">
        <f>IF(messy_clinic_appointments[[#This Row],[days_to_appointment]]&gt;365, "Review", "OK")</f>
        <v>Review</v>
      </c>
    </row>
    <row r="169" spans="1:13" x14ac:dyDescent="0.25">
      <c r="A169">
        <v>1035</v>
      </c>
      <c r="B169" s="14" t="s">
        <v>348</v>
      </c>
      <c r="C169">
        <v>60</v>
      </c>
      <c r="D169" s="14" t="s">
        <v>2010</v>
      </c>
      <c r="E169" s="1">
        <v>45974</v>
      </c>
      <c r="F169" s="1">
        <v>45831</v>
      </c>
      <c r="G169" s="14" t="s">
        <v>349</v>
      </c>
      <c r="H169" s="14" t="s">
        <v>12</v>
      </c>
      <c r="I169" s="14" t="s">
        <v>2176</v>
      </c>
      <c r="J169" s="14" t="str">
        <f>IF(messy_clinic_appointments[[#This Row],[billing_amount]] &lt; 200, "Low", IF(messy_clinic_appointments[[#This Row],[billing_amount]]&lt;= 400, "Medium", "High"))</f>
        <v>High</v>
      </c>
      <c r="K169" s="14" t="s">
        <v>2026</v>
      </c>
      <c r="L169" s="2">
        <f>DATEDIF(messy_clinic_appointments[[#This Row],[booking_date]],messy_clinic_appointments[[#This Row],[appointment_date]],"d")</f>
        <v>143</v>
      </c>
      <c r="M169" s="14" t="str">
        <f>IF(messy_clinic_appointments[[#This Row],[days_to_appointment]]&gt;365, "Review", "OK")</f>
        <v>OK</v>
      </c>
    </row>
    <row r="170" spans="1:13" x14ac:dyDescent="0.25">
      <c r="A170">
        <v>1010</v>
      </c>
      <c r="B170" s="14" t="s">
        <v>350</v>
      </c>
      <c r="C170">
        <v>57</v>
      </c>
      <c r="D170" s="14" t="s">
        <v>50</v>
      </c>
      <c r="E170" s="1">
        <v>45802</v>
      </c>
      <c r="F170" s="1">
        <v>45744</v>
      </c>
      <c r="G170" s="14" t="s">
        <v>351</v>
      </c>
      <c r="H170" s="14" t="s">
        <v>21</v>
      </c>
      <c r="I170" s="14" t="s">
        <v>2177</v>
      </c>
      <c r="J170" s="14" t="str">
        <f>IF(messy_clinic_appointments[[#This Row],[billing_amount]] &lt; 200, "Low", IF(messy_clinic_appointments[[#This Row],[billing_amount]]&lt;= 400, "Medium", "High"))</f>
        <v>High</v>
      </c>
      <c r="K170" s="14" t="s">
        <v>2013</v>
      </c>
      <c r="L170" s="2">
        <f>DATEDIF(messy_clinic_appointments[[#This Row],[booking_date]],messy_clinic_appointments[[#This Row],[appointment_date]],"d")</f>
        <v>58</v>
      </c>
      <c r="M170" s="14" t="str">
        <f>IF(messy_clinic_appointments[[#This Row],[days_to_appointment]]&gt;365, "Review", "OK")</f>
        <v>OK</v>
      </c>
    </row>
    <row r="171" spans="1:13" x14ac:dyDescent="0.25">
      <c r="A171">
        <v>1043</v>
      </c>
      <c r="B171" s="14" t="s">
        <v>352</v>
      </c>
      <c r="C171">
        <v>69</v>
      </c>
      <c r="D171" s="14" t="s">
        <v>2022</v>
      </c>
      <c r="E171" s="1">
        <v>45783</v>
      </c>
      <c r="F171" s="1">
        <v>45563</v>
      </c>
      <c r="G171" s="14" t="s">
        <v>353</v>
      </c>
      <c r="H171" s="14" t="s">
        <v>12</v>
      </c>
      <c r="I171" s="14" t="s">
        <v>2178</v>
      </c>
      <c r="J171" s="14" t="str">
        <f>IF(messy_clinic_appointments[[#This Row],[billing_amount]] &lt; 200, "Low", IF(messy_clinic_appointments[[#This Row],[billing_amount]]&lt;= 400, "Medium", "High"))</f>
        <v>High</v>
      </c>
      <c r="K171" s="14" t="s">
        <v>28</v>
      </c>
      <c r="L171" s="2">
        <f>DATEDIF(messy_clinic_appointments[[#This Row],[booking_date]],messy_clinic_appointments[[#This Row],[appointment_date]],"d")</f>
        <v>220</v>
      </c>
      <c r="M171" s="14" t="str">
        <f>IF(messy_clinic_appointments[[#This Row],[days_to_appointment]]&gt;365, "Review", "OK")</f>
        <v>OK</v>
      </c>
    </row>
    <row r="172" spans="1:13" x14ac:dyDescent="0.25">
      <c r="A172">
        <v>1083</v>
      </c>
      <c r="B172" s="14" t="s">
        <v>354</v>
      </c>
      <c r="C172">
        <v>58</v>
      </c>
      <c r="D172" s="14" t="s">
        <v>2014</v>
      </c>
      <c r="E172" s="1">
        <v>46039</v>
      </c>
      <c r="F172" s="1">
        <v>45859</v>
      </c>
      <c r="G172" s="14" t="s">
        <v>355</v>
      </c>
      <c r="H172" s="14" t="s">
        <v>12</v>
      </c>
      <c r="I172" s="14" t="s">
        <v>2179</v>
      </c>
      <c r="J172" s="14" t="str">
        <f>IF(messy_clinic_appointments[[#This Row],[billing_amount]] &lt; 200, "Low", IF(messy_clinic_appointments[[#This Row],[billing_amount]]&lt;= 400, "Medium", "High"))</f>
        <v>High</v>
      </c>
      <c r="K172" s="14" t="s">
        <v>2026</v>
      </c>
      <c r="L172" s="2">
        <f>DATEDIF(messy_clinic_appointments[[#This Row],[booking_date]],messy_clinic_appointments[[#This Row],[appointment_date]],"d")</f>
        <v>180</v>
      </c>
      <c r="M172" s="14" t="str">
        <f>IF(messy_clinic_appointments[[#This Row],[days_to_appointment]]&gt;365, "Review", "OK")</f>
        <v>OK</v>
      </c>
    </row>
    <row r="173" spans="1:13" x14ac:dyDescent="0.25">
      <c r="A173">
        <v>1026</v>
      </c>
      <c r="B173" s="14" t="s">
        <v>356</v>
      </c>
      <c r="C173">
        <v>86</v>
      </c>
      <c r="D173" s="14" t="s">
        <v>2011</v>
      </c>
      <c r="E173" s="1">
        <v>46008</v>
      </c>
      <c r="F173" s="1">
        <v>45919</v>
      </c>
      <c r="G173" s="14" t="s">
        <v>357</v>
      </c>
      <c r="H173" s="14" t="s">
        <v>15</v>
      </c>
      <c r="I173" s="14" t="s">
        <v>2180</v>
      </c>
      <c r="J173" s="14" t="str">
        <f>IF(messy_clinic_appointments[[#This Row],[billing_amount]] &lt; 200, "Low", IF(messy_clinic_appointments[[#This Row],[billing_amount]]&lt;= 400, "Medium", "High"))</f>
        <v>High</v>
      </c>
      <c r="K173" s="14" t="s">
        <v>2039</v>
      </c>
      <c r="L173" s="2">
        <f>DATEDIF(messy_clinic_appointments[[#This Row],[booking_date]],messy_clinic_appointments[[#This Row],[appointment_date]],"d")</f>
        <v>89</v>
      </c>
      <c r="M173" s="14" t="str">
        <f>IF(messy_clinic_appointments[[#This Row],[days_to_appointment]]&gt;365, "Review", "OK")</f>
        <v>OK</v>
      </c>
    </row>
    <row r="174" spans="1:13" x14ac:dyDescent="0.25">
      <c r="A174">
        <v>1046</v>
      </c>
      <c r="B174" s="14" t="s">
        <v>358</v>
      </c>
      <c r="C174">
        <v>50</v>
      </c>
      <c r="D174" s="14" t="s">
        <v>2011</v>
      </c>
      <c r="E174" s="1">
        <v>45994</v>
      </c>
      <c r="F174" s="1">
        <v>45506</v>
      </c>
      <c r="G174" s="14" t="s">
        <v>359</v>
      </c>
      <c r="H174" s="14" t="s">
        <v>15</v>
      </c>
      <c r="I174" s="14" t="s">
        <v>2181</v>
      </c>
      <c r="J174" s="14" t="str">
        <f>IF(messy_clinic_appointments[[#This Row],[billing_amount]] &lt; 200, "Low", IF(messy_clinic_appointments[[#This Row],[billing_amount]]&lt;= 400, "Medium", "High"))</f>
        <v>High</v>
      </c>
      <c r="K174" s="14" t="s">
        <v>28</v>
      </c>
      <c r="L174" s="2">
        <f>DATEDIF(messy_clinic_appointments[[#This Row],[booking_date]],messy_clinic_appointments[[#This Row],[appointment_date]],"d")</f>
        <v>488</v>
      </c>
      <c r="M174" s="14" t="str">
        <f>IF(messy_clinic_appointments[[#This Row],[days_to_appointment]]&gt;365, "Review", "OK")</f>
        <v>Review</v>
      </c>
    </row>
    <row r="175" spans="1:13" x14ac:dyDescent="0.25">
      <c r="A175">
        <v>1084</v>
      </c>
      <c r="B175" s="14" t="s">
        <v>360</v>
      </c>
      <c r="C175">
        <v>52</v>
      </c>
      <c r="D175" s="14" t="s">
        <v>24</v>
      </c>
      <c r="E175" s="1">
        <v>46019</v>
      </c>
      <c r="F175" s="1">
        <v>45712</v>
      </c>
      <c r="G175" s="14" t="s">
        <v>361</v>
      </c>
      <c r="H175" s="14" t="s">
        <v>21</v>
      </c>
      <c r="I175" s="14" t="s">
        <v>2182</v>
      </c>
      <c r="J175" s="14" t="str">
        <f>IF(messy_clinic_appointments[[#This Row],[billing_amount]] &lt; 200, "Low", IF(messy_clinic_appointments[[#This Row],[billing_amount]]&lt;= 400, "Medium", "High"))</f>
        <v>High</v>
      </c>
      <c r="K175" s="14" t="s">
        <v>28</v>
      </c>
      <c r="L175" s="2">
        <f>DATEDIF(messy_clinic_appointments[[#This Row],[booking_date]],messy_clinic_appointments[[#This Row],[appointment_date]],"d")</f>
        <v>307</v>
      </c>
      <c r="M175" s="14" t="str">
        <f>IF(messy_clinic_appointments[[#This Row],[days_to_appointment]]&gt;365, "Review", "OK")</f>
        <v>OK</v>
      </c>
    </row>
    <row r="176" spans="1:13" x14ac:dyDescent="0.25">
      <c r="A176">
        <v>1006</v>
      </c>
      <c r="B176" s="14" t="s">
        <v>362</v>
      </c>
      <c r="C176">
        <v>54</v>
      </c>
      <c r="D176" s="14" t="s">
        <v>2008</v>
      </c>
      <c r="E176" s="1">
        <v>46049</v>
      </c>
      <c r="F176" s="1">
        <v>45536</v>
      </c>
      <c r="G176" s="14" t="s">
        <v>363</v>
      </c>
      <c r="H176" s="14" t="s">
        <v>15</v>
      </c>
      <c r="I176" s="14" t="s">
        <v>2183</v>
      </c>
      <c r="J176" s="14" t="str">
        <f>IF(messy_clinic_appointments[[#This Row],[billing_amount]] &lt; 200, "Low", IF(messy_clinic_appointments[[#This Row],[billing_amount]]&lt;= 400, "Medium", "High"))</f>
        <v>High</v>
      </c>
      <c r="K176" s="14" t="s">
        <v>22</v>
      </c>
      <c r="L176" s="2">
        <f>DATEDIF(messy_clinic_appointments[[#This Row],[booking_date]],messy_clinic_appointments[[#This Row],[appointment_date]],"d")</f>
        <v>513</v>
      </c>
      <c r="M176" s="14" t="str">
        <f>IF(messy_clinic_appointments[[#This Row],[days_to_appointment]]&gt;365, "Review", "OK")</f>
        <v>Review</v>
      </c>
    </row>
    <row r="177" spans="1:13" x14ac:dyDescent="0.25">
      <c r="A177">
        <v>1015</v>
      </c>
      <c r="B177" s="14" t="s">
        <v>364</v>
      </c>
      <c r="C177">
        <v>43</v>
      </c>
      <c r="D177" s="14" t="s">
        <v>2039</v>
      </c>
      <c r="E177" s="1">
        <v>45987</v>
      </c>
      <c r="F177" s="1">
        <v>45894</v>
      </c>
      <c r="G177" s="14" t="s">
        <v>365</v>
      </c>
      <c r="H177" s="14" t="s">
        <v>18</v>
      </c>
      <c r="I177" s="14" t="s">
        <v>2184</v>
      </c>
      <c r="J177" s="14" t="str">
        <f>IF(messy_clinic_appointments[[#This Row],[billing_amount]] &lt; 200, "Low", IF(messy_clinic_appointments[[#This Row],[billing_amount]]&lt;= 400, "Medium", "High"))</f>
        <v>High</v>
      </c>
      <c r="K177" s="14" t="s">
        <v>2013</v>
      </c>
      <c r="L177" s="2">
        <f>DATEDIF(messy_clinic_appointments[[#This Row],[booking_date]],messy_clinic_appointments[[#This Row],[appointment_date]],"d")</f>
        <v>93</v>
      </c>
      <c r="M177" s="14" t="str">
        <f>IF(messy_clinic_appointments[[#This Row],[days_to_appointment]]&gt;365, "Review", "OK")</f>
        <v>OK</v>
      </c>
    </row>
    <row r="178" spans="1:13" x14ac:dyDescent="0.25">
      <c r="A178">
        <v>1091</v>
      </c>
      <c r="B178" s="14" t="s">
        <v>366</v>
      </c>
      <c r="C178">
        <v>80</v>
      </c>
      <c r="D178" s="14" t="s">
        <v>50</v>
      </c>
      <c r="E178" s="1">
        <v>45913</v>
      </c>
      <c r="F178" s="1">
        <v>45845</v>
      </c>
      <c r="G178" s="14" t="s">
        <v>367</v>
      </c>
      <c r="H178" s="14" t="s">
        <v>12</v>
      </c>
      <c r="I178" s="14" t="s">
        <v>24</v>
      </c>
      <c r="J178" s="14" t="str">
        <f>IF(messy_clinic_appointments[[#This Row],[billing_amount]] &lt; 200, "Low", IF(messy_clinic_appointments[[#This Row],[billing_amount]]&lt;= 400, "Medium", "High"))</f>
        <v>High</v>
      </c>
      <c r="K178" s="14" t="s">
        <v>2013</v>
      </c>
      <c r="L178" s="2">
        <f>DATEDIF(messy_clinic_appointments[[#This Row],[booking_date]],messy_clinic_appointments[[#This Row],[appointment_date]],"d")</f>
        <v>68</v>
      </c>
      <c r="M178" s="14" t="str">
        <f>IF(messy_clinic_appointments[[#This Row],[days_to_appointment]]&gt;365, "Review", "OK")</f>
        <v>OK</v>
      </c>
    </row>
    <row r="179" spans="1:13" x14ac:dyDescent="0.25">
      <c r="A179">
        <v>1024</v>
      </c>
      <c r="B179" s="14" t="s">
        <v>368</v>
      </c>
      <c r="C179">
        <v>34</v>
      </c>
      <c r="D179" s="14" t="s">
        <v>2014</v>
      </c>
      <c r="E179" s="1">
        <v>46064</v>
      </c>
      <c r="F179" s="1">
        <v>45650</v>
      </c>
      <c r="G179" s="14" t="s">
        <v>369</v>
      </c>
      <c r="H179" s="14" t="s">
        <v>15</v>
      </c>
      <c r="I179" s="14" t="s">
        <v>2185</v>
      </c>
      <c r="J179" s="14" t="str">
        <f>IF(messy_clinic_appointments[[#This Row],[billing_amount]] &lt; 200, "Low", IF(messy_clinic_appointments[[#This Row],[billing_amount]]&lt;= 400, "Medium", "High"))</f>
        <v>High</v>
      </c>
      <c r="K179" s="14" t="s">
        <v>2010</v>
      </c>
      <c r="L179" s="2">
        <f>DATEDIF(messy_clinic_appointments[[#This Row],[booking_date]],messy_clinic_appointments[[#This Row],[appointment_date]],"d")</f>
        <v>414</v>
      </c>
      <c r="M179" s="14" t="str">
        <f>IF(messy_clinic_appointments[[#This Row],[days_to_appointment]]&gt;365, "Review", "OK")</f>
        <v>Review</v>
      </c>
    </row>
    <row r="180" spans="1:13" x14ac:dyDescent="0.25">
      <c r="A180">
        <v>1033</v>
      </c>
      <c r="B180" s="14" t="s">
        <v>370</v>
      </c>
      <c r="C180">
        <v>87</v>
      </c>
      <c r="D180" s="14" t="s">
        <v>2008</v>
      </c>
      <c r="E180" s="1">
        <v>45753</v>
      </c>
      <c r="F180" s="1">
        <v>45506</v>
      </c>
      <c r="G180" s="14" t="s">
        <v>371</v>
      </c>
      <c r="H180" s="14" t="s">
        <v>15</v>
      </c>
      <c r="I180" s="14" t="s">
        <v>2186</v>
      </c>
      <c r="J180" s="14" t="str">
        <f>IF(messy_clinic_appointments[[#This Row],[billing_amount]] &lt; 200, "Low", IF(messy_clinic_appointments[[#This Row],[billing_amount]]&lt;= 400, "Medium", "High"))</f>
        <v>High</v>
      </c>
      <c r="K180" s="14" t="s">
        <v>2026</v>
      </c>
      <c r="L180" s="2">
        <f>DATEDIF(messy_clinic_appointments[[#This Row],[booking_date]],messy_clinic_appointments[[#This Row],[appointment_date]],"d")</f>
        <v>247</v>
      </c>
      <c r="M180" s="14" t="str">
        <f>IF(messy_clinic_appointments[[#This Row],[days_to_appointment]]&gt;365, "Review", "OK")</f>
        <v>OK</v>
      </c>
    </row>
    <row r="181" spans="1:13" x14ac:dyDescent="0.25">
      <c r="A181">
        <v>1010</v>
      </c>
      <c r="B181" s="14" t="s">
        <v>372</v>
      </c>
      <c r="C181">
        <v>21</v>
      </c>
      <c r="D181" s="14" t="s">
        <v>2011</v>
      </c>
      <c r="E181" s="1">
        <v>46065</v>
      </c>
      <c r="F181" s="1">
        <v>45695</v>
      </c>
      <c r="G181" s="14" t="s">
        <v>373</v>
      </c>
      <c r="H181" s="14" t="s">
        <v>18</v>
      </c>
      <c r="I181" s="14" t="s">
        <v>2187</v>
      </c>
      <c r="J181" s="14" t="str">
        <f>IF(messy_clinic_appointments[[#This Row],[billing_amount]] &lt; 200, "Low", IF(messy_clinic_appointments[[#This Row],[billing_amount]]&lt;= 400, "Medium", "High"))</f>
        <v>High</v>
      </c>
      <c r="K181" s="14" t="s">
        <v>2013</v>
      </c>
      <c r="L181" s="2">
        <f>DATEDIF(messy_clinic_appointments[[#This Row],[booking_date]],messy_clinic_appointments[[#This Row],[appointment_date]],"d")</f>
        <v>370</v>
      </c>
      <c r="M181" s="14" t="str">
        <f>IF(messy_clinic_appointments[[#This Row],[days_to_appointment]]&gt;365, "Review", "OK")</f>
        <v>Review</v>
      </c>
    </row>
    <row r="182" spans="1:13" x14ac:dyDescent="0.25">
      <c r="A182">
        <v>1082</v>
      </c>
      <c r="B182" s="14" t="s">
        <v>374</v>
      </c>
      <c r="C182">
        <v>37</v>
      </c>
      <c r="D182" s="14" t="s">
        <v>2014</v>
      </c>
      <c r="E182" s="1">
        <v>45978</v>
      </c>
      <c r="F182" s="1">
        <v>45664</v>
      </c>
      <c r="G182" s="14" t="s">
        <v>375</v>
      </c>
      <c r="H182" s="14" t="s">
        <v>15</v>
      </c>
      <c r="I182" s="14" t="s">
        <v>2188</v>
      </c>
      <c r="J182" s="14" t="str">
        <f>IF(messy_clinic_appointments[[#This Row],[billing_amount]] &lt; 200, "Low", IF(messy_clinic_appointments[[#This Row],[billing_amount]]&lt;= 400, "Medium", "High"))</f>
        <v>High</v>
      </c>
      <c r="K182" s="14" t="s">
        <v>2039</v>
      </c>
      <c r="L182" s="2">
        <f>DATEDIF(messy_clinic_appointments[[#This Row],[booking_date]],messy_clinic_appointments[[#This Row],[appointment_date]],"d")</f>
        <v>314</v>
      </c>
      <c r="M182" s="14" t="str">
        <f>IF(messy_clinic_appointments[[#This Row],[days_to_appointment]]&gt;365, "Review", "OK")</f>
        <v>OK</v>
      </c>
    </row>
    <row r="183" spans="1:13" x14ac:dyDescent="0.25">
      <c r="A183">
        <v>1096</v>
      </c>
      <c r="B183" s="14" t="s">
        <v>376</v>
      </c>
      <c r="C183">
        <v>42</v>
      </c>
      <c r="D183" s="14" t="s">
        <v>2022</v>
      </c>
      <c r="E183" s="1">
        <v>45881</v>
      </c>
      <c r="F183" s="1">
        <v>45543</v>
      </c>
      <c r="G183" s="14" t="s">
        <v>377</v>
      </c>
      <c r="H183" s="14" t="s">
        <v>18</v>
      </c>
      <c r="I183" s="14" t="s">
        <v>2189</v>
      </c>
      <c r="J183" s="14" t="str">
        <f>IF(messy_clinic_appointments[[#This Row],[billing_amount]] &lt; 200, "Low", IF(messy_clinic_appointments[[#This Row],[billing_amount]]&lt;= 400, "Medium", "High"))</f>
        <v>High</v>
      </c>
      <c r="K183" s="14" t="s">
        <v>22</v>
      </c>
      <c r="L183" s="2">
        <f>DATEDIF(messy_clinic_appointments[[#This Row],[booking_date]],messy_clinic_appointments[[#This Row],[appointment_date]],"d")</f>
        <v>338</v>
      </c>
      <c r="M183" s="14" t="str">
        <f>IF(messy_clinic_appointments[[#This Row],[days_to_appointment]]&gt;365, "Review", "OK")</f>
        <v>OK</v>
      </c>
    </row>
    <row r="184" spans="1:13" x14ac:dyDescent="0.25">
      <c r="A184">
        <v>1011</v>
      </c>
      <c r="B184" s="14" t="s">
        <v>378</v>
      </c>
      <c r="C184">
        <v>53</v>
      </c>
      <c r="D184" s="14" t="s">
        <v>2010</v>
      </c>
      <c r="E184" s="1">
        <v>45956</v>
      </c>
      <c r="F184" s="1">
        <v>45914</v>
      </c>
      <c r="G184" s="14" t="s">
        <v>379</v>
      </c>
      <c r="H184" s="14" t="s">
        <v>18</v>
      </c>
      <c r="I184" s="14" t="s">
        <v>2190</v>
      </c>
      <c r="J184" s="14" t="str">
        <f>IF(messy_clinic_appointments[[#This Row],[billing_amount]] &lt; 200, "Low", IF(messy_clinic_appointments[[#This Row],[billing_amount]]&lt;= 400, "Medium", "High"))</f>
        <v>High</v>
      </c>
      <c r="K184" s="14" t="s">
        <v>2039</v>
      </c>
      <c r="L184" s="2">
        <f>DATEDIF(messy_clinic_appointments[[#This Row],[booking_date]],messy_clinic_appointments[[#This Row],[appointment_date]],"d")</f>
        <v>42</v>
      </c>
      <c r="M184" s="14" t="str">
        <f>IF(messy_clinic_appointments[[#This Row],[days_to_appointment]]&gt;365, "Review", "OK")</f>
        <v>OK</v>
      </c>
    </row>
    <row r="185" spans="1:13" x14ac:dyDescent="0.25">
      <c r="A185">
        <v>1002</v>
      </c>
      <c r="B185" s="14" t="s">
        <v>380</v>
      </c>
      <c r="C185">
        <v>35</v>
      </c>
      <c r="D185" s="14" t="s">
        <v>2010</v>
      </c>
      <c r="E185" s="1">
        <v>45925</v>
      </c>
      <c r="F185" s="1">
        <v>45436</v>
      </c>
      <c r="G185" s="14" t="s">
        <v>381</v>
      </c>
      <c r="H185" s="14" t="s">
        <v>18</v>
      </c>
      <c r="I185" s="14" t="s">
        <v>2191</v>
      </c>
      <c r="J185" s="14" t="str">
        <f>IF(messy_clinic_appointments[[#This Row],[billing_amount]] &lt; 200, "Low", IF(messy_clinic_appointments[[#This Row],[billing_amount]]&lt;= 400, "Medium", "High"))</f>
        <v>High</v>
      </c>
      <c r="K185" s="14" t="s">
        <v>2013</v>
      </c>
      <c r="L185" s="2">
        <f>DATEDIF(messy_clinic_appointments[[#This Row],[booking_date]],messy_clinic_appointments[[#This Row],[appointment_date]],"d")</f>
        <v>489</v>
      </c>
      <c r="M185" s="14" t="str">
        <f>IF(messy_clinic_appointments[[#This Row],[days_to_appointment]]&gt;365, "Review", "OK")</f>
        <v>Review</v>
      </c>
    </row>
    <row r="186" spans="1:13" x14ac:dyDescent="0.25">
      <c r="A186">
        <v>1016</v>
      </c>
      <c r="B186" s="14" t="s">
        <v>1993</v>
      </c>
      <c r="C186">
        <v>44</v>
      </c>
      <c r="D186" s="14" t="s">
        <v>2022</v>
      </c>
      <c r="E186" s="1">
        <v>45830</v>
      </c>
      <c r="F186" s="1">
        <v>45461</v>
      </c>
      <c r="G186" s="14" t="s">
        <v>382</v>
      </c>
      <c r="H186" s="14" t="s">
        <v>15</v>
      </c>
      <c r="I186" s="14" t="s">
        <v>2192</v>
      </c>
      <c r="J186" s="14" t="str">
        <f>IF(messy_clinic_appointments[[#This Row],[billing_amount]] &lt; 200, "Low", IF(messy_clinic_appointments[[#This Row],[billing_amount]]&lt;= 400, "Medium", "High"))</f>
        <v>High</v>
      </c>
      <c r="K186" s="14" t="s">
        <v>2010</v>
      </c>
      <c r="L186" s="2">
        <f>DATEDIF(messy_clinic_appointments[[#This Row],[booking_date]],messy_clinic_appointments[[#This Row],[appointment_date]],"d")</f>
        <v>369</v>
      </c>
      <c r="M186" s="14" t="str">
        <f>IF(messy_clinic_appointments[[#This Row],[days_to_appointment]]&gt;365, "Review", "OK")</f>
        <v>Review</v>
      </c>
    </row>
    <row r="187" spans="1:13" x14ac:dyDescent="0.25">
      <c r="A187">
        <v>1077</v>
      </c>
      <c r="B187" s="14" t="s">
        <v>383</v>
      </c>
      <c r="C187">
        <v>83</v>
      </c>
      <c r="D187" s="14" t="s">
        <v>50</v>
      </c>
      <c r="E187" s="1">
        <v>45790</v>
      </c>
      <c r="F187" s="1">
        <v>45716</v>
      </c>
      <c r="G187" s="14" t="s">
        <v>92</v>
      </c>
      <c r="H187" s="14" t="s">
        <v>21</v>
      </c>
      <c r="I187" s="14" t="s">
        <v>2193</v>
      </c>
      <c r="J187" s="14" t="str">
        <f>IF(messy_clinic_appointments[[#This Row],[billing_amount]] &lt; 200, "Low", IF(messy_clinic_appointments[[#This Row],[billing_amount]]&lt;= 400, "Medium", "High"))</f>
        <v>High</v>
      </c>
      <c r="K187" s="14" t="s">
        <v>28</v>
      </c>
      <c r="L187" s="2">
        <f>DATEDIF(messy_clinic_appointments[[#This Row],[booking_date]],messy_clinic_appointments[[#This Row],[appointment_date]],"d")</f>
        <v>74</v>
      </c>
      <c r="M187" s="14" t="str">
        <f>IF(messy_clinic_appointments[[#This Row],[days_to_appointment]]&gt;365, "Review", "OK")</f>
        <v>OK</v>
      </c>
    </row>
    <row r="188" spans="1:13" x14ac:dyDescent="0.25">
      <c r="A188">
        <v>1026</v>
      </c>
      <c r="B188" s="14" t="s">
        <v>384</v>
      </c>
      <c r="C188">
        <v>25</v>
      </c>
      <c r="D188" s="14" t="s">
        <v>2008</v>
      </c>
      <c r="E188" s="1">
        <v>45845</v>
      </c>
      <c r="F188" s="1">
        <v>45449</v>
      </c>
      <c r="G188" s="14" t="s">
        <v>385</v>
      </c>
      <c r="H188" s="14" t="s">
        <v>21</v>
      </c>
      <c r="I188" s="14" t="s">
        <v>2194</v>
      </c>
      <c r="J188" s="14" t="str">
        <f>IF(messy_clinic_appointments[[#This Row],[billing_amount]] &lt; 200, "Low", IF(messy_clinic_appointments[[#This Row],[billing_amount]]&lt;= 400, "Medium", "High"))</f>
        <v>High</v>
      </c>
      <c r="K188" s="14" t="s">
        <v>2013</v>
      </c>
      <c r="L188" s="2">
        <f>DATEDIF(messy_clinic_appointments[[#This Row],[booking_date]],messy_clinic_appointments[[#This Row],[appointment_date]],"d")</f>
        <v>396</v>
      </c>
      <c r="M188" s="14" t="str">
        <f>IF(messy_clinic_appointments[[#This Row],[days_to_appointment]]&gt;365, "Review", "OK")</f>
        <v>Review</v>
      </c>
    </row>
    <row r="189" spans="1:13" x14ac:dyDescent="0.25">
      <c r="A189">
        <v>1052</v>
      </c>
      <c r="B189" s="14" t="s">
        <v>386</v>
      </c>
      <c r="C189">
        <v>59</v>
      </c>
      <c r="D189" s="14" t="s">
        <v>2039</v>
      </c>
      <c r="E189" s="1">
        <v>46095</v>
      </c>
      <c r="F189" s="1">
        <v>45683</v>
      </c>
      <c r="G189" s="14" t="s">
        <v>387</v>
      </c>
      <c r="H189" s="14" t="s">
        <v>15</v>
      </c>
      <c r="I189" s="14" t="s">
        <v>2195</v>
      </c>
      <c r="J189" s="14" t="str">
        <f>IF(messy_clinic_appointments[[#This Row],[billing_amount]] &lt; 200, "Low", IF(messy_clinic_appointments[[#This Row],[billing_amount]]&lt;= 400, "Medium", "High"))</f>
        <v>High</v>
      </c>
      <c r="K189" s="14" t="s">
        <v>2026</v>
      </c>
      <c r="L189" s="2">
        <f>DATEDIF(messy_clinic_appointments[[#This Row],[booking_date]],messy_clinic_appointments[[#This Row],[appointment_date]],"d")</f>
        <v>412</v>
      </c>
      <c r="M189" s="14" t="str">
        <f>IF(messy_clinic_appointments[[#This Row],[days_to_appointment]]&gt;365, "Review", "OK")</f>
        <v>Review</v>
      </c>
    </row>
    <row r="190" spans="1:13" x14ac:dyDescent="0.25">
      <c r="A190">
        <v>1040</v>
      </c>
      <c r="B190" s="14" t="s">
        <v>388</v>
      </c>
      <c r="C190">
        <v>33</v>
      </c>
      <c r="D190" s="14" t="s">
        <v>30</v>
      </c>
      <c r="E190" s="1">
        <v>46041</v>
      </c>
      <c r="F190" s="1">
        <v>45381</v>
      </c>
      <c r="G190" s="14" t="s">
        <v>389</v>
      </c>
      <c r="H190" s="14" t="s">
        <v>21</v>
      </c>
      <c r="I190" s="14" t="s">
        <v>2196</v>
      </c>
      <c r="J190" s="14" t="str">
        <f>IF(messy_clinic_appointments[[#This Row],[billing_amount]] &lt; 200, "Low", IF(messy_clinic_appointments[[#This Row],[billing_amount]]&lt;= 400, "Medium", "High"))</f>
        <v>High</v>
      </c>
      <c r="K190" s="14" t="s">
        <v>2010</v>
      </c>
      <c r="L190" s="2">
        <f>DATEDIF(messy_clinic_appointments[[#This Row],[booking_date]],messy_clinic_appointments[[#This Row],[appointment_date]],"d")</f>
        <v>660</v>
      </c>
      <c r="M190" s="14" t="str">
        <f>IF(messy_clinic_appointments[[#This Row],[days_to_appointment]]&gt;365, "Review", "OK")</f>
        <v>Review</v>
      </c>
    </row>
    <row r="191" spans="1:13" x14ac:dyDescent="0.25">
      <c r="A191">
        <v>1068</v>
      </c>
      <c r="B191" s="14" t="s">
        <v>390</v>
      </c>
      <c r="C191">
        <v>29</v>
      </c>
      <c r="D191" s="14" t="s">
        <v>2022</v>
      </c>
      <c r="E191" s="1">
        <v>45804</v>
      </c>
      <c r="F191" s="1">
        <v>45588</v>
      </c>
      <c r="G191" s="14" t="s">
        <v>391</v>
      </c>
      <c r="H191" s="14" t="s">
        <v>21</v>
      </c>
      <c r="I191" s="14" t="s">
        <v>2197</v>
      </c>
      <c r="J191" s="14" t="str">
        <f>IF(messy_clinic_appointments[[#This Row],[billing_amount]] &lt; 200, "Low", IF(messy_clinic_appointments[[#This Row],[billing_amount]]&lt;= 400, "Medium", "High"))</f>
        <v>High</v>
      </c>
      <c r="K191" s="14" t="s">
        <v>28</v>
      </c>
      <c r="L191" s="2">
        <f>DATEDIF(messy_clinic_appointments[[#This Row],[booking_date]],messy_clinic_appointments[[#This Row],[appointment_date]],"d")</f>
        <v>216</v>
      </c>
      <c r="M191" s="14" t="str">
        <f>IF(messy_clinic_appointments[[#This Row],[days_to_appointment]]&gt;365, "Review", "OK")</f>
        <v>OK</v>
      </c>
    </row>
    <row r="192" spans="1:13" x14ac:dyDescent="0.25">
      <c r="A192">
        <v>1013</v>
      </c>
      <c r="B192" s="14" t="s">
        <v>392</v>
      </c>
      <c r="C192">
        <v>25</v>
      </c>
      <c r="D192" s="14" t="s">
        <v>2014</v>
      </c>
      <c r="E192" s="1">
        <v>45962</v>
      </c>
      <c r="F192" s="1">
        <v>45502</v>
      </c>
      <c r="G192" s="14" t="s">
        <v>393</v>
      </c>
      <c r="H192" s="14" t="s">
        <v>15</v>
      </c>
      <c r="I192" s="14" t="s">
        <v>2198</v>
      </c>
      <c r="J192" s="14" t="str">
        <f>IF(messy_clinic_appointments[[#This Row],[billing_amount]] &lt; 200, "Low", IF(messy_clinic_appointments[[#This Row],[billing_amount]]&lt;= 400, "Medium", "High"))</f>
        <v>High</v>
      </c>
      <c r="K192" s="14" t="s">
        <v>22</v>
      </c>
      <c r="L192" s="2">
        <f>DATEDIF(messy_clinic_appointments[[#This Row],[booking_date]],messy_clinic_appointments[[#This Row],[appointment_date]],"d")</f>
        <v>460</v>
      </c>
      <c r="M192" s="14" t="str">
        <f>IF(messy_clinic_appointments[[#This Row],[days_to_appointment]]&gt;365, "Review", "OK")</f>
        <v>Review</v>
      </c>
    </row>
    <row r="193" spans="1:13" x14ac:dyDescent="0.25">
      <c r="A193">
        <v>1024</v>
      </c>
      <c r="B193" s="14" t="s">
        <v>394</v>
      </c>
      <c r="C193">
        <v>33</v>
      </c>
      <c r="D193" s="14" t="s">
        <v>2039</v>
      </c>
      <c r="E193" s="1">
        <v>46075</v>
      </c>
      <c r="F193" s="1">
        <v>45919</v>
      </c>
      <c r="G193" s="14" t="s">
        <v>395</v>
      </c>
      <c r="H193" s="14" t="s">
        <v>15</v>
      </c>
      <c r="I193" s="14" t="s">
        <v>2199</v>
      </c>
      <c r="J193" s="14" t="str">
        <f>IF(messy_clinic_appointments[[#This Row],[billing_amount]] &lt; 200, "Low", IF(messy_clinic_appointments[[#This Row],[billing_amount]]&lt;= 400, "Medium", "High"))</f>
        <v>High</v>
      </c>
      <c r="K193" s="14" t="s">
        <v>2013</v>
      </c>
      <c r="L193" s="2">
        <f>DATEDIF(messy_clinic_appointments[[#This Row],[booking_date]],messy_clinic_appointments[[#This Row],[appointment_date]],"d")</f>
        <v>156</v>
      </c>
      <c r="M193" s="14" t="str">
        <f>IF(messy_clinic_appointments[[#This Row],[days_to_appointment]]&gt;365, "Review", "OK")</f>
        <v>OK</v>
      </c>
    </row>
    <row r="194" spans="1:13" x14ac:dyDescent="0.25">
      <c r="A194">
        <v>1033</v>
      </c>
      <c r="B194" s="14" t="s">
        <v>396</v>
      </c>
      <c r="C194">
        <v>56</v>
      </c>
      <c r="D194" s="14" t="s">
        <v>2039</v>
      </c>
      <c r="E194" s="1">
        <v>45968</v>
      </c>
      <c r="F194" s="1">
        <v>45632</v>
      </c>
      <c r="G194" s="14" t="s">
        <v>397</v>
      </c>
      <c r="H194" s="14" t="s">
        <v>15</v>
      </c>
      <c r="I194" s="14" t="s">
        <v>2200</v>
      </c>
      <c r="J194" s="14" t="str">
        <f>IF(messy_clinic_appointments[[#This Row],[billing_amount]] &lt; 200, "Low", IF(messy_clinic_appointments[[#This Row],[billing_amount]]&lt;= 400, "Medium", "High"))</f>
        <v>High</v>
      </c>
      <c r="K194" s="14" t="s">
        <v>28</v>
      </c>
      <c r="L194" s="2">
        <f>DATEDIF(messy_clinic_appointments[[#This Row],[booking_date]],messy_clinic_appointments[[#This Row],[appointment_date]],"d")</f>
        <v>336</v>
      </c>
      <c r="M194" s="14" t="str">
        <f>IF(messy_clinic_appointments[[#This Row],[days_to_appointment]]&gt;365, "Review", "OK")</f>
        <v>OK</v>
      </c>
    </row>
    <row r="195" spans="1:13" x14ac:dyDescent="0.25">
      <c r="A195">
        <v>1067</v>
      </c>
      <c r="B195" s="14" t="s">
        <v>398</v>
      </c>
      <c r="C195">
        <v>85</v>
      </c>
      <c r="D195" s="14" t="s">
        <v>50</v>
      </c>
      <c r="E195" s="1">
        <v>45955</v>
      </c>
      <c r="F195" s="1">
        <v>45709</v>
      </c>
      <c r="G195" s="14" t="s">
        <v>399</v>
      </c>
      <c r="H195" s="14" t="s">
        <v>15</v>
      </c>
      <c r="I195" s="14" t="s">
        <v>2201</v>
      </c>
      <c r="J195" s="14" t="str">
        <f>IF(messy_clinic_appointments[[#This Row],[billing_amount]] &lt; 200, "Low", IF(messy_clinic_appointments[[#This Row],[billing_amount]]&lt;= 400, "Medium", "High"))</f>
        <v>High</v>
      </c>
      <c r="K195" s="14" t="s">
        <v>2013</v>
      </c>
      <c r="L195" s="2">
        <f>DATEDIF(messy_clinic_appointments[[#This Row],[booking_date]],messy_clinic_appointments[[#This Row],[appointment_date]],"d")</f>
        <v>246</v>
      </c>
      <c r="M195" s="14" t="str">
        <f>IF(messy_clinic_appointments[[#This Row],[days_to_appointment]]&gt;365, "Review", "OK")</f>
        <v>OK</v>
      </c>
    </row>
    <row r="196" spans="1:13" x14ac:dyDescent="0.25">
      <c r="A196">
        <v>1045</v>
      </c>
      <c r="B196" s="14" t="s">
        <v>400</v>
      </c>
      <c r="C196">
        <v>24</v>
      </c>
      <c r="D196" s="14" t="s">
        <v>30</v>
      </c>
      <c r="E196" s="1">
        <v>45807</v>
      </c>
      <c r="F196" s="1">
        <v>45736</v>
      </c>
      <c r="G196" s="14" t="s">
        <v>401</v>
      </c>
      <c r="H196" s="14" t="s">
        <v>18</v>
      </c>
      <c r="I196" s="14" t="s">
        <v>2202</v>
      </c>
      <c r="J196" s="14" t="str">
        <f>IF(messy_clinic_appointments[[#This Row],[billing_amount]] &lt; 200, "Low", IF(messy_clinic_appointments[[#This Row],[billing_amount]]&lt;= 400, "Medium", "High"))</f>
        <v>High</v>
      </c>
      <c r="K196" s="14" t="s">
        <v>28</v>
      </c>
      <c r="L196" s="2">
        <f>DATEDIF(messy_clinic_appointments[[#This Row],[booking_date]],messy_clinic_appointments[[#This Row],[appointment_date]],"d")</f>
        <v>71</v>
      </c>
      <c r="M196" s="14" t="str">
        <f>IF(messy_clinic_appointments[[#This Row],[days_to_appointment]]&gt;365, "Review", "OK")</f>
        <v>OK</v>
      </c>
    </row>
    <row r="197" spans="1:13" x14ac:dyDescent="0.25">
      <c r="A197">
        <v>1087</v>
      </c>
      <c r="B197" s="14" t="s">
        <v>402</v>
      </c>
      <c r="C197">
        <v>31</v>
      </c>
      <c r="D197" s="14" t="s">
        <v>2039</v>
      </c>
      <c r="E197" s="1">
        <v>45979</v>
      </c>
      <c r="F197" s="1">
        <v>45749</v>
      </c>
      <c r="G197" s="14" t="s">
        <v>403</v>
      </c>
      <c r="H197" s="14" t="s">
        <v>21</v>
      </c>
      <c r="I197" s="14" t="s">
        <v>24</v>
      </c>
      <c r="J197" s="14" t="str">
        <f>IF(messy_clinic_appointments[[#This Row],[billing_amount]] &lt; 200, "Low", IF(messy_clinic_appointments[[#This Row],[billing_amount]]&lt;= 400, "Medium", "High"))</f>
        <v>High</v>
      </c>
      <c r="K197" s="14" t="s">
        <v>2013</v>
      </c>
      <c r="L197" s="2">
        <f>DATEDIF(messy_clinic_appointments[[#This Row],[booking_date]],messy_clinic_appointments[[#This Row],[appointment_date]],"d")</f>
        <v>230</v>
      </c>
      <c r="M197" s="14" t="str">
        <f>IF(messy_clinic_appointments[[#This Row],[days_to_appointment]]&gt;365, "Review", "OK")</f>
        <v>OK</v>
      </c>
    </row>
    <row r="198" spans="1:13" x14ac:dyDescent="0.25">
      <c r="A198">
        <v>1056</v>
      </c>
      <c r="B198" s="14" t="s">
        <v>404</v>
      </c>
      <c r="C198">
        <v>24</v>
      </c>
      <c r="D198" s="14" t="s">
        <v>2011</v>
      </c>
      <c r="E198" s="1">
        <v>45769</v>
      </c>
      <c r="F198" s="1">
        <v>45740</v>
      </c>
      <c r="G198" s="14" t="s">
        <v>405</v>
      </c>
      <c r="H198" s="14" t="s">
        <v>21</v>
      </c>
      <c r="I198" s="14" t="s">
        <v>24</v>
      </c>
      <c r="J198" s="14" t="str">
        <f>IF(messy_clinic_appointments[[#This Row],[billing_amount]] &lt; 200, "Low", IF(messy_clinic_appointments[[#This Row],[billing_amount]]&lt;= 400, "Medium", "High"))</f>
        <v>High</v>
      </c>
      <c r="K198" s="14" t="s">
        <v>28</v>
      </c>
      <c r="L198" s="2">
        <f>DATEDIF(messy_clinic_appointments[[#This Row],[booking_date]],messy_clinic_appointments[[#This Row],[appointment_date]],"d")</f>
        <v>29</v>
      </c>
      <c r="M198" s="14" t="str">
        <f>IF(messy_clinic_appointments[[#This Row],[days_to_appointment]]&gt;365, "Review", "OK")</f>
        <v>OK</v>
      </c>
    </row>
    <row r="199" spans="1:13" x14ac:dyDescent="0.25">
      <c r="A199">
        <v>1053</v>
      </c>
      <c r="B199" s="14" t="s">
        <v>406</v>
      </c>
      <c r="C199">
        <v>81</v>
      </c>
      <c r="D199" s="14" t="s">
        <v>30</v>
      </c>
      <c r="E199" s="1">
        <v>45760</v>
      </c>
      <c r="F199" s="1">
        <v>45629</v>
      </c>
      <c r="G199" s="14" t="s">
        <v>407</v>
      </c>
      <c r="H199" s="14" t="s">
        <v>12</v>
      </c>
      <c r="I199" s="14" t="s">
        <v>2203</v>
      </c>
      <c r="J199" s="14" t="str">
        <f>IF(messy_clinic_appointments[[#This Row],[billing_amount]] &lt; 200, "Low", IF(messy_clinic_appointments[[#This Row],[billing_amount]]&lt;= 400, "Medium", "High"))</f>
        <v>High</v>
      </c>
      <c r="K199" s="14" t="s">
        <v>2013</v>
      </c>
      <c r="L199" s="2">
        <f>DATEDIF(messy_clinic_appointments[[#This Row],[booking_date]],messy_clinic_appointments[[#This Row],[appointment_date]],"d")</f>
        <v>131</v>
      </c>
      <c r="M199" s="14" t="str">
        <f>IF(messy_clinic_appointments[[#This Row],[days_to_appointment]]&gt;365, "Review", "OK")</f>
        <v>OK</v>
      </c>
    </row>
    <row r="200" spans="1:13" x14ac:dyDescent="0.25">
      <c r="A200">
        <v>1059</v>
      </c>
      <c r="B200" s="14" t="s">
        <v>408</v>
      </c>
      <c r="C200">
        <v>79</v>
      </c>
      <c r="D200" s="14" t="s">
        <v>2022</v>
      </c>
      <c r="E200" s="1">
        <v>45893</v>
      </c>
      <c r="F200" s="1">
        <v>45890</v>
      </c>
      <c r="G200" s="14" t="s">
        <v>409</v>
      </c>
      <c r="H200" s="14" t="s">
        <v>15</v>
      </c>
      <c r="I200" s="14" t="s">
        <v>2204</v>
      </c>
      <c r="J200" s="14" t="str">
        <f>IF(messy_clinic_appointments[[#This Row],[billing_amount]] &lt; 200, "Low", IF(messy_clinic_appointments[[#This Row],[billing_amount]]&lt;= 400, "Medium", "High"))</f>
        <v>High</v>
      </c>
      <c r="K200" s="14" t="s">
        <v>28</v>
      </c>
      <c r="L200" s="2">
        <f>DATEDIF(messy_clinic_appointments[[#This Row],[booking_date]],messy_clinic_appointments[[#This Row],[appointment_date]],"d")</f>
        <v>3</v>
      </c>
      <c r="M200" s="14" t="str">
        <f>IF(messy_clinic_appointments[[#This Row],[days_to_appointment]]&gt;365, "Review", "OK")</f>
        <v>OK</v>
      </c>
    </row>
    <row r="201" spans="1:13" x14ac:dyDescent="0.25">
      <c r="A201">
        <v>1050</v>
      </c>
      <c r="B201" s="14" t="s">
        <v>410</v>
      </c>
      <c r="C201">
        <v>32</v>
      </c>
      <c r="D201" s="14" t="s">
        <v>2014</v>
      </c>
      <c r="E201" s="1">
        <v>45751</v>
      </c>
      <c r="F201" s="1">
        <v>45428</v>
      </c>
      <c r="G201" s="14" t="s">
        <v>411</v>
      </c>
      <c r="H201" s="14" t="s">
        <v>15</v>
      </c>
      <c r="I201" s="14" t="s">
        <v>2205</v>
      </c>
      <c r="J201" s="14" t="str">
        <f>IF(messy_clinic_appointments[[#This Row],[billing_amount]] &lt; 200, "Low", IF(messy_clinic_appointments[[#This Row],[billing_amount]]&lt;= 400, "Medium", "High"))</f>
        <v>High</v>
      </c>
      <c r="K201" s="14" t="s">
        <v>2013</v>
      </c>
      <c r="L201" s="2">
        <f>DATEDIF(messy_clinic_appointments[[#This Row],[booking_date]],messy_clinic_appointments[[#This Row],[appointment_date]],"d")</f>
        <v>323</v>
      </c>
      <c r="M201" s="14" t="str">
        <f>IF(messy_clinic_appointments[[#This Row],[days_to_appointment]]&gt;365, "Review", "OK")</f>
        <v>OK</v>
      </c>
    </row>
    <row r="202" spans="1:13" x14ac:dyDescent="0.25">
      <c r="A202">
        <v>1044</v>
      </c>
      <c r="B202" s="14" t="s">
        <v>412</v>
      </c>
      <c r="C202">
        <v>21</v>
      </c>
      <c r="D202" s="14" t="s">
        <v>2008</v>
      </c>
      <c r="E202" s="1">
        <v>45830</v>
      </c>
      <c r="F202" s="1">
        <v>45452</v>
      </c>
      <c r="G202" s="14" t="s">
        <v>413</v>
      </c>
      <c r="H202" s="14" t="s">
        <v>15</v>
      </c>
      <c r="I202" s="14" t="s">
        <v>2206</v>
      </c>
      <c r="J202" s="14" t="str">
        <f>IF(messy_clinic_appointments[[#This Row],[billing_amount]] &lt; 200, "Low", IF(messy_clinic_appointments[[#This Row],[billing_amount]]&lt;= 400, "Medium", "High"))</f>
        <v>High</v>
      </c>
      <c r="K202" s="14" t="s">
        <v>2026</v>
      </c>
      <c r="L202" s="2">
        <f>DATEDIF(messy_clinic_appointments[[#This Row],[booking_date]],messy_clinic_appointments[[#This Row],[appointment_date]],"d")</f>
        <v>378</v>
      </c>
      <c r="M202" s="14" t="str">
        <f>IF(messy_clinic_appointments[[#This Row],[days_to_appointment]]&gt;365, "Review", "OK")</f>
        <v>Review</v>
      </c>
    </row>
    <row r="203" spans="1:13" x14ac:dyDescent="0.25">
      <c r="A203">
        <v>1089</v>
      </c>
      <c r="B203" s="14" t="s">
        <v>414</v>
      </c>
      <c r="C203">
        <v>48</v>
      </c>
      <c r="D203" s="14" t="s">
        <v>2010</v>
      </c>
      <c r="E203" s="1">
        <v>45742</v>
      </c>
      <c r="F203" s="1">
        <v>45629</v>
      </c>
      <c r="G203" s="14" t="s">
        <v>415</v>
      </c>
      <c r="H203" s="14" t="s">
        <v>12</v>
      </c>
      <c r="I203" s="14" t="s">
        <v>2207</v>
      </c>
      <c r="J203" s="14" t="str">
        <f>IF(messy_clinic_appointments[[#This Row],[billing_amount]] &lt; 200, "Low", IF(messy_clinic_appointments[[#This Row],[billing_amount]]&lt;= 400, "Medium", "High"))</f>
        <v>High</v>
      </c>
      <c r="K203" s="14" t="s">
        <v>2039</v>
      </c>
      <c r="L203" s="2">
        <f>DATEDIF(messy_clinic_appointments[[#This Row],[booking_date]],messy_clinic_appointments[[#This Row],[appointment_date]],"d")</f>
        <v>113</v>
      </c>
      <c r="M203" s="14" t="str">
        <f>IF(messy_clinic_appointments[[#This Row],[days_to_appointment]]&gt;365, "Review", "OK")</f>
        <v>OK</v>
      </c>
    </row>
    <row r="204" spans="1:13" x14ac:dyDescent="0.25">
      <c r="A204">
        <v>1074</v>
      </c>
      <c r="B204" s="14" t="s">
        <v>416</v>
      </c>
      <c r="C204">
        <v>23</v>
      </c>
      <c r="D204" s="14" t="s">
        <v>50</v>
      </c>
      <c r="E204" s="1">
        <v>45984</v>
      </c>
      <c r="F204" s="1">
        <v>45910</v>
      </c>
      <c r="G204" s="14" t="s">
        <v>417</v>
      </c>
      <c r="H204" s="14" t="s">
        <v>15</v>
      </c>
      <c r="I204" s="14" t="s">
        <v>2208</v>
      </c>
      <c r="J204" s="14" t="str">
        <f>IF(messy_clinic_appointments[[#This Row],[billing_amount]] &lt; 200, "Low", IF(messy_clinic_appointments[[#This Row],[billing_amount]]&lt;= 400, "Medium", "High"))</f>
        <v>High</v>
      </c>
      <c r="K204" s="14" t="s">
        <v>2026</v>
      </c>
      <c r="L204" s="2">
        <f>DATEDIF(messy_clinic_appointments[[#This Row],[booking_date]],messy_clinic_appointments[[#This Row],[appointment_date]],"d")</f>
        <v>74</v>
      </c>
      <c r="M204" s="14" t="str">
        <f>IF(messy_clinic_appointments[[#This Row],[days_to_appointment]]&gt;365, "Review", "OK")</f>
        <v>OK</v>
      </c>
    </row>
    <row r="205" spans="1:13" x14ac:dyDescent="0.25">
      <c r="A205">
        <v>1026</v>
      </c>
      <c r="B205" s="14" t="s">
        <v>418</v>
      </c>
      <c r="C205">
        <v>87</v>
      </c>
      <c r="D205" s="14" t="s">
        <v>2039</v>
      </c>
      <c r="E205" s="1">
        <v>46059</v>
      </c>
      <c r="F205" s="1">
        <v>45515</v>
      </c>
      <c r="G205" s="14" t="s">
        <v>419</v>
      </c>
      <c r="H205" s="14" t="s">
        <v>18</v>
      </c>
      <c r="I205" s="14" t="s">
        <v>2209</v>
      </c>
      <c r="J205" s="14" t="str">
        <f>IF(messy_clinic_appointments[[#This Row],[billing_amount]] &lt; 200, "Low", IF(messy_clinic_appointments[[#This Row],[billing_amount]]&lt;= 400, "Medium", "High"))</f>
        <v>High</v>
      </c>
      <c r="K205" s="14" t="s">
        <v>28</v>
      </c>
      <c r="L205" s="2">
        <f>DATEDIF(messy_clinic_appointments[[#This Row],[booking_date]],messy_clinic_appointments[[#This Row],[appointment_date]],"d")</f>
        <v>544</v>
      </c>
      <c r="M205" s="14" t="str">
        <f>IF(messy_clinic_appointments[[#This Row],[days_to_appointment]]&gt;365, "Review", "OK")</f>
        <v>Review</v>
      </c>
    </row>
    <row r="206" spans="1:13" x14ac:dyDescent="0.25">
      <c r="A206">
        <v>1059</v>
      </c>
      <c r="B206" s="14" t="s">
        <v>420</v>
      </c>
      <c r="C206">
        <v>27</v>
      </c>
      <c r="D206" s="14" t="s">
        <v>2039</v>
      </c>
      <c r="E206" s="1">
        <v>45892</v>
      </c>
      <c r="F206" s="1">
        <v>45608</v>
      </c>
      <c r="G206" s="14" t="s">
        <v>421</v>
      </c>
      <c r="H206" s="14" t="s">
        <v>21</v>
      </c>
      <c r="I206" s="14" t="s">
        <v>2210</v>
      </c>
      <c r="J206" s="14" t="str">
        <f>IF(messy_clinic_appointments[[#This Row],[billing_amount]] &lt; 200, "Low", IF(messy_clinic_appointments[[#This Row],[billing_amount]]&lt;= 400, "Medium", "High"))</f>
        <v>High</v>
      </c>
      <c r="K206" s="14" t="s">
        <v>2013</v>
      </c>
      <c r="L206" s="2">
        <f>DATEDIF(messy_clinic_appointments[[#This Row],[booking_date]],messy_clinic_appointments[[#This Row],[appointment_date]],"d")</f>
        <v>284</v>
      </c>
      <c r="M206" s="14" t="str">
        <f>IF(messy_clinic_appointments[[#This Row],[days_to_appointment]]&gt;365, "Review", "OK")</f>
        <v>OK</v>
      </c>
    </row>
    <row r="207" spans="1:13" x14ac:dyDescent="0.25">
      <c r="A207">
        <v>1065</v>
      </c>
      <c r="B207" s="14" t="s">
        <v>422</v>
      </c>
      <c r="C207">
        <v>71</v>
      </c>
      <c r="D207" s="14" t="s">
        <v>30</v>
      </c>
      <c r="E207" s="1">
        <v>46088</v>
      </c>
      <c r="F207" s="1">
        <v>45746</v>
      </c>
      <c r="G207" s="14" t="s">
        <v>423</v>
      </c>
      <c r="H207" s="14" t="s">
        <v>12</v>
      </c>
      <c r="I207" s="14" t="s">
        <v>2211</v>
      </c>
      <c r="J207" s="14" t="str">
        <f>IF(messy_clinic_appointments[[#This Row],[billing_amount]] &lt; 200, "Low", IF(messy_clinic_appointments[[#This Row],[billing_amount]]&lt;= 400, "Medium", "High"))</f>
        <v>High</v>
      </c>
      <c r="K207" s="14" t="s">
        <v>2010</v>
      </c>
      <c r="L207" s="2">
        <f>DATEDIF(messy_clinic_appointments[[#This Row],[booking_date]],messy_clinic_appointments[[#This Row],[appointment_date]],"d")</f>
        <v>342</v>
      </c>
      <c r="M207" s="14" t="str">
        <f>IF(messy_clinic_appointments[[#This Row],[days_to_appointment]]&gt;365, "Review", "OK")</f>
        <v>OK</v>
      </c>
    </row>
    <row r="208" spans="1:13" x14ac:dyDescent="0.25">
      <c r="A208">
        <v>1085</v>
      </c>
      <c r="B208" s="14" t="s">
        <v>424</v>
      </c>
      <c r="C208">
        <v>75</v>
      </c>
      <c r="D208" s="14" t="s">
        <v>2022</v>
      </c>
      <c r="E208" s="1">
        <v>45967</v>
      </c>
      <c r="F208" s="1">
        <v>45579</v>
      </c>
      <c r="G208" s="14" t="s">
        <v>425</v>
      </c>
      <c r="H208" s="14" t="s">
        <v>15</v>
      </c>
      <c r="I208" s="14" t="s">
        <v>24</v>
      </c>
      <c r="J208" s="14" t="str">
        <f>IF(messy_clinic_appointments[[#This Row],[billing_amount]] &lt; 200, "Low", IF(messy_clinic_appointments[[#This Row],[billing_amount]]&lt;= 400, "Medium", "High"))</f>
        <v>High</v>
      </c>
      <c r="K208" s="14" t="s">
        <v>2013</v>
      </c>
      <c r="L208" s="2">
        <f>DATEDIF(messy_clinic_appointments[[#This Row],[booking_date]],messy_clinic_appointments[[#This Row],[appointment_date]],"d")</f>
        <v>388</v>
      </c>
      <c r="M208" s="14" t="str">
        <f>IF(messy_clinic_appointments[[#This Row],[days_to_appointment]]&gt;365, "Review", "OK")</f>
        <v>Review</v>
      </c>
    </row>
    <row r="209" spans="1:13" x14ac:dyDescent="0.25">
      <c r="A209">
        <v>1024</v>
      </c>
      <c r="B209" s="14" t="s">
        <v>426</v>
      </c>
      <c r="C209">
        <v>86</v>
      </c>
      <c r="D209" s="14" t="s">
        <v>2010</v>
      </c>
      <c r="E209" s="1">
        <v>46070</v>
      </c>
      <c r="F209" s="1">
        <v>46037</v>
      </c>
      <c r="G209" s="14" t="s">
        <v>427</v>
      </c>
      <c r="H209" s="14" t="s">
        <v>15</v>
      </c>
      <c r="I209" s="14" t="s">
        <v>2212</v>
      </c>
      <c r="J209" s="14" t="str">
        <f>IF(messy_clinic_appointments[[#This Row],[billing_amount]] &lt; 200, "Low", IF(messy_clinic_appointments[[#This Row],[billing_amount]]&lt;= 400, "Medium", "High"))</f>
        <v>High</v>
      </c>
      <c r="K209" s="14" t="s">
        <v>28</v>
      </c>
      <c r="L209" s="2">
        <f>DATEDIF(messy_clinic_appointments[[#This Row],[booking_date]],messy_clinic_appointments[[#This Row],[appointment_date]],"d")</f>
        <v>33</v>
      </c>
      <c r="M209" s="14" t="str">
        <f>IF(messy_clinic_appointments[[#This Row],[days_to_appointment]]&gt;365, "Review", "OK")</f>
        <v>OK</v>
      </c>
    </row>
    <row r="210" spans="1:13" x14ac:dyDescent="0.25">
      <c r="A210">
        <v>1048</v>
      </c>
      <c r="B210" s="14" t="s">
        <v>428</v>
      </c>
      <c r="C210">
        <v>33</v>
      </c>
      <c r="D210" s="14" t="s">
        <v>24</v>
      </c>
      <c r="E210" s="1">
        <v>45926</v>
      </c>
      <c r="F210" s="1">
        <v>45538</v>
      </c>
      <c r="G210" s="14" t="s">
        <v>429</v>
      </c>
      <c r="H210" s="14" t="s">
        <v>18</v>
      </c>
      <c r="I210" s="14" t="s">
        <v>24</v>
      </c>
      <c r="J210" s="14" t="str">
        <f>IF(messy_clinic_appointments[[#This Row],[billing_amount]] &lt; 200, "Low", IF(messy_clinic_appointments[[#This Row],[billing_amount]]&lt;= 400, "Medium", "High"))</f>
        <v>High</v>
      </c>
      <c r="K210" s="14" t="s">
        <v>2013</v>
      </c>
      <c r="L210" s="2">
        <f>DATEDIF(messy_clinic_appointments[[#This Row],[booking_date]],messy_clinic_appointments[[#This Row],[appointment_date]],"d")</f>
        <v>388</v>
      </c>
      <c r="M210" s="14" t="str">
        <f>IF(messy_clinic_appointments[[#This Row],[days_to_appointment]]&gt;365, "Review", "OK")</f>
        <v>Review</v>
      </c>
    </row>
    <row r="211" spans="1:13" x14ac:dyDescent="0.25">
      <c r="A211">
        <v>1069</v>
      </c>
      <c r="B211" s="14" t="s">
        <v>430</v>
      </c>
      <c r="C211">
        <v>73</v>
      </c>
      <c r="D211" s="14" t="s">
        <v>2011</v>
      </c>
      <c r="E211" s="1">
        <v>46030</v>
      </c>
      <c r="F211" s="1">
        <v>45517</v>
      </c>
      <c r="G211" s="14" t="s">
        <v>431</v>
      </c>
      <c r="H211" s="14" t="s">
        <v>21</v>
      </c>
      <c r="I211" s="14" t="s">
        <v>2213</v>
      </c>
      <c r="J211" s="14" t="str">
        <f>IF(messy_clinic_appointments[[#This Row],[billing_amount]] &lt; 200, "Low", IF(messy_clinic_appointments[[#This Row],[billing_amount]]&lt;= 400, "Medium", "High"))</f>
        <v>High</v>
      </c>
      <c r="K211" s="14" t="s">
        <v>28</v>
      </c>
      <c r="L211" s="2">
        <f>DATEDIF(messy_clinic_appointments[[#This Row],[booking_date]],messy_clinic_appointments[[#This Row],[appointment_date]],"d")</f>
        <v>513</v>
      </c>
      <c r="M211" s="14" t="str">
        <f>IF(messy_clinic_appointments[[#This Row],[days_to_appointment]]&gt;365, "Review", "OK")</f>
        <v>Review</v>
      </c>
    </row>
    <row r="212" spans="1:13" x14ac:dyDescent="0.25">
      <c r="A212">
        <v>1071</v>
      </c>
      <c r="B212" s="14" t="s">
        <v>432</v>
      </c>
      <c r="C212">
        <v>73</v>
      </c>
      <c r="D212" s="14" t="s">
        <v>2010</v>
      </c>
      <c r="E212" s="1">
        <v>45964</v>
      </c>
      <c r="F212" s="1">
        <v>45408</v>
      </c>
      <c r="G212" s="14" t="s">
        <v>433</v>
      </c>
      <c r="H212" s="14" t="s">
        <v>15</v>
      </c>
      <c r="I212" s="14" t="s">
        <v>2214</v>
      </c>
      <c r="J212" s="14" t="str">
        <f>IF(messy_clinic_appointments[[#This Row],[billing_amount]] &lt; 200, "Low", IF(messy_clinic_appointments[[#This Row],[billing_amount]]&lt;= 400, "Medium", "High"))</f>
        <v>High</v>
      </c>
      <c r="K212" s="14" t="s">
        <v>2013</v>
      </c>
      <c r="L212" s="2">
        <f>DATEDIF(messy_clinic_appointments[[#This Row],[booking_date]],messy_clinic_appointments[[#This Row],[appointment_date]],"d")</f>
        <v>556</v>
      </c>
      <c r="M212" s="14" t="str">
        <f>IF(messy_clinic_appointments[[#This Row],[days_to_appointment]]&gt;365, "Review", "OK")</f>
        <v>Review</v>
      </c>
    </row>
    <row r="213" spans="1:13" x14ac:dyDescent="0.25">
      <c r="A213">
        <v>1076</v>
      </c>
      <c r="B213" s="14" t="s">
        <v>434</v>
      </c>
      <c r="C213">
        <v>21</v>
      </c>
      <c r="D213" s="14" t="s">
        <v>30</v>
      </c>
      <c r="E213" s="1">
        <v>45949</v>
      </c>
      <c r="F213" s="1">
        <v>45871</v>
      </c>
      <c r="G213" s="14" t="s">
        <v>435</v>
      </c>
      <c r="H213" s="14" t="s">
        <v>15</v>
      </c>
      <c r="I213" s="14" t="s">
        <v>2215</v>
      </c>
      <c r="J213" s="14" t="str">
        <f>IF(messy_clinic_appointments[[#This Row],[billing_amount]] &lt; 200, "Low", IF(messy_clinic_appointments[[#This Row],[billing_amount]]&lt;= 400, "Medium", "High"))</f>
        <v>High</v>
      </c>
      <c r="K213" s="14" t="s">
        <v>28</v>
      </c>
      <c r="L213" s="2">
        <f>DATEDIF(messy_clinic_appointments[[#This Row],[booking_date]],messy_clinic_appointments[[#This Row],[appointment_date]],"d")</f>
        <v>78</v>
      </c>
      <c r="M213" s="14" t="str">
        <f>IF(messy_clinic_appointments[[#This Row],[days_to_appointment]]&gt;365, "Review", "OK")</f>
        <v>OK</v>
      </c>
    </row>
    <row r="214" spans="1:13" x14ac:dyDescent="0.25">
      <c r="A214">
        <v>1057</v>
      </c>
      <c r="B214" s="14" t="s">
        <v>436</v>
      </c>
      <c r="C214">
        <v>28</v>
      </c>
      <c r="D214" s="14" t="s">
        <v>2010</v>
      </c>
      <c r="E214" s="1">
        <v>45816</v>
      </c>
      <c r="F214" s="1">
        <v>45814</v>
      </c>
      <c r="G214" s="14" t="s">
        <v>437</v>
      </c>
      <c r="H214" s="14" t="s">
        <v>18</v>
      </c>
      <c r="I214" s="14" t="s">
        <v>2216</v>
      </c>
      <c r="J214" s="14" t="str">
        <f>IF(messy_clinic_appointments[[#This Row],[billing_amount]] &lt; 200, "Low", IF(messy_clinic_appointments[[#This Row],[billing_amount]]&lt;= 400, "Medium", "High"))</f>
        <v>High</v>
      </c>
      <c r="K214" s="14" t="s">
        <v>2026</v>
      </c>
      <c r="L214" s="2">
        <f>DATEDIF(messy_clinic_appointments[[#This Row],[booking_date]],messy_clinic_appointments[[#This Row],[appointment_date]],"d")</f>
        <v>2</v>
      </c>
      <c r="M214" s="14" t="str">
        <f>IF(messy_clinic_appointments[[#This Row],[days_to_appointment]]&gt;365, "Review", "OK")</f>
        <v>OK</v>
      </c>
    </row>
    <row r="215" spans="1:13" x14ac:dyDescent="0.25">
      <c r="A215">
        <v>1029</v>
      </c>
      <c r="B215" s="14" t="s">
        <v>438</v>
      </c>
      <c r="C215">
        <v>49</v>
      </c>
      <c r="D215" s="14" t="s">
        <v>30</v>
      </c>
      <c r="E215" s="1">
        <v>45792</v>
      </c>
      <c r="F215" s="1">
        <v>45756</v>
      </c>
      <c r="G215" s="14" t="s">
        <v>439</v>
      </c>
      <c r="H215" s="14" t="s">
        <v>18</v>
      </c>
      <c r="I215" s="14" t="s">
        <v>2217</v>
      </c>
      <c r="J215" s="14" t="str">
        <f>IF(messy_clinic_appointments[[#This Row],[billing_amount]] &lt; 200, "Low", IF(messy_clinic_appointments[[#This Row],[billing_amount]]&lt;= 400, "Medium", "High"))</f>
        <v>High</v>
      </c>
      <c r="K215" s="14" t="s">
        <v>28</v>
      </c>
      <c r="L215" s="2">
        <f>DATEDIF(messy_clinic_appointments[[#This Row],[booking_date]],messy_clinic_appointments[[#This Row],[appointment_date]],"d")</f>
        <v>36</v>
      </c>
      <c r="M215" s="14" t="str">
        <f>IF(messy_clinic_appointments[[#This Row],[days_to_appointment]]&gt;365, "Review", "OK")</f>
        <v>OK</v>
      </c>
    </row>
    <row r="216" spans="1:13" x14ac:dyDescent="0.25">
      <c r="A216">
        <v>1049</v>
      </c>
      <c r="B216" s="14" t="s">
        <v>440</v>
      </c>
      <c r="C216">
        <v>65</v>
      </c>
      <c r="D216" s="14" t="s">
        <v>2022</v>
      </c>
      <c r="E216" s="1">
        <v>46032</v>
      </c>
      <c r="F216" s="1">
        <v>46028</v>
      </c>
      <c r="G216" s="14" t="s">
        <v>441</v>
      </c>
      <c r="H216" s="14" t="s">
        <v>21</v>
      </c>
      <c r="I216" s="14" t="s">
        <v>2218</v>
      </c>
      <c r="J216" s="14" t="str">
        <f>IF(messy_clinic_appointments[[#This Row],[billing_amount]] &lt; 200, "Low", IF(messy_clinic_appointments[[#This Row],[billing_amount]]&lt;= 400, "Medium", "High"))</f>
        <v>High</v>
      </c>
      <c r="K216" s="14" t="s">
        <v>2013</v>
      </c>
      <c r="L216" s="2">
        <f>DATEDIF(messy_clinic_appointments[[#This Row],[booking_date]],messy_clinic_appointments[[#This Row],[appointment_date]],"d")</f>
        <v>4</v>
      </c>
      <c r="M216" s="14" t="str">
        <f>IF(messy_clinic_appointments[[#This Row],[days_to_appointment]]&gt;365, "Review", "OK")</f>
        <v>OK</v>
      </c>
    </row>
    <row r="217" spans="1:13" x14ac:dyDescent="0.25">
      <c r="A217">
        <v>1049</v>
      </c>
      <c r="B217" s="14" t="s">
        <v>442</v>
      </c>
      <c r="C217">
        <v>59</v>
      </c>
      <c r="D217" s="14" t="s">
        <v>50</v>
      </c>
      <c r="E217" s="1">
        <v>45975</v>
      </c>
      <c r="F217" s="1">
        <v>45770</v>
      </c>
      <c r="G217" s="14" t="s">
        <v>443</v>
      </c>
      <c r="H217" s="14" t="s">
        <v>18</v>
      </c>
      <c r="I217" s="14" t="s">
        <v>2219</v>
      </c>
      <c r="J217" s="14" t="str">
        <f>IF(messy_clinic_appointments[[#This Row],[billing_amount]] &lt; 200, "Low", IF(messy_clinic_appointments[[#This Row],[billing_amount]]&lt;= 400, "Medium", "High"))</f>
        <v>High</v>
      </c>
      <c r="K217" s="14" t="s">
        <v>22</v>
      </c>
      <c r="L217" s="2">
        <f>DATEDIF(messy_clinic_appointments[[#This Row],[booking_date]],messy_clinic_appointments[[#This Row],[appointment_date]],"d")</f>
        <v>205</v>
      </c>
      <c r="M217" s="14" t="str">
        <f>IF(messy_clinic_appointments[[#This Row],[days_to_appointment]]&gt;365, "Review", "OK")</f>
        <v>OK</v>
      </c>
    </row>
    <row r="218" spans="1:13" x14ac:dyDescent="0.25">
      <c r="A218">
        <v>1076</v>
      </c>
      <c r="B218" s="14" t="s">
        <v>444</v>
      </c>
      <c r="C218">
        <v>24</v>
      </c>
      <c r="D218" s="14" t="s">
        <v>2011</v>
      </c>
      <c r="E218" s="1">
        <v>45936</v>
      </c>
      <c r="F218" s="1">
        <v>45456</v>
      </c>
      <c r="G218" s="14" t="s">
        <v>445</v>
      </c>
      <c r="H218" s="14" t="s">
        <v>15</v>
      </c>
      <c r="I218" s="14" t="s">
        <v>2220</v>
      </c>
      <c r="J218" s="14" t="str">
        <f>IF(messy_clinic_appointments[[#This Row],[billing_amount]] &lt; 200, "Low", IF(messy_clinic_appointments[[#This Row],[billing_amount]]&lt;= 400, "Medium", "High"))</f>
        <v>High</v>
      </c>
      <c r="K218" s="14" t="s">
        <v>28</v>
      </c>
      <c r="L218" s="2">
        <f>DATEDIF(messy_clinic_appointments[[#This Row],[booking_date]],messy_clinic_appointments[[#This Row],[appointment_date]],"d")</f>
        <v>480</v>
      </c>
      <c r="M218" s="14" t="str">
        <f>IF(messy_clinic_appointments[[#This Row],[days_to_appointment]]&gt;365, "Review", "OK")</f>
        <v>Review</v>
      </c>
    </row>
    <row r="219" spans="1:13" x14ac:dyDescent="0.25">
      <c r="A219">
        <v>1083</v>
      </c>
      <c r="B219" s="14" t="s">
        <v>446</v>
      </c>
      <c r="C219">
        <v>56</v>
      </c>
      <c r="D219" s="14" t="s">
        <v>30</v>
      </c>
      <c r="E219" s="1">
        <v>45754</v>
      </c>
      <c r="F219" s="1">
        <v>45665</v>
      </c>
      <c r="G219" s="14" t="s">
        <v>447</v>
      </c>
      <c r="H219" s="14" t="s">
        <v>18</v>
      </c>
      <c r="I219" s="14" t="s">
        <v>2221</v>
      </c>
      <c r="J219" s="14" t="str">
        <f>IF(messy_clinic_appointments[[#This Row],[billing_amount]] &lt; 200, "Low", IF(messy_clinic_appointments[[#This Row],[billing_amount]]&lt;= 400, "Medium", "High"))</f>
        <v>High</v>
      </c>
      <c r="K219" s="14" t="s">
        <v>2010</v>
      </c>
      <c r="L219" s="2">
        <f>DATEDIF(messy_clinic_appointments[[#This Row],[booking_date]],messy_clinic_appointments[[#This Row],[appointment_date]],"d")</f>
        <v>89</v>
      </c>
      <c r="M219" s="14" t="str">
        <f>IF(messy_clinic_appointments[[#This Row],[days_to_appointment]]&gt;365, "Review", "OK")</f>
        <v>OK</v>
      </c>
    </row>
    <row r="220" spans="1:13" x14ac:dyDescent="0.25">
      <c r="A220">
        <v>1083</v>
      </c>
      <c r="B220" s="14" t="s">
        <v>448</v>
      </c>
      <c r="C220">
        <v>21</v>
      </c>
      <c r="D220" s="14" t="s">
        <v>2039</v>
      </c>
      <c r="E220" s="1">
        <v>45887</v>
      </c>
      <c r="F220" s="1">
        <v>45496</v>
      </c>
      <c r="G220" s="14" t="s">
        <v>449</v>
      </c>
      <c r="H220" s="14" t="s">
        <v>12</v>
      </c>
      <c r="I220" s="14" t="s">
        <v>2222</v>
      </c>
      <c r="J220" s="14" t="str">
        <f>IF(messy_clinic_appointments[[#This Row],[billing_amount]] &lt; 200, "Low", IF(messy_clinic_appointments[[#This Row],[billing_amount]]&lt;= 400, "Medium", "High"))</f>
        <v>High</v>
      </c>
      <c r="K220" s="14" t="s">
        <v>2010</v>
      </c>
      <c r="L220" s="2">
        <f>DATEDIF(messy_clinic_appointments[[#This Row],[booking_date]],messy_clinic_appointments[[#This Row],[appointment_date]],"d")</f>
        <v>391</v>
      </c>
      <c r="M220" s="14" t="str">
        <f>IF(messy_clinic_appointments[[#This Row],[days_to_appointment]]&gt;365, "Review", "OK")</f>
        <v>Review</v>
      </c>
    </row>
    <row r="221" spans="1:13" x14ac:dyDescent="0.25">
      <c r="A221">
        <v>1091</v>
      </c>
      <c r="B221" s="14" t="s">
        <v>450</v>
      </c>
      <c r="C221">
        <v>20</v>
      </c>
      <c r="D221" s="14" t="s">
        <v>2014</v>
      </c>
      <c r="E221" s="1">
        <v>45997</v>
      </c>
      <c r="F221" s="1">
        <v>45986</v>
      </c>
      <c r="G221" s="14" t="s">
        <v>451</v>
      </c>
      <c r="H221" s="14" t="s">
        <v>21</v>
      </c>
      <c r="I221" s="14" t="s">
        <v>2223</v>
      </c>
      <c r="J221" s="14" t="str">
        <f>IF(messy_clinic_appointments[[#This Row],[billing_amount]] &lt; 200, "Low", IF(messy_clinic_appointments[[#This Row],[billing_amount]]&lt;= 400, "Medium", "High"))</f>
        <v>High</v>
      </c>
      <c r="K221" s="14" t="s">
        <v>28</v>
      </c>
      <c r="L221" s="2">
        <f>DATEDIF(messy_clinic_appointments[[#This Row],[booking_date]],messy_clinic_appointments[[#This Row],[appointment_date]],"d")</f>
        <v>11</v>
      </c>
      <c r="M221" s="14" t="str">
        <f>IF(messy_clinic_appointments[[#This Row],[days_to_appointment]]&gt;365, "Review", "OK")</f>
        <v>OK</v>
      </c>
    </row>
    <row r="222" spans="1:13" x14ac:dyDescent="0.25">
      <c r="A222">
        <v>1099</v>
      </c>
      <c r="B222" s="14" t="s">
        <v>452</v>
      </c>
      <c r="C222">
        <v>23</v>
      </c>
      <c r="D222" s="14" t="s">
        <v>2010</v>
      </c>
      <c r="E222" s="1">
        <v>45897</v>
      </c>
      <c r="F222" s="1">
        <v>45539</v>
      </c>
      <c r="G222" s="14" t="s">
        <v>453</v>
      </c>
      <c r="H222" s="14" t="s">
        <v>12</v>
      </c>
      <c r="I222" s="14" t="s">
        <v>2224</v>
      </c>
      <c r="J222" s="14" t="str">
        <f>IF(messy_clinic_appointments[[#This Row],[billing_amount]] &lt; 200, "Low", IF(messy_clinic_appointments[[#This Row],[billing_amount]]&lt;= 400, "Medium", "High"))</f>
        <v>High</v>
      </c>
      <c r="K222" s="14" t="s">
        <v>2026</v>
      </c>
      <c r="L222" s="2">
        <f>DATEDIF(messy_clinic_appointments[[#This Row],[booking_date]],messy_clinic_appointments[[#This Row],[appointment_date]],"d")</f>
        <v>358</v>
      </c>
      <c r="M222" s="14" t="str">
        <f>IF(messy_clinic_appointments[[#This Row],[days_to_appointment]]&gt;365, "Review", "OK")</f>
        <v>OK</v>
      </c>
    </row>
    <row r="223" spans="1:13" x14ac:dyDescent="0.25">
      <c r="A223">
        <v>1098</v>
      </c>
      <c r="B223" s="14" t="s">
        <v>454</v>
      </c>
      <c r="C223">
        <v>39</v>
      </c>
      <c r="D223" s="14" t="s">
        <v>2039</v>
      </c>
      <c r="E223" s="1">
        <v>45962</v>
      </c>
      <c r="F223" s="1">
        <v>45578</v>
      </c>
      <c r="G223" s="14" t="s">
        <v>455</v>
      </c>
      <c r="H223" s="14" t="s">
        <v>21</v>
      </c>
      <c r="I223" s="14" t="s">
        <v>2225</v>
      </c>
      <c r="J223" s="14" t="str">
        <f>IF(messy_clinic_appointments[[#This Row],[billing_amount]] &lt; 200, "Low", IF(messy_clinic_appointments[[#This Row],[billing_amount]]&lt;= 400, "Medium", "High"))</f>
        <v>High</v>
      </c>
      <c r="K223" s="14" t="s">
        <v>2026</v>
      </c>
      <c r="L223" s="2">
        <f>DATEDIF(messy_clinic_appointments[[#This Row],[booking_date]],messy_clinic_appointments[[#This Row],[appointment_date]],"d")</f>
        <v>384</v>
      </c>
      <c r="M223" s="14" t="str">
        <f>IF(messy_clinic_appointments[[#This Row],[days_to_appointment]]&gt;365, "Review", "OK")</f>
        <v>Review</v>
      </c>
    </row>
    <row r="224" spans="1:13" x14ac:dyDescent="0.25">
      <c r="A224">
        <v>1060</v>
      </c>
      <c r="B224" s="14" t="s">
        <v>456</v>
      </c>
      <c r="C224">
        <v>32</v>
      </c>
      <c r="D224" s="14" t="s">
        <v>24</v>
      </c>
      <c r="E224" s="1">
        <v>46024</v>
      </c>
      <c r="F224" s="1">
        <v>45706</v>
      </c>
      <c r="G224" s="14" t="s">
        <v>457</v>
      </c>
      <c r="H224" s="14" t="s">
        <v>15</v>
      </c>
      <c r="I224" s="14" t="s">
        <v>2226</v>
      </c>
      <c r="J224" s="14" t="str">
        <f>IF(messy_clinic_appointments[[#This Row],[billing_amount]] &lt; 200, "Low", IF(messy_clinic_appointments[[#This Row],[billing_amount]]&lt;= 400, "Medium", "High"))</f>
        <v>High</v>
      </c>
      <c r="K224" s="14" t="s">
        <v>28</v>
      </c>
      <c r="L224" s="2">
        <f>DATEDIF(messy_clinic_appointments[[#This Row],[booking_date]],messy_clinic_appointments[[#This Row],[appointment_date]],"d")</f>
        <v>318</v>
      </c>
      <c r="M224" s="14" t="str">
        <f>IF(messy_clinic_appointments[[#This Row],[days_to_appointment]]&gt;365, "Review", "OK")</f>
        <v>OK</v>
      </c>
    </row>
    <row r="225" spans="1:13" x14ac:dyDescent="0.25">
      <c r="A225">
        <v>1091</v>
      </c>
      <c r="B225" s="14" t="s">
        <v>458</v>
      </c>
      <c r="C225">
        <v>67</v>
      </c>
      <c r="D225" s="14" t="s">
        <v>2010</v>
      </c>
      <c r="E225" s="1">
        <v>45870</v>
      </c>
      <c r="F225" s="1">
        <v>45786</v>
      </c>
      <c r="G225" s="14" t="s">
        <v>459</v>
      </c>
      <c r="H225" s="14" t="s">
        <v>18</v>
      </c>
      <c r="I225" s="14" t="s">
        <v>2227</v>
      </c>
      <c r="J225" s="14" t="str">
        <f>IF(messy_clinic_appointments[[#This Row],[billing_amount]] &lt; 200, "Low", IF(messy_clinic_appointments[[#This Row],[billing_amount]]&lt;= 400, "Medium", "High"))</f>
        <v>High</v>
      </c>
      <c r="K225" s="14" t="s">
        <v>2039</v>
      </c>
      <c r="L225" s="2">
        <f>DATEDIF(messy_clinic_appointments[[#This Row],[booking_date]],messy_clinic_appointments[[#This Row],[appointment_date]],"d")</f>
        <v>84</v>
      </c>
      <c r="M225" s="14" t="str">
        <f>IF(messy_clinic_appointments[[#This Row],[days_to_appointment]]&gt;365, "Review", "OK")</f>
        <v>OK</v>
      </c>
    </row>
    <row r="226" spans="1:13" x14ac:dyDescent="0.25">
      <c r="A226">
        <v>1031</v>
      </c>
      <c r="B226" s="14" t="s">
        <v>460</v>
      </c>
      <c r="C226">
        <v>23</v>
      </c>
      <c r="D226" s="14" t="s">
        <v>2022</v>
      </c>
      <c r="E226" s="1">
        <v>46087</v>
      </c>
      <c r="F226" s="1">
        <v>45493</v>
      </c>
      <c r="G226" s="14" t="s">
        <v>461</v>
      </c>
      <c r="H226" s="14" t="s">
        <v>12</v>
      </c>
      <c r="I226" s="14" t="s">
        <v>2228</v>
      </c>
      <c r="J226" s="14" t="str">
        <f>IF(messy_clinic_appointments[[#This Row],[billing_amount]] &lt; 200, "Low", IF(messy_clinic_appointments[[#This Row],[billing_amount]]&lt;= 400, "Medium", "High"))</f>
        <v>High</v>
      </c>
      <c r="K226" s="14" t="s">
        <v>28</v>
      </c>
      <c r="L226" s="2">
        <f>DATEDIF(messy_clinic_appointments[[#This Row],[booking_date]],messy_clinic_appointments[[#This Row],[appointment_date]],"d")</f>
        <v>594</v>
      </c>
      <c r="M226" s="14" t="str">
        <f>IF(messy_clinic_appointments[[#This Row],[days_to_appointment]]&gt;365, "Review", "OK")</f>
        <v>Review</v>
      </c>
    </row>
    <row r="227" spans="1:13" x14ac:dyDescent="0.25">
      <c r="A227">
        <v>1018</v>
      </c>
      <c r="B227" s="14" t="s">
        <v>462</v>
      </c>
      <c r="C227">
        <v>71</v>
      </c>
      <c r="D227" s="14" t="s">
        <v>2014</v>
      </c>
      <c r="E227" s="1">
        <v>45794</v>
      </c>
      <c r="F227" s="1">
        <v>45651</v>
      </c>
      <c r="G227" s="14" t="s">
        <v>463</v>
      </c>
      <c r="H227" s="14" t="s">
        <v>18</v>
      </c>
      <c r="I227" s="14" t="s">
        <v>2229</v>
      </c>
      <c r="J227" s="14" t="str">
        <f>IF(messy_clinic_appointments[[#This Row],[billing_amount]] &lt; 200, "Low", IF(messy_clinic_appointments[[#This Row],[billing_amount]]&lt;= 400, "Medium", "High"))</f>
        <v>High</v>
      </c>
      <c r="K227" s="14" t="s">
        <v>28</v>
      </c>
      <c r="L227" s="2">
        <f>DATEDIF(messy_clinic_appointments[[#This Row],[booking_date]],messy_clinic_appointments[[#This Row],[appointment_date]],"d")</f>
        <v>143</v>
      </c>
      <c r="M227" s="14" t="str">
        <f>IF(messy_clinic_appointments[[#This Row],[days_to_appointment]]&gt;365, "Review", "OK")</f>
        <v>OK</v>
      </c>
    </row>
    <row r="228" spans="1:13" x14ac:dyDescent="0.25">
      <c r="A228">
        <v>1054</v>
      </c>
      <c r="B228" s="14" t="s">
        <v>464</v>
      </c>
      <c r="C228">
        <v>68</v>
      </c>
      <c r="D228" s="14" t="s">
        <v>2022</v>
      </c>
      <c r="E228" s="1">
        <v>45761</v>
      </c>
      <c r="F228" s="1">
        <v>45701</v>
      </c>
      <c r="G228" s="14" t="s">
        <v>465</v>
      </c>
      <c r="H228" s="14" t="s">
        <v>21</v>
      </c>
      <c r="I228" s="14" t="s">
        <v>2230</v>
      </c>
      <c r="J228" s="14" t="str">
        <f>IF(messy_clinic_appointments[[#This Row],[billing_amount]] &lt; 200, "Low", IF(messy_clinic_appointments[[#This Row],[billing_amount]]&lt;= 400, "Medium", "High"))</f>
        <v>High</v>
      </c>
      <c r="K228" s="14" t="s">
        <v>2039</v>
      </c>
      <c r="L228" s="2">
        <f>DATEDIF(messy_clinic_appointments[[#This Row],[booking_date]],messy_clinic_appointments[[#This Row],[appointment_date]],"d")</f>
        <v>60</v>
      </c>
      <c r="M228" s="14" t="str">
        <f>IF(messy_clinic_appointments[[#This Row],[days_to_appointment]]&gt;365, "Review", "OK")</f>
        <v>OK</v>
      </c>
    </row>
    <row r="229" spans="1:13" x14ac:dyDescent="0.25">
      <c r="A229">
        <v>1038</v>
      </c>
      <c r="B229" s="14" t="s">
        <v>466</v>
      </c>
      <c r="C229">
        <v>19</v>
      </c>
      <c r="D229" s="14" t="s">
        <v>2010</v>
      </c>
      <c r="E229" s="1">
        <v>45747</v>
      </c>
      <c r="F229" s="1">
        <v>45592</v>
      </c>
      <c r="G229" s="14" t="s">
        <v>467</v>
      </c>
      <c r="H229" s="14" t="s">
        <v>12</v>
      </c>
      <c r="I229" s="14" t="s">
        <v>2231</v>
      </c>
      <c r="J229" s="14" t="str">
        <f>IF(messy_clinic_appointments[[#This Row],[billing_amount]] &lt; 200, "Low", IF(messy_clinic_appointments[[#This Row],[billing_amount]]&lt;= 400, "Medium", "High"))</f>
        <v>High</v>
      </c>
      <c r="K229" s="14" t="s">
        <v>2026</v>
      </c>
      <c r="L229" s="2">
        <f>DATEDIF(messy_clinic_appointments[[#This Row],[booking_date]],messy_clinic_appointments[[#This Row],[appointment_date]],"d")</f>
        <v>155</v>
      </c>
      <c r="M229" s="14" t="str">
        <f>IF(messy_clinic_appointments[[#This Row],[days_to_appointment]]&gt;365, "Review", "OK")</f>
        <v>OK</v>
      </c>
    </row>
    <row r="230" spans="1:13" x14ac:dyDescent="0.25">
      <c r="A230">
        <v>1067</v>
      </c>
      <c r="B230" s="14" t="s">
        <v>468</v>
      </c>
      <c r="C230">
        <v>33</v>
      </c>
      <c r="D230" s="14" t="s">
        <v>2039</v>
      </c>
      <c r="E230" s="1">
        <v>46020</v>
      </c>
      <c r="F230" s="1">
        <v>45441</v>
      </c>
      <c r="G230" s="14" t="s">
        <v>469</v>
      </c>
      <c r="H230" s="14" t="s">
        <v>21</v>
      </c>
      <c r="I230" s="14" t="s">
        <v>2232</v>
      </c>
      <c r="J230" s="14" t="str">
        <f>IF(messy_clinic_appointments[[#This Row],[billing_amount]] &lt; 200, "Low", IF(messy_clinic_appointments[[#This Row],[billing_amount]]&lt;= 400, "Medium", "High"))</f>
        <v>High</v>
      </c>
      <c r="K230" s="14" t="s">
        <v>22</v>
      </c>
      <c r="L230" s="2">
        <f>DATEDIF(messy_clinic_appointments[[#This Row],[booking_date]],messy_clinic_appointments[[#This Row],[appointment_date]],"d")</f>
        <v>579</v>
      </c>
      <c r="M230" s="14" t="str">
        <f>IF(messy_clinic_appointments[[#This Row],[days_to_appointment]]&gt;365, "Review", "OK")</f>
        <v>Review</v>
      </c>
    </row>
    <row r="231" spans="1:13" x14ac:dyDescent="0.25">
      <c r="A231">
        <v>1070</v>
      </c>
      <c r="B231" s="14" t="s">
        <v>470</v>
      </c>
      <c r="C231">
        <v>54</v>
      </c>
      <c r="D231" s="14" t="s">
        <v>2014</v>
      </c>
      <c r="E231" s="1">
        <v>45831</v>
      </c>
      <c r="F231" s="1">
        <v>45528</v>
      </c>
      <c r="G231" s="14" t="s">
        <v>471</v>
      </c>
      <c r="H231" s="14" t="s">
        <v>18</v>
      </c>
      <c r="I231" s="14" t="s">
        <v>2233</v>
      </c>
      <c r="J231" s="14" t="str">
        <f>IF(messy_clinic_appointments[[#This Row],[billing_amount]] &lt; 200, "Low", IF(messy_clinic_appointments[[#This Row],[billing_amount]]&lt;= 400, "Medium", "High"))</f>
        <v>High</v>
      </c>
      <c r="K231" s="14" t="s">
        <v>2039</v>
      </c>
      <c r="L231" s="2">
        <f>DATEDIF(messy_clinic_appointments[[#This Row],[booking_date]],messy_clinic_appointments[[#This Row],[appointment_date]],"d")</f>
        <v>303</v>
      </c>
      <c r="M231" s="14" t="str">
        <f>IF(messy_clinic_appointments[[#This Row],[days_to_appointment]]&gt;365, "Review", "OK")</f>
        <v>OK</v>
      </c>
    </row>
    <row r="232" spans="1:13" x14ac:dyDescent="0.25">
      <c r="A232">
        <v>1097</v>
      </c>
      <c r="B232" s="14" t="s">
        <v>472</v>
      </c>
      <c r="C232">
        <v>52</v>
      </c>
      <c r="D232" s="14" t="s">
        <v>50</v>
      </c>
      <c r="E232" s="1">
        <v>46031</v>
      </c>
      <c r="F232" s="1">
        <v>45875</v>
      </c>
      <c r="G232" s="14" t="s">
        <v>473</v>
      </c>
      <c r="H232" s="14" t="s">
        <v>18</v>
      </c>
      <c r="I232" s="14" t="s">
        <v>2234</v>
      </c>
      <c r="J232" s="14" t="str">
        <f>IF(messy_clinic_appointments[[#This Row],[billing_amount]] &lt; 200, "Low", IF(messy_clinic_appointments[[#This Row],[billing_amount]]&lt;= 400, "Medium", "High"))</f>
        <v>High</v>
      </c>
      <c r="K232" s="14" t="s">
        <v>28</v>
      </c>
      <c r="L232" s="2">
        <f>DATEDIF(messy_clinic_appointments[[#This Row],[booking_date]],messy_clinic_appointments[[#This Row],[appointment_date]],"d")</f>
        <v>156</v>
      </c>
      <c r="M232" s="14" t="str">
        <f>IF(messy_clinic_appointments[[#This Row],[days_to_appointment]]&gt;365, "Review", "OK")</f>
        <v>OK</v>
      </c>
    </row>
    <row r="233" spans="1:13" x14ac:dyDescent="0.25">
      <c r="A233">
        <v>1056</v>
      </c>
      <c r="B233" s="14" t="s">
        <v>474</v>
      </c>
      <c r="C233">
        <v>70</v>
      </c>
      <c r="D233" s="14" t="s">
        <v>30</v>
      </c>
      <c r="E233" s="1">
        <v>46017</v>
      </c>
      <c r="F233" s="1">
        <v>45882</v>
      </c>
      <c r="G233" s="14" t="s">
        <v>475</v>
      </c>
      <c r="H233" s="14" t="s">
        <v>21</v>
      </c>
      <c r="I233" s="14" t="s">
        <v>2235</v>
      </c>
      <c r="J233" s="14" t="str">
        <f>IF(messy_clinic_appointments[[#This Row],[billing_amount]] &lt; 200, "Low", IF(messy_clinic_appointments[[#This Row],[billing_amount]]&lt;= 400, "Medium", "High"))</f>
        <v>High</v>
      </c>
      <c r="K233" s="14" t="s">
        <v>2013</v>
      </c>
      <c r="L233" s="2">
        <f>DATEDIF(messy_clinic_appointments[[#This Row],[booking_date]],messy_clinic_appointments[[#This Row],[appointment_date]],"d")</f>
        <v>135</v>
      </c>
      <c r="M233" s="14" t="str">
        <f>IF(messy_clinic_appointments[[#This Row],[days_to_appointment]]&gt;365, "Review", "OK")</f>
        <v>OK</v>
      </c>
    </row>
    <row r="234" spans="1:13" x14ac:dyDescent="0.25">
      <c r="A234">
        <v>1078</v>
      </c>
      <c r="B234" s="14" t="s">
        <v>476</v>
      </c>
      <c r="C234">
        <v>56</v>
      </c>
      <c r="D234" s="14" t="s">
        <v>2008</v>
      </c>
      <c r="E234" s="1">
        <v>45743</v>
      </c>
      <c r="F234" s="1">
        <v>45432</v>
      </c>
      <c r="G234" s="14" t="s">
        <v>477</v>
      </c>
      <c r="H234" s="14" t="s">
        <v>15</v>
      </c>
      <c r="I234" s="14" t="s">
        <v>2236</v>
      </c>
      <c r="J234" s="14" t="str">
        <f>IF(messy_clinic_appointments[[#This Row],[billing_amount]] &lt; 200, "Low", IF(messy_clinic_appointments[[#This Row],[billing_amount]]&lt;= 400, "Medium", "High"))</f>
        <v>High</v>
      </c>
      <c r="K234" s="14" t="s">
        <v>2010</v>
      </c>
      <c r="L234" s="2">
        <f>DATEDIF(messy_clinic_appointments[[#This Row],[booking_date]],messy_clinic_appointments[[#This Row],[appointment_date]],"d")</f>
        <v>311</v>
      </c>
      <c r="M234" s="14" t="str">
        <f>IF(messy_clinic_appointments[[#This Row],[days_to_appointment]]&gt;365, "Review", "OK")</f>
        <v>OK</v>
      </c>
    </row>
    <row r="235" spans="1:13" x14ac:dyDescent="0.25">
      <c r="A235">
        <v>1031</v>
      </c>
      <c r="B235" s="14" t="s">
        <v>478</v>
      </c>
      <c r="C235">
        <v>29</v>
      </c>
      <c r="D235" s="14" t="s">
        <v>30</v>
      </c>
      <c r="E235" s="1">
        <v>45874</v>
      </c>
      <c r="F235" s="1">
        <v>45562</v>
      </c>
      <c r="G235" s="14" t="s">
        <v>479</v>
      </c>
      <c r="H235" s="14" t="s">
        <v>15</v>
      </c>
      <c r="I235" s="14" t="s">
        <v>24</v>
      </c>
      <c r="J235" s="14" t="str">
        <f>IF(messy_clinic_appointments[[#This Row],[billing_amount]] &lt; 200, "Low", IF(messy_clinic_appointments[[#This Row],[billing_amount]]&lt;= 400, "Medium", "High"))</f>
        <v>High</v>
      </c>
      <c r="K235" s="14" t="s">
        <v>2013</v>
      </c>
      <c r="L235" s="2">
        <f>DATEDIF(messy_clinic_appointments[[#This Row],[booking_date]],messy_clinic_appointments[[#This Row],[appointment_date]],"d")</f>
        <v>312</v>
      </c>
      <c r="M235" s="14" t="str">
        <f>IF(messy_clinic_appointments[[#This Row],[days_to_appointment]]&gt;365, "Review", "OK")</f>
        <v>OK</v>
      </c>
    </row>
    <row r="236" spans="1:13" x14ac:dyDescent="0.25">
      <c r="A236">
        <v>1035</v>
      </c>
      <c r="B236" s="14" t="s">
        <v>480</v>
      </c>
      <c r="C236">
        <v>80</v>
      </c>
      <c r="D236" s="14" t="s">
        <v>2022</v>
      </c>
      <c r="E236" s="1">
        <v>45872</v>
      </c>
      <c r="F236" s="1">
        <v>45750</v>
      </c>
      <c r="G236" s="14" t="s">
        <v>481</v>
      </c>
      <c r="H236" s="14" t="s">
        <v>18</v>
      </c>
      <c r="I236" s="14" t="s">
        <v>2237</v>
      </c>
      <c r="J236" s="14" t="str">
        <f>IF(messy_clinic_appointments[[#This Row],[billing_amount]] &lt; 200, "Low", IF(messy_clinic_appointments[[#This Row],[billing_amount]]&lt;= 400, "Medium", "High"))</f>
        <v>High</v>
      </c>
      <c r="K236" s="14" t="s">
        <v>28</v>
      </c>
      <c r="L236" s="2">
        <f>DATEDIF(messy_clinic_appointments[[#This Row],[booking_date]],messy_clinic_appointments[[#This Row],[appointment_date]],"d")</f>
        <v>122</v>
      </c>
      <c r="M236" s="14" t="str">
        <f>IF(messy_clinic_appointments[[#This Row],[days_to_appointment]]&gt;365, "Review", "OK")</f>
        <v>OK</v>
      </c>
    </row>
    <row r="237" spans="1:13" x14ac:dyDescent="0.25">
      <c r="A237">
        <v>1079</v>
      </c>
      <c r="B237" s="14" t="s">
        <v>482</v>
      </c>
      <c r="C237">
        <v>24</v>
      </c>
      <c r="D237" s="14" t="s">
        <v>2014</v>
      </c>
      <c r="E237" s="1">
        <v>46038</v>
      </c>
      <c r="F237" s="1">
        <v>45402</v>
      </c>
      <c r="G237" s="14" t="s">
        <v>483</v>
      </c>
      <c r="H237" s="14" t="s">
        <v>12</v>
      </c>
      <c r="I237" s="14" t="s">
        <v>2238</v>
      </c>
      <c r="J237" s="14" t="str">
        <f>IF(messy_clinic_appointments[[#This Row],[billing_amount]] &lt; 200, "Low", IF(messy_clinic_appointments[[#This Row],[billing_amount]]&lt;= 400, "Medium", "High"))</f>
        <v>High</v>
      </c>
      <c r="K237" s="14" t="s">
        <v>2026</v>
      </c>
      <c r="L237" s="2">
        <f>DATEDIF(messy_clinic_appointments[[#This Row],[booking_date]],messy_clinic_appointments[[#This Row],[appointment_date]],"d")</f>
        <v>636</v>
      </c>
      <c r="M237" s="14" t="str">
        <f>IF(messy_clinic_appointments[[#This Row],[days_to_appointment]]&gt;365, "Review", "OK")</f>
        <v>Review</v>
      </c>
    </row>
    <row r="238" spans="1:13" x14ac:dyDescent="0.25">
      <c r="A238">
        <v>1062</v>
      </c>
      <c r="B238" s="14" t="s">
        <v>484</v>
      </c>
      <c r="C238">
        <v>20</v>
      </c>
      <c r="D238" s="14" t="s">
        <v>2014</v>
      </c>
      <c r="E238" s="1">
        <v>45823</v>
      </c>
      <c r="F238" s="1">
        <v>45758</v>
      </c>
      <c r="G238" s="14" t="s">
        <v>485</v>
      </c>
      <c r="H238" s="14" t="s">
        <v>12</v>
      </c>
      <c r="I238" s="14" t="s">
        <v>2239</v>
      </c>
      <c r="J238" s="14" t="str">
        <f>IF(messy_clinic_appointments[[#This Row],[billing_amount]] &lt; 200, "Low", IF(messy_clinic_appointments[[#This Row],[billing_amount]]&lt;= 400, "Medium", "High"))</f>
        <v>High</v>
      </c>
      <c r="K238" s="14" t="s">
        <v>2010</v>
      </c>
      <c r="L238" s="2">
        <f>DATEDIF(messy_clinic_appointments[[#This Row],[booking_date]],messy_clinic_appointments[[#This Row],[appointment_date]],"d")</f>
        <v>65</v>
      </c>
      <c r="M238" s="14" t="str">
        <f>IF(messy_clinic_appointments[[#This Row],[days_to_appointment]]&gt;365, "Review", "OK")</f>
        <v>OK</v>
      </c>
    </row>
    <row r="239" spans="1:13" x14ac:dyDescent="0.25">
      <c r="A239">
        <v>1006</v>
      </c>
      <c r="B239" s="14" t="s">
        <v>486</v>
      </c>
      <c r="C239">
        <v>56</v>
      </c>
      <c r="D239" s="14" t="s">
        <v>2039</v>
      </c>
      <c r="E239" s="1">
        <v>46056</v>
      </c>
      <c r="F239" s="1">
        <v>45520</v>
      </c>
      <c r="G239" s="14" t="s">
        <v>487</v>
      </c>
      <c r="H239" s="14" t="s">
        <v>21</v>
      </c>
      <c r="I239" s="14" t="s">
        <v>2240</v>
      </c>
      <c r="J239" s="14" t="str">
        <f>IF(messy_clinic_appointments[[#This Row],[billing_amount]] &lt; 200, "Low", IF(messy_clinic_appointments[[#This Row],[billing_amount]]&lt;= 400, "Medium", "High"))</f>
        <v>High</v>
      </c>
      <c r="K239" s="14" t="s">
        <v>2010</v>
      </c>
      <c r="L239" s="2">
        <f>DATEDIF(messy_clinic_appointments[[#This Row],[booking_date]],messy_clinic_appointments[[#This Row],[appointment_date]],"d")</f>
        <v>536</v>
      </c>
      <c r="M239" s="14" t="str">
        <f>IF(messy_clinic_appointments[[#This Row],[days_to_appointment]]&gt;365, "Review", "OK")</f>
        <v>Review</v>
      </c>
    </row>
    <row r="240" spans="1:13" x14ac:dyDescent="0.25">
      <c r="A240">
        <v>1034</v>
      </c>
      <c r="B240" s="14" t="s">
        <v>488</v>
      </c>
      <c r="C240">
        <v>60</v>
      </c>
      <c r="D240" s="14" t="s">
        <v>2008</v>
      </c>
      <c r="E240" s="1">
        <v>46033</v>
      </c>
      <c r="F240" s="1">
        <v>45863</v>
      </c>
      <c r="G240" s="14" t="s">
        <v>489</v>
      </c>
      <c r="H240" s="14" t="s">
        <v>18</v>
      </c>
      <c r="I240" s="14" t="s">
        <v>24</v>
      </c>
      <c r="J240" s="14" t="str">
        <f>IF(messy_clinic_appointments[[#This Row],[billing_amount]] &lt; 200, "Low", IF(messy_clinic_appointments[[#This Row],[billing_amount]]&lt;= 400, "Medium", "High"))</f>
        <v>High</v>
      </c>
      <c r="K240" s="14" t="s">
        <v>2039</v>
      </c>
      <c r="L240" s="2">
        <f>DATEDIF(messy_clinic_appointments[[#This Row],[booking_date]],messy_clinic_appointments[[#This Row],[appointment_date]],"d")</f>
        <v>170</v>
      </c>
      <c r="M240" s="14" t="str">
        <f>IF(messy_clinic_appointments[[#This Row],[days_to_appointment]]&gt;365, "Review", "OK")</f>
        <v>OK</v>
      </c>
    </row>
    <row r="241" spans="1:13" x14ac:dyDescent="0.25">
      <c r="A241">
        <v>1021</v>
      </c>
      <c r="B241" s="14" t="s">
        <v>490</v>
      </c>
      <c r="C241">
        <v>51</v>
      </c>
      <c r="D241" s="14" t="s">
        <v>2022</v>
      </c>
      <c r="E241" s="1">
        <v>46018</v>
      </c>
      <c r="F241" s="1">
        <v>45668</v>
      </c>
      <c r="G241" s="14" t="s">
        <v>491</v>
      </c>
      <c r="H241" s="14" t="s">
        <v>21</v>
      </c>
      <c r="I241" s="14" t="s">
        <v>2241</v>
      </c>
      <c r="J241" s="14" t="str">
        <f>IF(messy_clinic_appointments[[#This Row],[billing_amount]] &lt; 200, "Low", IF(messy_clinic_appointments[[#This Row],[billing_amount]]&lt;= 400, "Medium", "High"))</f>
        <v>High</v>
      </c>
      <c r="K241" s="14" t="s">
        <v>2026</v>
      </c>
      <c r="L241" s="2">
        <f>DATEDIF(messy_clinic_appointments[[#This Row],[booking_date]],messy_clinic_appointments[[#This Row],[appointment_date]],"d")</f>
        <v>350</v>
      </c>
      <c r="M241" s="14" t="str">
        <f>IF(messy_clinic_appointments[[#This Row],[days_to_appointment]]&gt;365, "Review", "OK")</f>
        <v>OK</v>
      </c>
    </row>
    <row r="242" spans="1:13" x14ac:dyDescent="0.25">
      <c r="A242">
        <v>1089</v>
      </c>
      <c r="B242" s="14" t="s">
        <v>492</v>
      </c>
      <c r="C242">
        <v>72</v>
      </c>
      <c r="D242" s="14" t="s">
        <v>2008</v>
      </c>
      <c r="E242" s="1">
        <v>46017</v>
      </c>
      <c r="F242" s="1">
        <v>45509</v>
      </c>
      <c r="G242" s="14" t="s">
        <v>493</v>
      </c>
      <c r="H242" s="14" t="s">
        <v>18</v>
      </c>
      <c r="I242" s="14" t="s">
        <v>2242</v>
      </c>
      <c r="J242" s="14" t="str">
        <f>IF(messy_clinic_appointments[[#This Row],[billing_amount]] &lt; 200, "Low", IF(messy_clinic_appointments[[#This Row],[billing_amount]]&lt;= 400, "Medium", "High"))</f>
        <v>High</v>
      </c>
      <c r="K242" s="14" t="s">
        <v>28</v>
      </c>
      <c r="L242" s="2">
        <f>DATEDIF(messy_clinic_appointments[[#This Row],[booking_date]],messy_clinic_appointments[[#This Row],[appointment_date]],"d")</f>
        <v>508</v>
      </c>
      <c r="M242" s="14" t="str">
        <f>IF(messy_clinic_appointments[[#This Row],[days_to_appointment]]&gt;365, "Review", "OK")</f>
        <v>Review</v>
      </c>
    </row>
    <row r="243" spans="1:13" x14ac:dyDescent="0.25">
      <c r="A243">
        <v>1054</v>
      </c>
      <c r="B243" s="14" t="s">
        <v>494</v>
      </c>
      <c r="C243">
        <v>74</v>
      </c>
      <c r="D243" s="14" t="s">
        <v>2039</v>
      </c>
      <c r="E243" s="1">
        <v>46068</v>
      </c>
      <c r="F243" s="1">
        <v>45807</v>
      </c>
      <c r="G243" s="14" t="s">
        <v>495</v>
      </c>
      <c r="H243" s="14" t="s">
        <v>18</v>
      </c>
      <c r="I243" s="14" t="s">
        <v>2243</v>
      </c>
      <c r="J243" s="14" t="str">
        <f>IF(messy_clinic_appointments[[#This Row],[billing_amount]] &lt; 200, "Low", IF(messy_clinic_appointments[[#This Row],[billing_amount]]&lt;= 400, "Medium", "High"))</f>
        <v>High</v>
      </c>
      <c r="K243" s="14" t="s">
        <v>2039</v>
      </c>
      <c r="L243" s="2">
        <f>DATEDIF(messy_clinic_appointments[[#This Row],[booking_date]],messy_clinic_appointments[[#This Row],[appointment_date]],"d")</f>
        <v>261</v>
      </c>
      <c r="M243" s="14" t="str">
        <f>IF(messy_clinic_appointments[[#This Row],[days_to_appointment]]&gt;365, "Review", "OK")</f>
        <v>OK</v>
      </c>
    </row>
    <row r="244" spans="1:13" x14ac:dyDescent="0.25">
      <c r="A244">
        <v>1026</v>
      </c>
      <c r="B244" s="14" t="s">
        <v>496</v>
      </c>
      <c r="C244">
        <v>80</v>
      </c>
      <c r="D244" s="14" t="s">
        <v>50</v>
      </c>
      <c r="E244" s="1">
        <v>45774</v>
      </c>
      <c r="F244" s="1">
        <v>45739</v>
      </c>
      <c r="G244" s="14" t="s">
        <v>497</v>
      </c>
      <c r="H244" s="14" t="s">
        <v>21</v>
      </c>
      <c r="I244" s="14" t="s">
        <v>2244</v>
      </c>
      <c r="J244" s="14" t="str">
        <f>IF(messy_clinic_appointments[[#This Row],[billing_amount]] &lt; 200, "Low", IF(messy_clinic_appointments[[#This Row],[billing_amount]]&lt;= 400, "Medium", "High"))</f>
        <v>High</v>
      </c>
      <c r="K244" s="14" t="s">
        <v>2013</v>
      </c>
      <c r="L244" s="2">
        <f>DATEDIF(messy_clinic_appointments[[#This Row],[booking_date]],messy_clinic_appointments[[#This Row],[appointment_date]],"d")</f>
        <v>35</v>
      </c>
      <c r="M244" s="14" t="str">
        <f>IF(messy_clinic_appointments[[#This Row],[days_to_appointment]]&gt;365, "Review", "OK")</f>
        <v>OK</v>
      </c>
    </row>
    <row r="245" spans="1:13" x14ac:dyDescent="0.25">
      <c r="A245">
        <v>1015</v>
      </c>
      <c r="B245" s="14" t="s">
        <v>498</v>
      </c>
      <c r="C245">
        <v>53</v>
      </c>
      <c r="D245" s="14" t="s">
        <v>2039</v>
      </c>
      <c r="E245" s="1">
        <v>45933</v>
      </c>
      <c r="F245" s="1">
        <v>45839</v>
      </c>
      <c r="G245" s="14" t="s">
        <v>499</v>
      </c>
      <c r="H245" s="14" t="s">
        <v>15</v>
      </c>
      <c r="I245" s="14" t="s">
        <v>2245</v>
      </c>
      <c r="J245" s="14" t="str">
        <f>IF(messy_clinic_appointments[[#This Row],[billing_amount]] &lt; 200, "Low", IF(messy_clinic_appointments[[#This Row],[billing_amount]]&lt;= 400, "Medium", "High"))</f>
        <v>High</v>
      </c>
      <c r="K245" s="14" t="s">
        <v>2039</v>
      </c>
      <c r="L245" s="2">
        <f>DATEDIF(messy_clinic_appointments[[#This Row],[booking_date]],messy_clinic_appointments[[#This Row],[appointment_date]],"d")</f>
        <v>94</v>
      </c>
      <c r="M245" s="14" t="str">
        <f>IF(messy_clinic_appointments[[#This Row],[days_to_appointment]]&gt;365, "Review", "OK")</f>
        <v>OK</v>
      </c>
    </row>
    <row r="246" spans="1:13" x14ac:dyDescent="0.25">
      <c r="A246">
        <v>1015</v>
      </c>
      <c r="B246" s="14" t="s">
        <v>500</v>
      </c>
      <c r="C246">
        <v>88</v>
      </c>
      <c r="D246" s="14" t="s">
        <v>24</v>
      </c>
      <c r="E246" s="1">
        <v>45949</v>
      </c>
      <c r="F246" s="1">
        <v>45813</v>
      </c>
      <c r="G246" s="14" t="s">
        <v>501</v>
      </c>
      <c r="H246" s="14" t="s">
        <v>15</v>
      </c>
      <c r="I246" s="14" t="s">
        <v>2246</v>
      </c>
      <c r="J246" s="14" t="str">
        <f>IF(messy_clinic_appointments[[#This Row],[billing_amount]] &lt; 200, "Low", IF(messy_clinic_appointments[[#This Row],[billing_amount]]&lt;= 400, "Medium", "High"))</f>
        <v>High</v>
      </c>
      <c r="K246" s="14" t="s">
        <v>2010</v>
      </c>
      <c r="L246" s="2">
        <f>DATEDIF(messy_clinic_appointments[[#This Row],[booking_date]],messy_clinic_appointments[[#This Row],[appointment_date]],"d")</f>
        <v>136</v>
      </c>
      <c r="M246" s="14" t="str">
        <f>IF(messy_clinic_appointments[[#This Row],[days_to_appointment]]&gt;365, "Review", "OK")</f>
        <v>OK</v>
      </c>
    </row>
    <row r="247" spans="1:13" x14ac:dyDescent="0.25">
      <c r="A247">
        <v>1060</v>
      </c>
      <c r="B247" s="14" t="s">
        <v>502</v>
      </c>
      <c r="C247">
        <v>51</v>
      </c>
      <c r="D247" s="14" t="s">
        <v>2008</v>
      </c>
      <c r="E247" s="1">
        <v>45844</v>
      </c>
      <c r="F247" s="1">
        <v>45765</v>
      </c>
      <c r="G247" s="14" t="s">
        <v>503</v>
      </c>
      <c r="H247" s="14" t="s">
        <v>21</v>
      </c>
      <c r="I247" s="14" t="s">
        <v>2247</v>
      </c>
      <c r="J247" s="14" t="str">
        <f>IF(messy_clinic_appointments[[#This Row],[billing_amount]] &lt; 200, "Low", IF(messy_clinic_appointments[[#This Row],[billing_amount]]&lt;= 400, "Medium", "High"))</f>
        <v>High</v>
      </c>
      <c r="K247" s="14" t="s">
        <v>2013</v>
      </c>
      <c r="L247" s="2">
        <f>DATEDIF(messy_clinic_appointments[[#This Row],[booking_date]],messy_clinic_appointments[[#This Row],[appointment_date]],"d")</f>
        <v>79</v>
      </c>
      <c r="M247" s="14" t="str">
        <f>IF(messy_clinic_appointments[[#This Row],[days_to_appointment]]&gt;365, "Review", "OK")</f>
        <v>OK</v>
      </c>
    </row>
    <row r="248" spans="1:13" x14ac:dyDescent="0.25">
      <c r="A248">
        <v>1003</v>
      </c>
      <c r="B248" s="14" t="s">
        <v>504</v>
      </c>
      <c r="C248">
        <v>77</v>
      </c>
      <c r="D248" s="14" t="s">
        <v>50</v>
      </c>
      <c r="E248" s="1">
        <v>45811</v>
      </c>
      <c r="F248" s="1">
        <v>45430</v>
      </c>
      <c r="G248" s="14" t="s">
        <v>505</v>
      </c>
      <c r="H248" s="14" t="s">
        <v>15</v>
      </c>
      <c r="I248" s="14" t="s">
        <v>2248</v>
      </c>
      <c r="J248" s="14" t="str">
        <f>IF(messy_clinic_appointments[[#This Row],[billing_amount]] &lt; 200, "Low", IF(messy_clinic_appointments[[#This Row],[billing_amount]]&lt;= 400, "Medium", "High"))</f>
        <v>High</v>
      </c>
      <c r="K248" s="14" t="s">
        <v>2010</v>
      </c>
      <c r="L248" s="2">
        <f>DATEDIF(messy_clinic_appointments[[#This Row],[booking_date]],messy_clinic_appointments[[#This Row],[appointment_date]],"d")</f>
        <v>381</v>
      </c>
      <c r="M248" s="14" t="str">
        <f>IF(messy_clinic_appointments[[#This Row],[days_to_appointment]]&gt;365, "Review", "OK")</f>
        <v>Review</v>
      </c>
    </row>
    <row r="249" spans="1:13" x14ac:dyDescent="0.25">
      <c r="A249">
        <v>1022</v>
      </c>
      <c r="B249" s="14" t="s">
        <v>506</v>
      </c>
      <c r="C249">
        <v>24</v>
      </c>
      <c r="D249" s="14" t="s">
        <v>30</v>
      </c>
      <c r="E249" s="1">
        <v>45888</v>
      </c>
      <c r="F249" s="1">
        <v>45787</v>
      </c>
      <c r="G249" s="14" t="s">
        <v>507</v>
      </c>
      <c r="H249" s="14" t="s">
        <v>18</v>
      </c>
      <c r="I249" s="14" t="s">
        <v>2249</v>
      </c>
      <c r="J249" s="14" t="str">
        <f>IF(messy_clinic_appointments[[#This Row],[billing_amount]] &lt; 200, "Low", IF(messy_clinic_appointments[[#This Row],[billing_amount]]&lt;= 400, "Medium", "High"))</f>
        <v>High</v>
      </c>
      <c r="K249" s="14" t="s">
        <v>28</v>
      </c>
      <c r="L249" s="2">
        <f>DATEDIF(messy_clinic_appointments[[#This Row],[booking_date]],messy_clinic_appointments[[#This Row],[appointment_date]],"d")</f>
        <v>101</v>
      </c>
      <c r="M249" s="14" t="str">
        <f>IF(messy_clinic_appointments[[#This Row],[days_to_appointment]]&gt;365, "Review", "OK")</f>
        <v>OK</v>
      </c>
    </row>
    <row r="250" spans="1:13" x14ac:dyDescent="0.25">
      <c r="A250">
        <v>1093</v>
      </c>
      <c r="B250" s="14" t="s">
        <v>508</v>
      </c>
      <c r="C250">
        <v>31</v>
      </c>
      <c r="D250" s="14" t="s">
        <v>24</v>
      </c>
      <c r="E250" s="1">
        <v>45804</v>
      </c>
      <c r="F250" s="1">
        <v>45646</v>
      </c>
      <c r="G250" s="14" t="s">
        <v>509</v>
      </c>
      <c r="H250" s="14" t="s">
        <v>21</v>
      </c>
      <c r="I250" s="14" t="s">
        <v>2250</v>
      </c>
      <c r="J250" s="14" t="str">
        <f>IF(messy_clinic_appointments[[#This Row],[billing_amount]] &lt; 200, "Low", IF(messy_clinic_appointments[[#This Row],[billing_amount]]&lt;= 400, "Medium", "High"))</f>
        <v>High</v>
      </c>
      <c r="K250" s="14" t="s">
        <v>2039</v>
      </c>
      <c r="L250" s="2">
        <f>DATEDIF(messy_clinic_appointments[[#This Row],[booking_date]],messy_clinic_appointments[[#This Row],[appointment_date]],"d")</f>
        <v>158</v>
      </c>
      <c r="M250" s="14" t="str">
        <f>IF(messy_clinic_appointments[[#This Row],[days_to_appointment]]&gt;365, "Review", "OK")</f>
        <v>OK</v>
      </c>
    </row>
    <row r="251" spans="1:13" x14ac:dyDescent="0.25">
      <c r="A251">
        <v>1089</v>
      </c>
      <c r="B251" s="14" t="s">
        <v>510</v>
      </c>
      <c r="C251">
        <v>47</v>
      </c>
      <c r="D251" s="14" t="s">
        <v>2008</v>
      </c>
      <c r="E251" s="1">
        <v>46064</v>
      </c>
      <c r="F251" s="1">
        <v>45702</v>
      </c>
      <c r="G251" s="14" t="s">
        <v>511</v>
      </c>
      <c r="H251" s="14" t="s">
        <v>12</v>
      </c>
      <c r="I251" s="14" t="s">
        <v>2251</v>
      </c>
      <c r="J251" s="14" t="str">
        <f>IF(messy_clinic_appointments[[#This Row],[billing_amount]] &lt; 200, "Low", IF(messy_clinic_appointments[[#This Row],[billing_amount]]&lt;= 400, "Medium", "High"))</f>
        <v>High</v>
      </c>
      <c r="K251" s="14" t="s">
        <v>22</v>
      </c>
      <c r="L251" s="2">
        <f>DATEDIF(messy_clinic_appointments[[#This Row],[booking_date]],messy_clinic_appointments[[#This Row],[appointment_date]],"d")</f>
        <v>362</v>
      </c>
      <c r="M251" s="14" t="str">
        <f>IF(messy_clinic_appointments[[#This Row],[days_to_appointment]]&gt;365, "Review", "OK")</f>
        <v>OK</v>
      </c>
    </row>
    <row r="252" spans="1:13" x14ac:dyDescent="0.25">
      <c r="A252">
        <v>1094</v>
      </c>
      <c r="B252" s="14" t="s">
        <v>512</v>
      </c>
      <c r="C252">
        <v>74</v>
      </c>
      <c r="D252" s="14" t="s">
        <v>2010</v>
      </c>
      <c r="E252" s="1">
        <v>45825</v>
      </c>
      <c r="F252" s="1">
        <v>45407</v>
      </c>
      <c r="G252" s="14" t="s">
        <v>513</v>
      </c>
      <c r="H252" s="14" t="s">
        <v>12</v>
      </c>
      <c r="I252" s="14" t="s">
        <v>2252</v>
      </c>
      <c r="J252" s="14" t="str">
        <f>IF(messy_clinic_appointments[[#This Row],[billing_amount]] &lt; 200, "Low", IF(messy_clinic_appointments[[#This Row],[billing_amount]]&lt;= 400, "Medium", "High"))</f>
        <v>High</v>
      </c>
      <c r="K252" s="14" t="s">
        <v>2010</v>
      </c>
      <c r="L252" s="2">
        <f>DATEDIF(messy_clinic_appointments[[#This Row],[booking_date]],messy_clinic_appointments[[#This Row],[appointment_date]],"d")</f>
        <v>418</v>
      </c>
      <c r="M252" s="14" t="str">
        <f>IF(messy_clinic_appointments[[#This Row],[days_to_appointment]]&gt;365, "Review", "OK")</f>
        <v>Review</v>
      </c>
    </row>
    <row r="253" spans="1:13" x14ac:dyDescent="0.25">
      <c r="A253">
        <v>1016</v>
      </c>
      <c r="B253" s="14" t="s">
        <v>514</v>
      </c>
      <c r="C253">
        <v>36</v>
      </c>
      <c r="D253" s="14" t="s">
        <v>2011</v>
      </c>
      <c r="E253" s="1">
        <v>45996</v>
      </c>
      <c r="F253" s="1">
        <v>45458</v>
      </c>
      <c r="G253" s="14" t="s">
        <v>515</v>
      </c>
      <c r="H253" s="14" t="s">
        <v>18</v>
      </c>
      <c r="I253" s="14" t="s">
        <v>2253</v>
      </c>
      <c r="J253" s="14" t="str">
        <f>IF(messy_clinic_appointments[[#This Row],[billing_amount]] &lt; 200, "Low", IF(messy_clinic_appointments[[#This Row],[billing_amount]]&lt;= 400, "Medium", "High"))</f>
        <v>High</v>
      </c>
      <c r="K253" s="14" t="s">
        <v>2026</v>
      </c>
      <c r="L253" s="2">
        <f>DATEDIF(messy_clinic_appointments[[#This Row],[booking_date]],messy_clinic_appointments[[#This Row],[appointment_date]],"d")</f>
        <v>538</v>
      </c>
      <c r="M253" s="14" t="str">
        <f>IF(messy_clinic_appointments[[#This Row],[days_to_appointment]]&gt;365, "Review", "OK")</f>
        <v>Review</v>
      </c>
    </row>
    <row r="254" spans="1:13" x14ac:dyDescent="0.25">
      <c r="A254">
        <v>1045</v>
      </c>
      <c r="B254" s="14" t="s">
        <v>516</v>
      </c>
      <c r="C254">
        <v>34</v>
      </c>
      <c r="D254" s="14" t="s">
        <v>2011</v>
      </c>
      <c r="E254" s="1">
        <v>45791</v>
      </c>
      <c r="F254" s="1">
        <v>45431</v>
      </c>
      <c r="G254" s="14" t="s">
        <v>517</v>
      </c>
      <c r="H254" s="14" t="s">
        <v>12</v>
      </c>
      <c r="I254" s="14" t="s">
        <v>2254</v>
      </c>
      <c r="J254" s="14" t="str">
        <f>IF(messy_clinic_appointments[[#This Row],[billing_amount]] &lt; 200, "Low", IF(messy_clinic_appointments[[#This Row],[billing_amount]]&lt;= 400, "Medium", "High"))</f>
        <v>High</v>
      </c>
      <c r="K254" s="14" t="s">
        <v>2026</v>
      </c>
      <c r="L254" s="2">
        <f>DATEDIF(messy_clinic_appointments[[#This Row],[booking_date]],messy_clinic_appointments[[#This Row],[appointment_date]],"d")</f>
        <v>360</v>
      </c>
      <c r="M254" s="14" t="str">
        <f>IF(messy_clinic_appointments[[#This Row],[days_to_appointment]]&gt;365, "Review", "OK")</f>
        <v>OK</v>
      </c>
    </row>
    <row r="255" spans="1:13" x14ac:dyDescent="0.25">
      <c r="A255">
        <v>1036</v>
      </c>
      <c r="B255" s="14" t="s">
        <v>518</v>
      </c>
      <c r="C255">
        <v>29</v>
      </c>
      <c r="D255" s="14" t="s">
        <v>2010</v>
      </c>
      <c r="E255" s="1">
        <v>46050</v>
      </c>
      <c r="F255" s="1">
        <v>45629</v>
      </c>
      <c r="G255" s="14" t="s">
        <v>519</v>
      </c>
      <c r="H255" s="14" t="s">
        <v>18</v>
      </c>
      <c r="I255" s="14" t="s">
        <v>2255</v>
      </c>
      <c r="J255" s="14" t="str">
        <f>IF(messy_clinic_appointments[[#This Row],[billing_amount]] &lt; 200, "Low", IF(messy_clinic_appointments[[#This Row],[billing_amount]]&lt;= 400, "Medium", "High"))</f>
        <v>High</v>
      </c>
      <c r="K255" s="14" t="s">
        <v>22</v>
      </c>
      <c r="L255" s="2">
        <f>DATEDIF(messy_clinic_appointments[[#This Row],[booking_date]],messy_clinic_appointments[[#This Row],[appointment_date]],"d")</f>
        <v>421</v>
      </c>
      <c r="M255" s="14" t="str">
        <f>IF(messy_clinic_appointments[[#This Row],[days_to_appointment]]&gt;365, "Review", "OK")</f>
        <v>Review</v>
      </c>
    </row>
    <row r="256" spans="1:13" x14ac:dyDescent="0.25">
      <c r="A256">
        <v>1031</v>
      </c>
      <c r="B256" s="14" t="s">
        <v>520</v>
      </c>
      <c r="C256">
        <v>42</v>
      </c>
      <c r="D256" s="14" t="s">
        <v>2011</v>
      </c>
      <c r="E256" s="1">
        <v>45874</v>
      </c>
      <c r="F256" s="1">
        <v>45865</v>
      </c>
      <c r="G256" s="14" t="s">
        <v>521</v>
      </c>
      <c r="H256" s="14" t="s">
        <v>15</v>
      </c>
      <c r="I256" s="14" t="s">
        <v>2256</v>
      </c>
      <c r="J256" s="14" t="str">
        <f>IF(messy_clinic_appointments[[#This Row],[billing_amount]] &lt; 200, "Low", IF(messy_clinic_appointments[[#This Row],[billing_amount]]&lt;= 400, "Medium", "High"))</f>
        <v>High</v>
      </c>
      <c r="K256" s="14" t="s">
        <v>22</v>
      </c>
      <c r="L256" s="2">
        <f>DATEDIF(messy_clinic_appointments[[#This Row],[booking_date]],messy_clinic_appointments[[#This Row],[appointment_date]],"d")</f>
        <v>9</v>
      </c>
      <c r="M256" s="14" t="str">
        <f>IF(messy_clinic_appointments[[#This Row],[days_to_appointment]]&gt;365, "Review", "OK")</f>
        <v>OK</v>
      </c>
    </row>
    <row r="257" spans="1:13" x14ac:dyDescent="0.25">
      <c r="A257">
        <v>1097</v>
      </c>
      <c r="B257" s="14" t="s">
        <v>522</v>
      </c>
      <c r="C257">
        <v>35</v>
      </c>
      <c r="D257" s="14" t="s">
        <v>24</v>
      </c>
      <c r="E257" s="1">
        <v>45766</v>
      </c>
      <c r="F257" s="1">
        <v>45758</v>
      </c>
      <c r="G257" s="14" t="s">
        <v>523</v>
      </c>
      <c r="H257" s="14" t="s">
        <v>12</v>
      </c>
      <c r="I257" s="14" t="s">
        <v>2257</v>
      </c>
      <c r="J257" s="14" t="str">
        <f>IF(messy_clinic_appointments[[#This Row],[billing_amount]] &lt; 200, "Low", IF(messy_clinic_appointments[[#This Row],[billing_amount]]&lt;= 400, "Medium", "High"))</f>
        <v>High</v>
      </c>
      <c r="K257" s="14" t="s">
        <v>2026</v>
      </c>
      <c r="L257" s="2">
        <f>DATEDIF(messy_clinic_appointments[[#This Row],[booking_date]],messy_clinic_appointments[[#This Row],[appointment_date]],"d")</f>
        <v>8</v>
      </c>
      <c r="M257" s="14" t="str">
        <f>IF(messy_clinic_appointments[[#This Row],[days_to_appointment]]&gt;365, "Review", "OK")</f>
        <v>OK</v>
      </c>
    </row>
    <row r="258" spans="1:13" x14ac:dyDescent="0.25">
      <c r="A258">
        <v>1062</v>
      </c>
      <c r="B258" s="14" t="s">
        <v>524</v>
      </c>
      <c r="C258">
        <v>25</v>
      </c>
      <c r="D258" s="14" t="s">
        <v>2022</v>
      </c>
      <c r="E258" s="1">
        <v>45936</v>
      </c>
      <c r="F258" s="1">
        <v>45456</v>
      </c>
      <c r="G258" s="14" t="s">
        <v>525</v>
      </c>
      <c r="H258" s="14" t="s">
        <v>12</v>
      </c>
      <c r="I258" s="14" t="s">
        <v>2258</v>
      </c>
      <c r="J258" s="14" t="str">
        <f>IF(messy_clinic_appointments[[#This Row],[billing_amount]] &lt; 200, "Low", IF(messy_clinic_appointments[[#This Row],[billing_amount]]&lt;= 400, "Medium", "High"))</f>
        <v>High</v>
      </c>
      <c r="K258" s="14" t="s">
        <v>2039</v>
      </c>
      <c r="L258" s="2">
        <f>DATEDIF(messy_clinic_appointments[[#This Row],[booking_date]],messy_clinic_appointments[[#This Row],[appointment_date]],"d")</f>
        <v>480</v>
      </c>
      <c r="M258" s="14" t="str">
        <f>IF(messy_clinic_appointments[[#This Row],[days_to_appointment]]&gt;365, "Review", "OK")</f>
        <v>Review</v>
      </c>
    </row>
    <row r="259" spans="1:13" x14ac:dyDescent="0.25">
      <c r="A259">
        <v>1056</v>
      </c>
      <c r="B259" s="14" t="s">
        <v>526</v>
      </c>
      <c r="C259">
        <v>57</v>
      </c>
      <c r="D259" s="14" t="s">
        <v>2008</v>
      </c>
      <c r="E259" s="1">
        <v>45828</v>
      </c>
      <c r="F259" s="1">
        <v>45701</v>
      </c>
      <c r="G259" s="14" t="s">
        <v>527</v>
      </c>
      <c r="H259" s="14" t="s">
        <v>18</v>
      </c>
      <c r="I259" s="14" t="s">
        <v>2259</v>
      </c>
      <c r="J259" s="14" t="str">
        <f>IF(messy_clinic_appointments[[#This Row],[billing_amount]] &lt; 200, "Low", IF(messy_clinic_appointments[[#This Row],[billing_amount]]&lt;= 400, "Medium", "High"))</f>
        <v>High</v>
      </c>
      <c r="K259" s="14" t="s">
        <v>2010</v>
      </c>
      <c r="L259" s="2">
        <f>DATEDIF(messy_clinic_appointments[[#This Row],[booking_date]],messy_clinic_appointments[[#This Row],[appointment_date]],"d")</f>
        <v>127</v>
      </c>
      <c r="M259" s="14" t="str">
        <f>IF(messy_clinic_appointments[[#This Row],[days_to_appointment]]&gt;365, "Review", "OK")</f>
        <v>OK</v>
      </c>
    </row>
    <row r="260" spans="1:13" x14ac:dyDescent="0.25">
      <c r="A260">
        <v>1058</v>
      </c>
      <c r="B260" s="14" t="s">
        <v>528</v>
      </c>
      <c r="C260">
        <v>19</v>
      </c>
      <c r="D260" s="14" t="s">
        <v>2010</v>
      </c>
      <c r="E260" s="1">
        <v>45788</v>
      </c>
      <c r="F260" s="1">
        <v>45749</v>
      </c>
      <c r="G260" s="14" t="s">
        <v>529</v>
      </c>
      <c r="H260" s="14" t="s">
        <v>18</v>
      </c>
      <c r="I260" s="14" t="s">
        <v>2260</v>
      </c>
      <c r="J260" s="14" t="str">
        <f>IF(messy_clinic_appointments[[#This Row],[billing_amount]] &lt; 200, "Low", IF(messy_clinic_appointments[[#This Row],[billing_amount]]&lt;= 400, "Medium", "High"))</f>
        <v>High</v>
      </c>
      <c r="K260" s="14" t="s">
        <v>28</v>
      </c>
      <c r="L260" s="2">
        <f>DATEDIF(messy_clinic_appointments[[#This Row],[booking_date]],messy_clinic_appointments[[#This Row],[appointment_date]],"d")</f>
        <v>39</v>
      </c>
      <c r="M260" s="14" t="str">
        <f>IF(messy_clinic_appointments[[#This Row],[days_to_appointment]]&gt;365, "Review", "OK")</f>
        <v>OK</v>
      </c>
    </row>
    <row r="261" spans="1:13" x14ac:dyDescent="0.25">
      <c r="A261">
        <v>1053</v>
      </c>
      <c r="B261" s="14" t="s">
        <v>530</v>
      </c>
      <c r="C261">
        <v>30</v>
      </c>
      <c r="D261" s="14" t="s">
        <v>2008</v>
      </c>
      <c r="E261" s="1">
        <v>46105</v>
      </c>
      <c r="F261" s="1">
        <v>45377</v>
      </c>
      <c r="G261" s="14" t="s">
        <v>531</v>
      </c>
      <c r="H261" s="14" t="s">
        <v>21</v>
      </c>
      <c r="I261" s="14" t="s">
        <v>2261</v>
      </c>
      <c r="J261" s="14" t="str">
        <f>IF(messy_clinic_appointments[[#This Row],[billing_amount]] &lt; 200, "Low", IF(messy_clinic_appointments[[#This Row],[billing_amount]]&lt;= 400, "Medium", "High"))</f>
        <v>High</v>
      </c>
      <c r="K261" s="14" t="s">
        <v>2039</v>
      </c>
      <c r="L261" s="2">
        <f>DATEDIF(messy_clinic_appointments[[#This Row],[booking_date]],messy_clinic_appointments[[#This Row],[appointment_date]],"d")</f>
        <v>728</v>
      </c>
      <c r="M261" s="14" t="str">
        <f>IF(messy_clinic_appointments[[#This Row],[days_to_appointment]]&gt;365, "Review", "OK")</f>
        <v>Review</v>
      </c>
    </row>
    <row r="262" spans="1:13" x14ac:dyDescent="0.25">
      <c r="A262">
        <v>1032</v>
      </c>
      <c r="B262" s="14" t="s">
        <v>532</v>
      </c>
      <c r="C262">
        <v>43</v>
      </c>
      <c r="D262" s="14" t="s">
        <v>2011</v>
      </c>
      <c r="E262" s="1">
        <v>45830</v>
      </c>
      <c r="F262" s="1">
        <v>45682</v>
      </c>
      <c r="G262" s="14" t="s">
        <v>533</v>
      </c>
      <c r="H262" s="14" t="s">
        <v>18</v>
      </c>
      <c r="I262" s="14" t="s">
        <v>2262</v>
      </c>
      <c r="J262" s="14" t="str">
        <f>IF(messy_clinic_appointments[[#This Row],[billing_amount]] &lt; 200, "Low", IF(messy_clinic_appointments[[#This Row],[billing_amount]]&lt;= 400, "Medium", "High"))</f>
        <v>High</v>
      </c>
      <c r="K262" s="14" t="s">
        <v>2039</v>
      </c>
      <c r="L262" s="2">
        <f>DATEDIF(messy_clinic_appointments[[#This Row],[booking_date]],messy_clinic_appointments[[#This Row],[appointment_date]],"d")</f>
        <v>148</v>
      </c>
      <c r="M262" s="14" t="str">
        <f>IF(messy_clinic_appointments[[#This Row],[days_to_appointment]]&gt;365, "Review", "OK")</f>
        <v>OK</v>
      </c>
    </row>
    <row r="263" spans="1:13" x14ac:dyDescent="0.25">
      <c r="A263">
        <v>1049</v>
      </c>
      <c r="B263" s="14" t="s">
        <v>534</v>
      </c>
      <c r="C263">
        <v>79</v>
      </c>
      <c r="D263" s="14" t="s">
        <v>2010</v>
      </c>
      <c r="E263" s="1">
        <v>45997</v>
      </c>
      <c r="F263" s="1">
        <v>45544</v>
      </c>
      <c r="G263" s="14" t="s">
        <v>535</v>
      </c>
      <c r="H263" s="14" t="s">
        <v>18</v>
      </c>
      <c r="I263" s="14" t="s">
        <v>24</v>
      </c>
      <c r="J263" s="14" t="str">
        <f>IF(messy_clinic_appointments[[#This Row],[billing_amount]] &lt; 200, "Low", IF(messy_clinic_appointments[[#This Row],[billing_amount]]&lt;= 400, "Medium", "High"))</f>
        <v>High</v>
      </c>
      <c r="K263" s="14" t="s">
        <v>22</v>
      </c>
      <c r="L263" s="2">
        <f>DATEDIF(messy_clinic_appointments[[#This Row],[booking_date]],messy_clinic_appointments[[#This Row],[appointment_date]],"d")</f>
        <v>453</v>
      </c>
      <c r="M263" s="14" t="str">
        <f>IF(messy_clinic_appointments[[#This Row],[days_to_appointment]]&gt;365, "Review", "OK")</f>
        <v>Review</v>
      </c>
    </row>
    <row r="264" spans="1:13" x14ac:dyDescent="0.25">
      <c r="A264">
        <v>1068</v>
      </c>
      <c r="B264" s="14" t="s">
        <v>536</v>
      </c>
      <c r="C264">
        <v>61</v>
      </c>
      <c r="D264" s="14" t="s">
        <v>50</v>
      </c>
      <c r="E264" s="1">
        <v>45950</v>
      </c>
      <c r="F264" s="1">
        <v>45876</v>
      </c>
      <c r="G264" s="14" t="s">
        <v>537</v>
      </c>
      <c r="H264" s="14" t="s">
        <v>18</v>
      </c>
      <c r="I264" s="14" t="s">
        <v>2263</v>
      </c>
      <c r="J264" s="14" t="str">
        <f>IF(messy_clinic_appointments[[#This Row],[billing_amount]] &lt; 200, "Low", IF(messy_clinic_appointments[[#This Row],[billing_amount]]&lt;= 400, "Medium", "High"))</f>
        <v>High</v>
      </c>
      <c r="K264" s="14" t="s">
        <v>2026</v>
      </c>
      <c r="L264" s="2">
        <f>DATEDIF(messy_clinic_appointments[[#This Row],[booking_date]],messy_clinic_appointments[[#This Row],[appointment_date]],"d")</f>
        <v>74</v>
      </c>
      <c r="M264" s="14" t="str">
        <f>IF(messy_clinic_appointments[[#This Row],[days_to_appointment]]&gt;365, "Review", "OK")</f>
        <v>OK</v>
      </c>
    </row>
    <row r="265" spans="1:13" x14ac:dyDescent="0.25">
      <c r="A265">
        <v>1015</v>
      </c>
      <c r="B265" s="14" t="s">
        <v>538</v>
      </c>
      <c r="C265">
        <v>53</v>
      </c>
      <c r="D265" s="14" t="s">
        <v>2022</v>
      </c>
      <c r="E265" s="1">
        <v>45768</v>
      </c>
      <c r="F265" s="1">
        <v>45529</v>
      </c>
      <c r="G265" s="14" t="s">
        <v>539</v>
      </c>
      <c r="H265" s="14" t="s">
        <v>21</v>
      </c>
      <c r="I265" s="14" t="s">
        <v>2264</v>
      </c>
      <c r="J265" s="14" t="str">
        <f>IF(messy_clinic_appointments[[#This Row],[billing_amount]] &lt; 200, "Low", IF(messy_clinic_appointments[[#This Row],[billing_amount]]&lt;= 400, "Medium", "High"))</f>
        <v>High</v>
      </c>
      <c r="K265" s="14" t="s">
        <v>22</v>
      </c>
      <c r="L265" s="2">
        <f>DATEDIF(messy_clinic_appointments[[#This Row],[booking_date]],messy_clinic_appointments[[#This Row],[appointment_date]],"d")</f>
        <v>239</v>
      </c>
      <c r="M265" s="14" t="str">
        <f>IF(messy_clinic_appointments[[#This Row],[days_to_appointment]]&gt;365, "Review", "OK")</f>
        <v>OK</v>
      </c>
    </row>
    <row r="266" spans="1:13" x14ac:dyDescent="0.25">
      <c r="A266">
        <v>1090</v>
      </c>
      <c r="B266" s="14" t="s">
        <v>540</v>
      </c>
      <c r="C266">
        <v>70</v>
      </c>
      <c r="D266" s="14" t="s">
        <v>30</v>
      </c>
      <c r="E266" s="1">
        <v>46000</v>
      </c>
      <c r="F266" s="1">
        <v>45612</v>
      </c>
      <c r="G266" s="14" t="s">
        <v>541</v>
      </c>
      <c r="H266" s="14" t="s">
        <v>15</v>
      </c>
      <c r="I266" s="14" t="s">
        <v>2265</v>
      </c>
      <c r="J266" s="14" t="str">
        <f>IF(messy_clinic_appointments[[#This Row],[billing_amount]] &lt; 200, "Low", IF(messy_clinic_appointments[[#This Row],[billing_amount]]&lt;= 400, "Medium", "High"))</f>
        <v>High</v>
      </c>
      <c r="K266" s="14" t="s">
        <v>2013</v>
      </c>
      <c r="L266" s="2">
        <f>DATEDIF(messy_clinic_appointments[[#This Row],[booking_date]],messy_clinic_appointments[[#This Row],[appointment_date]],"d")</f>
        <v>388</v>
      </c>
      <c r="M266" s="14" t="str">
        <f>IF(messy_clinic_appointments[[#This Row],[days_to_appointment]]&gt;365, "Review", "OK")</f>
        <v>Review</v>
      </c>
    </row>
    <row r="267" spans="1:13" x14ac:dyDescent="0.25">
      <c r="A267">
        <v>1086</v>
      </c>
      <c r="B267" s="14" t="s">
        <v>542</v>
      </c>
      <c r="C267">
        <v>72</v>
      </c>
      <c r="D267" s="14" t="s">
        <v>2039</v>
      </c>
      <c r="E267" s="1">
        <v>46091</v>
      </c>
      <c r="F267" s="1">
        <v>45952</v>
      </c>
      <c r="G267" s="14" t="s">
        <v>543</v>
      </c>
      <c r="H267" s="14" t="s">
        <v>15</v>
      </c>
      <c r="I267" s="14" t="s">
        <v>2266</v>
      </c>
      <c r="J267" s="14" t="str">
        <f>IF(messy_clinic_appointments[[#This Row],[billing_amount]] &lt; 200, "Low", IF(messy_clinic_appointments[[#This Row],[billing_amount]]&lt;= 400, "Medium", "High"))</f>
        <v>High</v>
      </c>
      <c r="K267" s="14" t="s">
        <v>2039</v>
      </c>
      <c r="L267" s="2">
        <f>DATEDIF(messy_clinic_appointments[[#This Row],[booking_date]],messy_clinic_appointments[[#This Row],[appointment_date]],"d")</f>
        <v>139</v>
      </c>
      <c r="M267" s="14" t="str">
        <f>IF(messy_clinic_appointments[[#This Row],[days_to_appointment]]&gt;365, "Review", "OK")</f>
        <v>OK</v>
      </c>
    </row>
    <row r="268" spans="1:13" x14ac:dyDescent="0.25">
      <c r="A268">
        <v>1088</v>
      </c>
      <c r="B268" s="14" t="s">
        <v>544</v>
      </c>
      <c r="C268">
        <v>49</v>
      </c>
      <c r="D268" s="14" t="s">
        <v>30</v>
      </c>
      <c r="E268" s="1">
        <v>45915</v>
      </c>
      <c r="F268" s="1">
        <v>45687</v>
      </c>
      <c r="G268" s="14" t="s">
        <v>545</v>
      </c>
      <c r="H268" s="14" t="s">
        <v>21</v>
      </c>
      <c r="I268" s="14" t="s">
        <v>2267</v>
      </c>
      <c r="J268" s="14" t="str">
        <f>IF(messy_clinic_appointments[[#This Row],[billing_amount]] &lt; 200, "Low", IF(messy_clinic_appointments[[#This Row],[billing_amount]]&lt;= 400, "Medium", "High"))</f>
        <v>High</v>
      </c>
      <c r="K268" s="14" t="s">
        <v>2013</v>
      </c>
      <c r="L268" s="2">
        <f>DATEDIF(messy_clinic_appointments[[#This Row],[booking_date]],messy_clinic_appointments[[#This Row],[appointment_date]],"d")</f>
        <v>228</v>
      </c>
      <c r="M268" s="14" t="str">
        <f>IF(messy_clinic_appointments[[#This Row],[days_to_appointment]]&gt;365, "Review", "OK")</f>
        <v>OK</v>
      </c>
    </row>
    <row r="269" spans="1:13" x14ac:dyDescent="0.25">
      <c r="A269">
        <v>1034</v>
      </c>
      <c r="B269" s="14" t="s">
        <v>546</v>
      </c>
      <c r="C269">
        <v>44</v>
      </c>
      <c r="D269" s="14" t="s">
        <v>24</v>
      </c>
      <c r="E269" s="1">
        <v>45854</v>
      </c>
      <c r="F269" s="1">
        <v>45820</v>
      </c>
      <c r="G269" s="14" t="s">
        <v>547</v>
      </c>
      <c r="H269" s="14" t="s">
        <v>18</v>
      </c>
      <c r="I269" s="14" t="s">
        <v>2268</v>
      </c>
      <c r="J269" s="14" t="str">
        <f>IF(messy_clinic_appointments[[#This Row],[billing_amount]] &lt; 200, "Low", IF(messy_clinic_appointments[[#This Row],[billing_amount]]&lt;= 400, "Medium", "High"))</f>
        <v>High</v>
      </c>
      <c r="K269" s="14" t="s">
        <v>28</v>
      </c>
      <c r="L269" s="2">
        <f>DATEDIF(messy_clinic_appointments[[#This Row],[booking_date]],messy_clinic_appointments[[#This Row],[appointment_date]],"d")</f>
        <v>34</v>
      </c>
      <c r="M269" s="14" t="str">
        <f>IF(messy_clinic_appointments[[#This Row],[days_to_appointment]]&gt;365, "Review", "OK")</f>
        <v>OK</v>
      </c>
    </row>
    <row r="270" spans="1:13" x14ac:dyDescent="0.25">
      <c r="A270">
        <v>1070</v>
      </c>
      <c r="B270" s="14" t="s">
        <v>548</v>
      </c>
      <c r="C270">
        <v>68</v>
      </c>
      <c r="D270" s="14" t="s">
        <v>2008</v>
      </c>
      <c r="E270" s="1">
        <v>45807</v>
      </c>
      <c r="F270" s="1">
        <v>45426</v>
      </c>
      <c r="G270" s="14" t="s">
        <v>549</v>
      </c>
      <c r="H270" s="14" t="s">
        <v>21</v>
      </c>
      <c r="I270" s="14" t="s">
        <v>2269</v>
      </c>
      <c r="J270" s="14" t="str">
        <f>IF(messy_clinic_appointments[[#This Row],[billing_amount]] &lt; 200, "Low", IF(messy_clinic_appointments[[#This Row],[billing_amount]]&lt;= 400, "Medium", "High"))</f>
        <v>High</v>
      </c>
      <c r="K270" s="14" t="s">
        <v>28</v>
      </c>
      <c r="L270" s="2">
        <f>DATEDIF(messy_clinic_appointments[[#This Row],[booking_date]],messy_clinic_appointments[[#This Row],[appointment_date]],"d")</f>
        <v>381</v>
      </c>
      <c r="M270" s="14" t="str">
        <f>IF(messy_clinic_appointments[[#This Row],[days_to_appointment]]&gt;365, "Review", "OK")</f>
        <v>Review</v>
      </c>
    </row>
    <row r="271" spans="1:13" x14ac:dyDescent="0.25">
      <c r="A271">
        <v>1032</v>
      </c>
      <c r="B271" s="14" t="s">
        <v>550</v>
      </c>
      <c r="C271">
        <v>88</v>
      </c>
      <c r="D271" s="14" t="s">
        <v>2014</v>
      </c>
      <c r="E271" s="1">
        <v>46044</v>
      </c>
      <c r="F271" s="1">
        <v>45389</v>
      </c>
      <c r="G271" s="14" t="s">
        <v>551</v>
      </c>
      <c r="H271" s="14" t="s">
        <v>21</v>
      </c>
      <c r="I271" s="14" t="s">
        <v>2270</v>
      </c>
      <c r="J271" s="14" t="str">
        <f>IF(messy_clinic_appointments[[#This Row],[billing_amount]] &lt; 200, "Low", IF(messy_clinic_appointments[[#This Row],[billing_amount]]&lt;= 400, "Medium", "High"))</f>
        <v>High</v>
      </c>
      <c r="K271" s="14" t="s">
        <v>22</v>
      </c>
      <c r="L271" s="2">
        <f>DATEDIF(messy_clinic_appointments[[#This Row],[booking_date]],messy_clinic_appointments[[#This Row],[appointment_date]],"d")</f>
        <v>655</v>
      </c>
      <c r="M271" s="14" t="str">
        <f>IF(messy_clinic_appointments[[#This Row],[days_to_appointment]]&gt;365, "Review", "OK")</f>
        <v>Review</v>
      </c>
    </row>
    <row r="272" spans="1:13" x14ac:dyDescent="0.25">
      <c r="A272">
        <v>1036</v>
      </c>
      <c r="B272" s="14" t="s">
        <v>1994</v>
      </c>
      <c r="C272">
        <v>75</v>
      </c>
      <c r="D272" s="14" t="s">
        <v>2010</v>
      </c>
      <c r="E272" s="1">
        <v>46076</v>
      </c>
      <c r="F272" s="1">
        <v>45581</v>
      </c>
      <c r="G272" s="14" t="s">
        <v>552</v>
      </c>
      <c r="H272" s="14" t="s">
        <v>12</v>
      </c>
      <c r="I272" s="14" t="s">
        <v>2271</v>
      </c>
      <c r="J272" s="14" t="str">
        <f>IF(messy_clinic_appointments[[#This Row],[billing_amount]] &lt; 200, "Low", IF(messy_clinic_appointments[[#This Row],[billing_amount]]&lt;= 400, "Medium", "High"))</f>
        <v>High</v>
      </c>
      <c r="K272" s="14" t="s">
        <v>2026</v>
      </c>
      <c r="L272" s="2">
        <f>DATEDIF(messy_clinic_appointments[[#This Row],[booking_date]],messy_clinic_appointments[[#This Row],[appointment_date]],"d")</f>
        <v>495</v>
      </c>
      <c r="M272" s="14" t="str">
        <f>IF(messy_clinic_appointments[[#This Row],[days_to_appointment]]&gt;365, "Review", "OK")</f>
        <v>Review</v>
      </c>
    </row>
    <row r="273" spans="1:13" x14ac:dyDescent="0.25">
      <c r="A273">
        <v>1098</v>
      </c>
      <c r="B273" s="14" t="s">
        <v>553</v>
      </c>
      <c r="C273">
        <v>88</v>
      </c>
      <c r="D273" s="14" t="s">
        <v>30</v>
      </c>
      <c r="E273" s="1">
        <v>46067</v>
      </c>
      <c r="F273" s="1">
        <v>45653</v>
      </c>
      <c r="G273" s="14" t="s">
        <v>554</v>
      </c>
      <c r="H273" s="14" t="s">
        <v>15</v>
      </c>
      <c r="I273" s="14" t="s">
        <v>2272</v>
      </c>
      <c r="J273" s="14" t="str">
        <f>IF(messy_clinic_appointments[[#This Row],[billing_amount]] &lt; 200, "Low", IF(messy_clinic_appointments[[#This Row],[billing_amount]]&lt;= 400, "Medium", "High"))</f>
        <v>High</v>
      </c>
      <c r="K273" s="14" t="s">
        <v>2039</v>
      </c>
      <c r="L273" s="2">
        <f>DATEDIF(messy_clinic_appointments[[#This Row],[booking_date]],messy_clinic_appointments[[#This Row],[appointment_date]],"d")</f>
        <v>414</v>
      </c>
      <c r="M273" s="14" t="str">
        <f>IF(messy_clinic_appointments[[#This Row],[days_to_appointment]]&gt;365, "Review", "OK")</f>
        <v>Review</v>
      </c>
    </row>
    <row r="274" spans="1:13" x14ac:dyDescent="0.25">
      <c r="A274">
        <v>1071</v>
      </c>
      <c r="B274" s="14" t="s">
        <v>555</v>
      </c>
      <c r="C274">
        <v>49</v>
      </c>
      <c r="D274" s="14" t="s">
        <v>50</v>
      </c>
      <c r="E274" s="1">
        <v>45801</v>
      </c>
      <c r="F274" s="1">
        <v>45636</v>
      </c>
      <c r="G274" s="14" t="s">
        <v>556</v>
      </c>
      <c r="H274" s="14" t="s">
        <v>15</v>
      </c>
      <c r="I274" s="14" t="s">
        <v>2273</v>
      </c>
      <c r="J274" s="14" t="str">
        <f>IF(messy_clinic_appointments[[#This Row],[billing_amount]] &lt; 200, "Low", IF(messy_clinic_appointments[[#This Row],[billing_amount]]&lt;= 400, "Medium", "High"))</f>
        <v>High</v>
      </c>
      <c r="K274" s="14" t="s">
        <v>2026</v>
      </c>
      <c r="L274" s="2">
        <f>DATEDIF(messy_clinic_appointments[[#This Row],[booking_date]],messy_clinic_appointments[[#This Row],[appointment_date]],"d")</f>
        <v>165</v>
      </c>
      <c r="M274" s="14" t="str">
        <f>IF(messy_clinic_appointments[[#This Row],[days_to_appointment]]&gt;365, "Review", "OK")</f>
        <v>OK</v>
      </c>
    </row>
    <row r="275" spans="1:13" x14ac:dyDescent="0.25">
      <c r="A275">
        <v>1054</v>
      </c>
      <c r="B275" s="14" t="s">
        <v>557</v>
      </c>
      <c r="C275">
        <v>82</v>
      </c>
      <c r="D275" s="14" t="s">
        <v>2010</v>
      </c>
      <c r="E275" s="1">
        <v>45984</v>
      </c>
      <c r="F275" s="1">
        <v>45633</v>
      </c>
      <c r="G275" s="14" t="s">
        <v>558</v>
      </c>
      <c r="H275" s="14" t="s">
        <v>12</v>
      </c>
      <c r="I275" s="14" t="s">
        <v>2274</v>
      </c>
      <c r="J275" s="14" t="str">
        <f>IF(messy_clinic_appointments[[#This Row],[billing_amount]] &lt; 200, "Low", IF(messy_clinic_appointments[[#This Row],[billing_amount]]&lt;= 400, "Medium", "High"))</f>
        <v>High</v>
      </c>
      <c r="K275" s="14" t="s">
        <v>28</v>
      </c>
      <c r="L275" s="2">
        <f>DATEDIF(messy_clinic_appointments[[#This Row],[booking_date]],messy_clinic_appointments[[#This Row],[appointment_date]],"d")</f>
        <v>351</v>
      </c>
      <c r="M275" s="14" t="str">
        <f>IF(messy_clinic_appointments[[#This Row],[days_to_appointment]]&gt;365, "Review", "OK")</f>
        <v>OK</v>
      </c>
    </row>
    <row r="276" spans="1:13" x14ac:dyDescent="0.25">
      <c r="A276">
        <v>1054</v>
      </c>
      <c r="B276" s="14" t="s">
        <v>559</v>
      </c>
      <c r="C276">
        <v>62</v>
      </c>
      <c r="D276" s="14" t="s">
        <v>50</v>
      </c>
      <c r="E276" s="1">
        <v>46038</v>
      </c>
      <c r="F276" s="1">
        <v>45852</v>
      </c>
      <c r="G276" s="14" t="s">
        <v>560</v>
      </c>
      <c r="H276" s="14" t="s">
        <v>15</v>
      </c>
      <c r="I276" s="14" t="s">
        <v>24</v>
      </c>
      <c r="J276" s="14" t="str">
        <f>IF(messy_clinic_appointments[[#This Row],[billing_amount]] &lt; 200, "Low", IF(messy_clinic_appointments[[#This Row],[billing_amount]]&lt;= 400, "Medium", "High"))</f>
        <v>High</v>
      </c>
      <c r="K276" s="14" t="s">
        <v>22</v>
      </c>
      <c r="L276" s="2">
        <f>DATEDIF(messy_clinic_appointments[[#This Row],[booking_date]],messy_clinic_appointments[[#This Row],[appointment_date]],"d")</f>
        <v>186</v>
      </c>
      <c r="M276" s="14" t="str">
        <f>IF(messy_clinic_appointments[[#This Row],[days_to_appointment]]&gt;365, "Review", "OK")</f>
        <v>OK</v>
      </c>
    </row>
    <row r="277" spans="1:13" x14ac:dyDescent="0.25">
      <c r="A277">
        <v>1090</v>
      </c>
      <c r="B277" s="14" t="s">
        <v>561</v>
      </c>
      <c r="C277">
        <v>55</v>
      </c>
      <c r="D277" s="14" t="s">
        <v>2039</v>
      </c>
      <c r="E277" s="1">
        <v>45921</v>
      </c>
      <c r="F277" s="1">
        <v>45461</v>
      </c>
      <c r="G277" s="14" t="s">
        <v>562</v>
      </c>
      <c r="H277" s="14" t="s">
        <v>15</v>
      </c>
      <c r="I277" s="14" t="s">
        <v>2275</v>
      </c>
      <c r="J277" s="14" t="str">
        <f>IF(messy_clinic_appointments[[#This Row],[billing_amount]] &lt; 200, "Low", IF(messy_clinic_appointments[[#This Row],[billing_amount]]&lt;= 400, "Medium", "High"))</f>
        <v>High</v>
      </c>
      <c r="K277" s="14" t="s">
        <v>2039</v>
      </c>
      <c r="L277" s="2">
        <f>DATEDIF(messy_clinic_appointments[[#This Row],[booking_date]],messy_clinic_appointments[[#This Row],[appointment_date]],"d")</f>
        <v>460</v>
      </c>
      <c r="M277" s="14" t="str">
        <f>IF(messy_clinic_appointments[[#This Row],[days_to_appointment]]&gt;365, "Review", "OK")</f>
        <v>Review</v>
      </c>
    </row>
    <row r="278" spans="1:13" x14ac:dyDescent="0.25">
      <c r="A278">
        <v>1027</v>
      </c>
      <c r="B278" s="14" t="s">
        <v>563</v>
      </c>
      <c r="C278">
        <v>83</v>
      </c>
      <c r="D278" s="14" t="s">
        <v>2010</v>
      </c>
      <c r="E278" s="1">
        <v>45834</v>
      </c>
      <c r="F278" s="1">
        <v>45820</v>
      </c>
      <c r="G278" s="14" t="s">
        <v>564</v>
      </c>
      <c r="H278" s="14" t="s">
        <v>18</v>
      </c>
      <c r="I278" s="14" t="s">
        <v>2276</v>
      </c>
      <c r="J278" s="14" t="str">
        <f>IF(messy_clinic_appointments[[#This Row],[billing_amount]] &lt; 200, "Low", IF(messy_clinic_appointments[[#This Row],[billing_amount]]&lt;= 400, "Medium", "High"))</f>
        <v>High</v>
      </c>
      <c r="K278" s="14" t="s">
        <v>28</v>
      </c>
      <c r="L278" s="2">
        <f>DATEDIF(messy_clinic_appointments[[#This Row],[booking_date]],messy_clinic_appointments[[#This Row],[appointment_date]],"d")</f>
        <v>14</v>
      </c>
      <c r="M278" s="14" t="str">
        <f>IF(messy_clinic_appointments[[#This Row],[days_to_appointment]]&gt;365, "Review", "OK")</f>
        <v>OK</v>
      </c>
    </row>
    <row r="279" spans="1:13" x14ac:dyDescent="0.25">
      <c r="A279">
        <v>1017</v>
      </c>
      <c r="B279" s="14" t="s">
        <v>565</v>
      </c>
      <c r="C279">
        <v>86</v>
      </c>
      <c r="D279" s="14" t="s">
        <v>2011</v>
      </c>
      <c r="E279" s="1">
        <v>45805</v>
      </c>
      <c r="F279" s="1">
        <v>45483</v>
      </c>
      <c r="G279" s="14" t="s">
        <v>566</v>
      </c>
      <c r="H279" s="14" t="s">
        <v>12</v>
      </c>
      <c r="I279" s="14" t="s">
        <v>24</v>
      </c>
      <c r="J279" s="14" t="str">
        <f>IF(messy_clinic_appointments[[#This Row],[billing_amount]] &lt; 200, "Low", IF(messy_clinic_appointments[[#This Row],[billing_amount]]&lt;= 400, "Medium", "High"))</f>
        <v>High</v>
      </c>
      <c r="K279" s="14" t="s">
        <v>2010</v>
      </c>
      <c r="L279" s="2">
        <f>DATEDIF(messy_clinic_appointments[[#This Row],[booking_date]],messy_clinic_appointments[[#This Row],[appointment_date]],"d")</f>
        <v>322</v>
      </c>
      <c r="M279" s="14" t="str">
        <f>IF(messy_clinic_appointments[[#This Row],[days_to_appointment]]&gt;365, "Review", "OK")</f>
        <v>OK</v>
      </c>
    </row>
    <row r="280" spans="1:13" x14ac:dyDescent="0.25">
      <c r="A280">
        <v>1027</v>
      </c>
      <c r="B280" s="14" t="s">
        <v>567</v>
      </c>
      <c r="C280">
        <v>77</v>
      </c>
      <c r="D280" s="14" t="s">
        <v>30</v>
      </c>
      <c r="E280" s="1">
        <v>45919</v>
      </c>
      <c r="F280" s="1">
        <v>45524</v>
      </c>
      <c r="G280" s="14" t="s">
        <v>568</v>
      </c>
      <c r="H280" s="14" t="s">
        <v>12</v>
      </c>
      <c r="I280" s="14" t="s">
        <v>2277</v>
      </c>
      <c r="J280" s="14" t="str">
        <f>IF(messy_clinic_appointments[[#This Row],[billing_amount]] &lt; 200, "Low", IF(messy_clinic_appointments[[#This Row],[billing_amount]]&lt;= 400, "Medium", "High"))</f>
        <v>High</v>
      </c>
      <c r="K280" s="14" t="s">
        <v>2013</v>
      </c>
      <c r="L280" s="2">
        <f>DATEDIF(messy_clinic_appointments[[#This Row],[booking_date]],messy_clinic_appointments[[#This Row],[appointment_date]],"d")</f>
        <v>395</v>
      </c>
      <c r="M280" s="14" t="str">
        <f>IF(messy_clinic_appointments[[#This Row],[days_to_appointment]]&gt;365, "Review", "OK")</f>
        <v>Review</v>
      </c>
    </row>
    <row r="281" spans="1:13" x14ac:dyDescent="0.25">
      <c r="A281">
        <v>1026</v>
      </c>
      <c r="B281" s="14" t="s">
        <v>569</v>
      </c>
      <c r="C281">
        <v>47</v>
      </c>
      <c r="D281" s="14" t="s">
        <v>2011</v>
      </c>
      <c r="E281" s="1">
        <v>46028</v>
      </c>
      <c r="F281" s="1">
        <v>45576</v>
      </c>
      <c r="G281" s="14" t="s">
        <v>570</v>
      </c>
      <c r="H281" s="14" t="s">
        <v>18</v>
      </c>
      <c r="I281" s="14" t="s">
        <v>2278</v>
      </c>
      <c r="J281" s="14" t="str">
        <f>IF(messy_clinic_appointments[[#This Row],[billing_amount]] &lt; 200, "Low", IF(messy_clinic_appointments[[#This Row],[billing_amount]]&lt;= 400, "Medium", "High"))</f>
        <v>High</v>
      </c>
      <c r="K281" s="14" t="s">
        <v>28</v>
      </c>
      <c r="L281" s="2">
        <f>DATEDIF(messy_clinic_appointments[[#This Row],[booking_date]],messy_clinic_appointments[[#This Row],[appointment_date]],"d")</f>
        <v>452</v>
      </c>
      <c r="M281" s="14" t="str">
        <f>IF(messy_clinic_appointments[[#This Row],[days_to_appointment]]&gt;365, "Review", "OK")</f>
        <v>Review</v>
      </c>
    </row>
    <row r="282" spans="1:13" x14ac:dyDescent="0.25">
      <c r="A282">
        <v>1080</v>
      </c>
      <c r="B282" s="14" t="s">
        <v>571</v>
      </c>
      <c r="C282">
        <v>69</v>
      </c>
      <c r="D282" s="14" t="s">
        <v>50</v>
      </c>
      <c r="E282" s="1">
        <v>45945</v>
      </c>
      <c r="F282" s="1">
        <v>45819</v>
      </c>
      <c r="G282" s="14" t="s">
        <v>572</v>
      </c>
      <c r="H282" s="14" t="s">
        <v>21</v>
      </c>
      <c r="I282" s="14" t="s">
        <v>2279</v>
      </c>
      <c r="J282" s="14" t="str">
        <f>IF(messy_clinic_appointments[[#This Row],[billing_amount]] &lt; 200, "Low", IF(messy_clinic_appointments[[#This Row],[billing_amount]]&lt;= 400, "Medium", "High"))</f>
        <v>High</v>
      </c>
      <c r="K282" s="14" t="s">
        <v>2039</v>
      </c>
      <c r="L282" s="2">
        <f>DATEDIF(messy_clinic_appointments[[#This Row],[booking_date]],messy_clinic_appointments[[#This Row],[appointment_date]],"d")</f>
        <v>126</v>
      </c>
      <c r="M282" s="14" t="str">
        <f>IF(messy_clinic_appointments[[#This Row],[days_to_appointment]]&gt;365, "Review", "OK")</f>
        <v>OK</v>
      </c>
    </row>
    <row r="283" spans="1:13" x14ac:dyDescent="0.25">
      <c r="A283">
        <v>1039</v>
      </c>
      <c r="B283" s="14" t="s">
        <v>573</v>
      </c>
      <c r="C283">
        <v>40</v>
      </c>
      <c r="D283" s="14" t="s">
        <v>2039</v>
      </c>
      <c r="E283" s="1">
        <v>45903</v>
      </c>
      <c r="F283" s="1">
        <v>45390</v>
      </c>
      <c r="G283" s="14" t="s">
        <v>574</v>
      </c>
      <c r="H283" s="14" t="s">
        <v>12</v>
      </c>
      <c r="I283" s="14" t="s">
        <v>2280</v>
      </c>
      <c r="J283" s="14" t="str">
        <f>IF(messy_clinic_appointments[[#This Row],[billing_amount]] &lt; 200, "Low", IF(messy_clinic_appointments[[#This Row],[billing_amount]]&lt;= 400, "Medium", "High"))</f>
        <v>High</v>
      </c>
      <c r="K283" s="14" t="s">
        <v>28</v>
      </c>
      <c r="L283" s="2">
        <f>DATEDIF(messy_clinic_appointments[[#This Row],[booking_date]],messy_clinic_appointments[[#This Row],[appointment_date]],"d")</f>
        <v>513</v>
      </c>
      <c r="M283" s="14" t="str">
        <f>IF(messy_clinic_appointments[[#This Row],[days_to_appointment]]&gt;365, "Review", "OK")</f>
        <v>Review</v>
      </c>
    </row>
    <row r="284" spans="1:13" x14ac:dyDescent="0.25">
      <c r="A284">
        <v>1059</v>
      </c>
      <c r="B284" s="14" t="s">
        <v>575</v>
      </c>
      <c r="C284">
        <v>32</v>
      </c>
      <c r="D284" s="14" t="s">
        <v>2022</v>
      </c>
      <c r="E284" s="1">
        <v>46092</v>
      </c>
      <c r="F284" s="1">
        <v>45861</v>
      </c>
      <c r="G284" s="14" t="s">
        <v>576</v>
      </c>
      <c r="H284" s="14" t="s">
        <v>21</v>
      </c>
      <c r="I284" s="14" t="s">
        <v>2281</v>
      </c>
      <c r="J284" s="14" t="str">
        <f>IF(messy_clinic_appointments[[#This Row],[billing_amount]] &lt; 200, "Low", IF(messy_clinic_appointments[[#This Row],[billing_amount]]&lt;= 400, "Medium", "High"))</f>
        <v>High</v>
      </c>
      <c r="K284" s="14" t="s">
        <v>28</v>
      </c>
      <c r="L284" s="2">
        <f>DATEDIF(messy_clinic_appointments[[#This Row],[booking_date]],messy_clinic_appointments[[#This Row],[appointment_date]],"d")</f>
        <v>231</v>
      </c>
      <c r="M284" s="14" t="str">
        <f>IF(messy_clinic_appointments[[#This Row],[days_to_appointment]]&gt;365, "Review", "OK")</f>
        <v>OK</v>
      </c>
    </row>
    <row r="285" spans="1:13" x14ac:dyDescent="0.25">
      <c r="A285">
        <v>1043</v>
      </c>
      <c r="B285" s="14" t="s">
        <v>577</v>
      </c>
      <c r="C285">
        <v>66</v>
      </c>
      <c r="D285" s="14" t="s">
        <v>2010</v>
      </c>
      <c r="E285" s="1">
        <v>45983</v>
      </c>
      <c r="F285" s="1">
        <v>45907</v>
      </c>
      <c r="G285" s="14" t="s">
        <v>578</v>
      </c>
      <c r="H285" s="14" t="s">
        <v>18</v>
      </c>
      <c r="I285" s="14" t="s">
        <v>2282</v>
      </c>
      <c r="J285" s="14" t="str">
        <f>IF(messy_clinic_appointments[[#This Row],[billing_amount]] &lt; 200, "Low", IF(messy_clinic_appointments[[#This Row],[billing_amount]]&lt;= 400, "Medium", "High"))</f>
        <v>High</v>
      </c>
      <c r="K285" s="14" t="s">
        <v>28</v>
      </c>
      <c r="L285" s="2">
        <f>DATEDIF(messy_clinic_appointments[[#This Row],[booking_date]],messy_clinic_appointments[[#This Row],[appointment_date]],"d")</f>
        <v>76</v>
      </c>
      <c r="M285" s="14" t="str">
        <f>IF(messy_clinic_appointments[[#This Row],[days_to_appointment]]&gt;365, "Review", "OK")</f>
        <v>OK</v>
      </c>
    </row>
    <row r="286" spans="1:13" x14ac:dyDescent="0.25">
      <c r="A286">
        <v>1066</v>
      </c>
      <c r="B286" s="14" t="s">
        <v>1995</v>
      </c>
      <c r="C286">
        <v>28</v>
      </c>
      <c r="D286" s="14" t="s">
        <v>50</v>
      </c>
      <c r="E286" s="1">
        <v>45910</v>
      </c>
      <c r="F286" s="1">
        <v>45768</v>
      </c>
      <c r="G286" s="14" t="s">
        <v>579</v>
      </c>
      <c r="H286" s="14" t="s">
        <v>12</v>
      </c>
      <c r="I286" s="14" t="s">
        <v>2283</v>
      </c>
      <c r="J286" s="14" t="str">
        <f>IF(messy_clinic_appointments[[#This Row],[billing_amount]] &lt; 200, "Low", IF(messy_clinic_appointments[[#This Row],[billing_amount]]&lt;= 400, "Medium", "High"))</f>
        <v>High</v>
      </c>
      <c r="K286" s="14" t="s">
        <v>2010</v>
      </c>
      <c r="L286" s="2">
        <f>DATEDIF(messy_clinic_appointments[[#This Row],[booking_date]],messy_clinic_appointments[[#This Row],[appointment_date]],"d")</f>
        <v>142</v>
      </c>
      <c r="M286" s="14" t="str">
        <f>IF(messy_clinic_appointments[[#This Row],[days_to_appointment]]&gt;365, "Review", "OK")</f>
        <v>OK</v>
      </c>
    </row>
    <row r="287" spans="1:13" x14ac:dyDescent="0.25">
      <c r="A287">
        <v>1040</v>
      </c>
      <c r="B287" s="14" t="s">
        <v>580</v>
      </c>
      <c r="C287">
        <v>35</v>
      </c>
      <c r="D287" s="14" t="s">
        <v>2014</v>
      </c>
      <c r="E287" s="1">
        <v>45888</v>
      </c>
      <c r="F287" s="1">
        <v>45823</v>
      </c>
      <c r="G287" s="14" t="s">
        <v>581</v>
      </c>
      <c r="H287" s="14" t="s">
        <v>21</v>
      </c>
      <c r="I287" s="14" t="s">
        <v>2284</v>
      </c>
      <c r="J287" s="14" t="str">
        <f>IF(messy_clinic_appointments[[#This Row],[billing_amount]] &lt; 200, "Low", IF(messy_clinic_appointments[[#This Row],[billing_amount]]&lt;= 400, "Medium", "High"))</f>
        <v>High</v>
      </c>
      <c r="K287" s="14" t="s">
        <v>2026</v>
      </c>
      <c r="L287" s="2">
        <f>DATEDIF(messy_clinic_appointments[[#This Row],[booking_date]],messy_clinic_appointments[[#This Row],[appointment_date]],"d")</f>
        <v>65</v>
      </c>
      <c r="M287" s="14" t="str">
        <f>IF(messy_clinic_appointments[[#This Row],[days_to_appointment]]&gt;365, "Review", "OK")</f>
        <v>OK</v>
      </c>
    </row>
    <row r="288" spans="1:13" x14ac:dyDescent="0.25">
      <c r="A288">
        <v>1090</v>
      </c>
      <c r="B288" s="14" t="s">
        <v>582</v>
      </c>
      <c r="C288">
        <v>25</v>
      </c>
      <c r="D288" s="14" t="s">
        <v>30</v>
      </c>
      <c r="E288" s="1">
        <v>45974</v>
      </c>
      <c r="F288" s="1">
        <v>45639</v>
      </c>
      <c r="G288" s="14" t="s">
        <v>583</v>
      </c>
      <c r="H288" s="14" t="s">
        <v>21</v>
      </c>
      <c r="I288" s="14" t="s">
        <v>2285</v>
      </c>
      <c r="J288" s="14" t="str">
        <f>IF(messy_clinic_appointments[[#This Row],[billing_amount]] &lt; 200, "Low", IF(messy_clinic_appointments[[#This Row],[billing_amount]]&lt;= 400, "Medium", "High"))</f>
        <v>High</v>
      </c>
      <c r="K288" s="14" t="s">
        <v>2010</v>
      </c>
      <c r="L288" s="2">
        <f>DATEDIF(messy_clinic_appointments[[#This Row],[booking_date]],messy_clinic_appointments[[#This Row],[appointment_date]],"d")</f>
        <v>335</v>
      </c>
      <c r="M288" s="14" t="str">
        <f>IF(messy_clinic_appointments[[#This Row],[days_to_appointment]]&gt;365, "Review", "OK")</f>
        <v>OK</v>
      </c>
    </row>
    <row r="289" spans="1:13" x14ac:dyDescent="0.25">
      <c r="A289">
        <v>1003</v>
      </c>
      <c r="B289" s="14" t="s">
        <v>584</v>
      </c>
      <c r="C289">
        <v>81</v>
      </c>
      <c r="D289" s="14" t="s">
        <v>2008</v>
      </c>
      <c r="E289" s="1">
        <v>45799</v>
      </c>
      <c r="F289" s="1">
        <v>45397</v>
      </c>
      <c r="G289" s="14" t="s">
        <v>585</v>
      </c>
      <c r="H289" s="14" t="s">
        <v>18</v>
      </c>
      <c r="I289" s="14" t="s">
        <v>2286</v>
      </c>
      <c r="J289" s="14" t="str">
        <f>IF(messy_clinic_appointments[[#This Row],[billing_amount]] &lt; 200, "Low", IF(messy_clinic_appointments[[#This Row],[billing_amount]]&lt;= 400, "Medium", "High"))</f>
        <v>High</v>
      </c>
      <c r="K289" s="14" t="s">
        <v>2013</v>
      </c>
      <c r="L289" s="2">
        <f>DATEDIF(messy_clinic_appointments[[#This Row],[booking_date]],messy_clinic_appointments[[#This Row],[appointment_date]],"d")</f>
        <v>402</v>
      </c>
      <c r="M289" s="14" t="str">
        <f>IF(messy_clinic_appointments[[#This Row],[days_to_appointment]]&gt;365, "Review", "OK")</f>
        <v>Review</v>
      </c>
    </row>
    <row r="290" spans="1:13" x14ac:dyDescent="0.25">
      <c r="A290">
        <v>1054</v>
      </c>
      <c r="B290" s="14" t="s">
        <v>586</v>
      </c>
      <c r="C290">
        <v>30</v>
      </c>
      <c r="D290" s="14" t="s">
        <v>2022</v>
      </c>
      <c r="E290" s="1">
        <v>46075</v>
      </c>
      <c r="F290" s="1">
        <v>45842</v>
      </c>
      <c r="G290" s="14" t="s">
        <v>587</v>
      </c>
      <c r="H290" s="14" t="s">
        <v>21</v>
      </c>
      <c r="I290" s="14" t="s">
        <v>2287</v>
      </c>
      <c r="J290" s="14" t="str">
        <f>IF(messy_clinic_appointments[[#This Row],[billing_amount]] &lt; 200, "Low", IF(messy_clinic_appointments[[#This Row],[billing_amount]]&lt;= 400, "Medium", "High"))</f>
        <v>High</v>
      </c>
      <c r="K290" s="14" t="s">
        <v>2026</v>
      </c>
      <c r="L290" s="2">
        <f>DATEDIF(messy_clinic_appointments[[#This Row],[booking_date]],messy_clinic_appointments[[#This Row],[appointment_date]],"d")</f>
        <v>233</v>
      </c>
      <c r="M290" s="14" t="str">
        <f>IF(messy_clinic_appointments[[#This Row],[days_to_appointment]]&gt;365, "Review", "OK")</f>
        <v>OK</v>
      </c>
    </row>
    <row r="291" spans="1:13" x14ac:dyDescent="0.25">
      <c r="A291">
        <v>1003</v>
      </c>
      <c r="B291" s="14" t="s">
        <v>588</v>
      </c>
      <c r="C291">
        <v>41</v>
      </c>
      <c r="D291" s="14" t="s">
        <v>2039</v>
      </c>
      <c r="E291" s="1">
        <v>45791</v>
      </c>
      <c r="F291" s="1">
        <v>45387</v>
      </c>
      <c r="G291" s="14" t="s">
        <v>344</v>
      </c>
      <c r="H291" s="14" t="s">
        <v>21</v>
      </c>
      <c r="I291" s="14" t="s">
        <v>2288</v>
      </c>
      <c r="J291" s="14" t="str">
        <f>IF(messy_clinic_appointments[[#This Row],[billing_amount]] &lt; 200, "Low", IF(messy_clinic_appointments[[#This Row],[billing_amount]]&lt;= 400, "Medium", "High"))</f>
        <v>High</v>
      </c>
      <c r="K291" s="14" t="s">
        <v>22</v>
      </c>
      <c r="L291" s="2">
        <f>DATEDIF(messy_clinic_appointments[[#This Row],[booking_date]],messy_clinic_appointments[[#This Row],[appointment_date]],"d")</f>
        <v>404</v>
      </c>
      <c r="M291" s="14" t="str">
        <f>IF(messy_clinic_appointments[[#This Row],[days_to_appointment]]&gt;365, "Review", "OK")</f>
        <v>Review</v>
      </c>
    </row>
    <row r="292" spans="1:13" x14ac:dyDescent="0.25">
      <c r="A292">
        <v>1011</v>
      </c>
      <c r="B292" s="14" t="s">
        <v>589</v>
      </c>
      <c r="C292">
        <v>54</v>
      </c>
      <c r="D292" s="14" t="s">
        <v>2039</v>
      </c>
      <c r="E292" s="1">
        <v>46066</v>
      </c>
      <c r="F292" s="1">
        <v>45602</v>
      </c>
      <c r="G292" s="14" t="s">
        <v>590</v>
      </c>
      <c r="H292" s="14" t="s">
        <v>15</v>
      </c>
      <c r="I292" s="14" t="s">
        <v>2289</v>
      </c>
      <c r="J292" s="14" t="str">
        <f>IF(messy_clinic_appointments[[#This Row],[billing_amount]] &lt; 200, "Low", IF(messy_clinic_appointments[[#This Row],[billing_amount]]&lt;= 400, "Medium", "High"))</f>
        <v>High</v>
      </c>
      <c r="K292" s="14" t="s">
        <v>2026</v>
      </c>
      <c r="L292" s="2">
        <f>DATEDIF(messy_clinic_appointments[[#This Row],[booking_date]],messy_clinic_appointments[[#This Row],[appointment_date]],"d")</f>
        <v>464</v>
      </c>
      <c r="M292" s="14" t="str">
        <f>IF(messy_clinic_appointments[[#This Row],[days_to_appointment]]&gt;365, "Review", "OK")</f>
        <v>Review</v>
      </c>
    </row>
    <row r="293" spans="1:13" x14ac:dyDescent="0.25">
      <c r="A293">
        <v>1029</v>
      </c>
      <c r="B293" s="14" t="s">
        <v>591</v>
      </c>
      <c r="C293">
        <v>30</v>
      </c>
      <c r="D293" s="14" t="s">
        <v>2011</v>
      </c>
      <c r="E293" s="1">
        <v>45857</v>
      </c>
      <c r="F293" s="1">
        <v>45789</v>
      </c>
      <c r="G293" s="14" t="s">
        <v>592</v>
      </c>
      <c r="H293" s="14" t="s">
        <v>15</v>
      </c>
      <c r="I293" s="14" t="s">
        <v>2290</v>
      </c>
      <c r="J293" s="14" t="str">
        <f>IF(messy_clinic_appointments[[#This Row],[billing_amount]] &lt; 200, "Low", IF(messy_clinic_appointments[[#This Row],[billing_amount]]&lt;= 400, "Medium", "High"))</f>
        <v>High</v>
      </c>
      <c r="K293" s="14" t="s">
        <v>2026</v>
      </c>
      <c r="L293" s="2">
        <f>DATEDIF(messy_clinic_appointments[[#This Row],[booking_date]],messy_clinic_appointments[[#This Row],[appointment_date]],"d")</f>
        <v>68</v>
      </c>
      <c r="M293" s="14" t="str">
        <f>IF(messy_clinic_appointments[[#This Row],[days_to_appointment]]&gt;365, "Review", "OK")</f>
        <v>OK</v>
      </c>
    </row>
    <row r="294" spans="1:13" x14ac:dyDescent="0.25">
      <c r="A294">
        <v>1051</v>
      </c>
      <c r="B294" s="14" t="s">
        <v>593</v>
      </c>
      <c r="C294">
        <v>53</v>
      </c>
      <c r="D294" s="14" t="s">
        <v>2039</v>
      </c>
      <c r="E294" s="1">
        <v>45837</v>
      </c>
      <c r="F294" s="1">
        <v>45548</v>
      </c>
      <c r="G294" s="14" t="s">
        <v>594</v>
      </c>
      <c r="H294" s="14" t="s">
        <v>18</v>
      </c>
      <c r="I294" s="14" t="s">
        <v>2291</v>
      </c>
      <c r="J294" s="14" t="str">
        <f>IF(messy_clinic_appointments[[#This Row],[billing_amount]] &lt; 200, "Low", IF(messy_clinic_appointments[[#This Row],[billing_amount]]&lt;= 400, "Medium", "High"))</f>
        <v>High</v>
      </c>
      <c r="K294" s="14" t="s">
        <v>22</v>
      </c>
      <c r="L294" s="2">
        <f>DATEDIF(messy_clinic_appointments[[#This Row],[booking_date]],messy_clinic_appointments[[#This Row],[appointment_date]],"d")</f>
        <v>289</v>
      </c>
      <c r="M294" s="14" t="str">
        <f>IF(messy_clinic_appointments[[#This Row],[days_to_appointment]]&gt;365, "Review", "OK")</f>
        <v>OK</v>
      </c>
    </row>
    <row r="295" spans="1:13" x14ac:dyDescent="0.25">
      <c r="A295">
        <v>1041</v>
      </c>
      <c r="B295" s="14" t="s">
        <v>595</v>
      </c>
      <c r="C295">
        <v>65</v>
      </c>
      <c r="D295" s="14" t="s">
        <v>2010</v>
      </c>
      <c r="E295" s="1">
        <v>45958</v>
      </c>
      <c r="F295" s="1">
        <v>45887</v>
      </c>
      <c r="G295" s="14" t="s">
        <v>596</v>
      </c>
      <c r="H295" s="14" t="s">
        <v>18</v>
      </c>
      <c r="I295" s="14" t="s">
        <v>2292</v>
      </c>
      <c r="J295" s="14" t="str">
        <f>IF(messy_clinic_appointments[[#This Row],[billing_amount]] &lt; 200, "Low", IF(messy_clinic_appointments[[#This Row],[billing_amount]]&lt;= 400, "Medium", "High"))</f>
        <v>High</v>
      </c>
      <c r="K295" s="14" t="s">
        <v>2026</v>
      </c>
      <c r="L295" s="2">
        <f>DATEDIF(messy_clinic_appointments[[#This Row],[booking_date]],messy_clinic_appointments[[#This Row],[appointment_date]],"d")</f>
        <v>71</v>
      </c>
      <c r="M295" s="14" t="str">
        <f>IF(messy_clinic_appointments[[#This Row],[days_to_appointment]]&gt;365, "Review", "OK")</f>
        <v>OK</v>
      </c>
    </row>
    <row r="296" spans="1:13" x14ac:dyDescent="0.25">
      <c r="A296">
        <v>1004</v>
      </c>
      <c r="B296" s="14" t="s">
        <v>597</v>
      </c>
      <c r="C296">
        <v>64</v>
      </c>
      <c r="D296" s="14" t="s">
        <v>24</v>
      </c>
      <c r="E296" s="1">
        <v>46093</v>
      </c>
      <c r="F296" s="1">
        <v>45447</v>
      </c>
      <c r="G296" s="14" t="s">
        <v>598</v>
      </c>
      <c r="H296" s="14" t="s">
        <v>21</v>
      </c>
      <c r="I296" s="14" t="s">
        <v>2293</v>
      </c>
      <c r="J296" s="14" t="str">
        <f>IF(messy_clinic_appointments[[#This Row],[billing_amount]] &lt; 200, "Low", IF(messy_clinic_appointments[[#This Row],[billing_amount]]&lt;= 400, "Medium", "High"))</f>
        <v>High</v>
      </c>
      <c r="K296" s="14" t="s">
        <v>2010</v>
      </c>
      <c r="L296" s="2">
        <f>DATEDIF(messy_clinic_appointments[[#This Row],[booking_date]],messy_clinic_appointments[[#This Row],[appointment_date]],"d")</f>
        <v>646</v>
      </c>
      <c r="M296" s="14" t="str">
        <f>IF(messy_clinic_appointments[[#This Row],[days_to_appointment]]&gt;365, "Review", "OK")</f>
        <v>Review</v>
      </c>
    </row>
    <row r="297" spans="1:13" x14ac:dyDescent="0.25">
      <c r="A297">
        <v>1054</v>
      </c>
      <c r="B297" s="14" t="s">
        <v>599</v>
      </c>
      <c r="C297">
        <v>78</v>
      </c>
      <c r="D297" s="14" t="s">
        <v>50</v>
      </c>
      <c r="E297" s="1">
        <v>46016</v>
      </c>
      <c r="F297" s="1">
        <v>45639</v>
      </c>
      <c r="G297" s="14" t="s">
        <v>600</v>
      </c>
      <c r="H297" s="14" t="s">
        <v>18</v>
      </c>
      <c r="I297" s="14" t="s">
        <v>2294</v>
      </c>
      <c r="J297" s="14" t="str">
        <f>IF(messy_clinic_appointments[[#This Row],[billing_amount]] &lt; 200, "Low", IF(messy_clinic_appointments[[#This Row],[billing_amount]]&lt;= 400, "Medium", "High"))</f>
        <v>High</v>
      </c>
      <c r="K297" s="14" t="s">
        <v>22</v>
      </c>
      <c r="L297" s="2">
        <f>DATEDIF(messy_clinic_appointments[[#This Row],[booking_date]],messy_clinic_appointments[[#This Row],[appointment_date]],"d")</f>
        <v>377</v>
      </c>
      <c r="M297" s="14" t="str">
        <f>IF(messy_clinic_appointments[[#This Row],[days_to_appointment]]&gt;365, "Review", "OK")</f>
        <v>Review</v>
      </c>
    </row>
    <row r="298" spans="1:13" x14ac:dyDescent="0.25">
      <c r="A298">
        <v>1006</v>
      </c>
      <c r="B298" s="14" t="s">
        <v>601</v>
      </c>
      <c r="C298">
        <v>63</v>
      </c>
      <c r="D298" s="14" t="s">
        <v>2014</v>
      </c>
      <c r="E298" s="1">
        <v>46004</v>
      </c>
      <c r="F298" s="1">
        <v>45721</v>
      </c>
      <c r="G298" s="14" t="s">
        <v>602</v>
      </c>
      <c r="H298" s="14" t="s">
        <v>18</v>
      </c>
      <c r="I298" s="14" t="s">
        <v>2295</v>
      </c>
      <c r="J298" s="14" t="str">
        <f>IF(messy_clinic_appointments[[#This Row],[billing_amount]] &lt; 200, "Low", IF(messy_clinic_appointments[[#This Row],[billing_amount]]&lt;= 400, "Medium", "High"))</f>
        <v>High</v>
      </c>
      <c r="K298" s="14" t="s">
        <v>2026</v>
      </c>
      <c r="L298" s="2">
        <f>DATEDIF(messy_clinic_appointments[[#This Row],[booking_date]],messy_clinic_appointments[[#This Row],[appointment_date]],"d")</f>
        <v>283</v>
      </c>
      <c r="M298" s="14" t="str">
        <f>IF(messy_clinic_appointments[[#This Row],[days_to_appointment]]&gt;365, "Review", "OK")</f>
        <v>OK</v>
      </c>
    </row>
    <row r="299" spans="1:13" x14ac:dyDescent="0.25">
      <c r="A299">
        <v>1076</v>
      </c>
      <c r="B299" s="14" t="s">
        <v>603</v>
      </c>
      <c r="C299">
        <v>23</v>
      </c>
      <c r="D299" s="14" t="s">
        <v>50</v>
      </c>
      <c r="E299" s="1">
        <v>45935</v>
      </c>
      <c r="F299" s="1">
        <v>45736</v>
      </c>
      <c r="G299" s="14" t="s">
        <v>604</v>
      </c>
      <c r="H299" s="14" t="s">
        <v>21</v>
      </c>
      <c r="I299" s="14" t="s">
        <v>24</v>
      </c>
      <c r="J299" s="14" t="str">
        <f>IF(messy_clinic_appointments[[#This Row],[billing_amount]] &lt; 200, "Low", IF(messy_clinic_appointments[[#This Row],[billing_amount]]&lt;= 400, "Medium", "High"))</f>
        <v>High</v>
      </c>
      <c r="K299" s="14" t="s">
        <v>22</v>
      </c>
      <c r="L299" s="2">
        <f>DATEDIF(messy_clinic_appointments[[#This Row],[booking_date]],messy_clinic_appointments[[#This Row],[appointment_date]],"d")</f>
        <v>199</v>
      </c>
      <c r="M299" s="14" t="str">
        <f>IF(messy_clinic_appointments[[#This Row],[days_to_appointment]]&gt;365, "Review", "OK")</f>
        <v>OK</v>
      </c>
    </row>
    <row r="300" spans="1:13" x14ac:dyDescent="0.25">
      <c r="A300">
        <v>1054</v>
      </c>
      <c r="B300" s="14" t="s">
        <v>605</v>
      </c>
      <c r="C300">
        <v>70</v>
      </c>
      <c r="D300" s="14" t="s">
        <v>2039</v>
      </c>
      <c r="E300" s="1">
        <v>45964</v>
      </c>
      <c r="F300" s="1">
        <v>45824</v>
      </c>
      <c r="G300" s="14" t="s">
        <v>606</v>
      </c>
      <c r="H300" s="14" t="s">
        <v>12</v>
      </c>
      <c r="I300" s="14" t="s">
        <v>2296</v>
      </c>
      <c r="J300" s="14" t="str">
        <f>IF(messy_clinic_appointments[[#This Row],[billing_amount]] &lt; 200, "Low", IF(messy_clinic_appointments[[#This Row],[billing_amount]]&lt;= 400, "Medium", "High"))</f>
        <v>High</v>
      </c>
      <c r="K300" s="14" t="s">
        <v>28</v>
      </c>
      <c r="L300" s="2">
        <f>DATEDIF(messy_clinic_appointments[[#This Row],[booking_date]],messy_clinic_appointments[[#This Row],[appointment_date]],"d")</f>
        <v>140</v>
      </c>
      <c r="M300" s="14" t="str">
        <f>IF(messy_clinic_appointments[[#This Row],[days_to_appointment]]&gt;365, "Review", "OK")</f>
        <v>OK</v>
      </c>
    </row>
    <row r="301" spans="1:13" x14ac:dyDescent="0.25">
      <c r="A301">
        <v>1021</v>
      </c>
      <c r="B301" s="14" t="s">
        <v>607</v>
      </c>
      <c r="C301">
        <v>54</v>
      </c>
      <c r="D301" s="14" t="s">
        <v>2022</v>
      </c>
      <c r="E301" s="1">
        <v>45920</v>
      </c>
      <c r="F301" s="1">
        <v>45467</v>
      </c>
      <c r="G301" s="14" t="s">
        <v>608</v>
      </c>
      <c r="H301" s="14" t="s">
        <v>12</v>
      </c>
      <c r="I301" s="14" t="s">
        <v>2297</v>
      </c>
      <c r="J301" s="14" t="str">
        <f>IF(messy_clinic_appointments[[#This Row],[billing_amount]] &lt; 200, "Low", IF(messy_clinic_appointments[[#This Row],[billing_amount]]&lt;= 400, "Medium", "High"))</f>
        <v>High</v>
      </c>
      <c r="K301" s="14" t="s">
        <v>2039</v>
      </c>
      <c r="L301" s="2">
        <f>DATEDIF(messy_clinic_appointments[[#This Row],[booking_date]],messy_clinic_appointments[[#This Row],[appointment_date]],"d")</f>
        <v>453</v>
      </c>
      <c r="M301" s="14" t="str">
        <f>IF(messy_clinic_appointments[[#This Row],[days_to_appointment]]&gt;365, "Review", "OK")</f>
        <v>Review</v>
      </c>
    </row>
    <row r="302" spans="1:13" x14ac:dyDescent="0.25">
      <c r="A302">
        <v>1015</v>
      </c>
      <c r="B302" s="14" t="s">
        <v>609</v>
      </c>
      <c r="C302">
        <v>50</v>
      </c>
      <c r="D302" s="14" t="s">
        <v>2039</v>
      </c>
      <c r="E302" s="1">
        <v>45894</v>
      </c>
      <c r="F302" s="1">
        <v>45461</v>
      </c>
      <c r="G302" s="14" t="s">
        <v>610</v>
      </c>
      <c r="H302" s="14" t="s">
        <v>18</v>
      </c>
      <c r="I302" s="14" t="s">
        <v>2298</v>
      </c>
      <c r="J302" s="14" t="str">
        <f>IF(messy_clinic_appointments[[#This Row],[billing_amount]] &lt; 200, "Low", IF(messy_clinic_appointments[[#This Row],[billing_amount]]&lt;= 400, "Medium", "High"))</f>
        <v>High</v>
      </c>
      <c r="K302" s="14" t="s">
        <v>28</v>
      </c>
      <c r="L302" s="2">
        <f>DATEDIF(messy_clinic_appointments[[#This Row],[booking_date]],messy_clinic_appointments[[#This Row],[appointment_date]],"d")</f>
        <v>433</v>
      </c>
      <c r="M302" s="14" t="str">
        <f>IF(messy_clinic_appointments[[#This Row],[days_to_appointment]]&gt;365, "Review", "OK")</f>
        <v>Review</v>
      </c>
    </row>
    <row r="303" spans="1:13" x14ac:dyDescent="0.25">
      <c r="A303">
        <v>1014</v>
      </c>
      <c r="B303" s="14" t="s">
        <v>611</v>
      </c>
      <c r="C303">
        <v>79</v>
      </c>
      <c r="D303" s="14" t="s">
        <v>2039</v>
      </c>
      <c r="E303" s="1">
        <v>46050</v>
      </c>
      <c r="F303" s="1">
        <v>45385</v>
      </c>
      <c r="G303" s="14" t="s">
        <v>612</v>
      </c>
      <c r="H303" s="14" t="s">
        <v>18</v>
      </c>
      <c r="I303" s="14" t="s">
        <v>2299</v>
      </c>
      <c r="J303" s="14" t="str">
        <f>IF(messy_clinic_appointments[[#This Row],[billing_amount]] &lt; 200, "Low", IF(messy_clinic_appointments[[#This Row],[billing_amount]]&lt;= 400, "Medium", "High"))</f>
        <v>High</v>
      </c>
      <c r="K303" s="14" t="s">
        <v>28</v>
      </c>
      <c r="L303" s="2">
        <f>DATEDIF(messy_clinic_appointments[[#This Row],[booking_date]],messy_clinic_appointments[[#This Row],[appointment_date]],"d")</f>
        <v>665</v>
      </c>
      <c r="M303" s="14" t="str">
        <f>IF(messy_clinic_appointments[[#This Row],[days_to_appointment]]&gt;365, "Review", "OK")</f>
        <v>Review</v>
      </c>
    </row>
    <row r="304" spans="1:13" x14ac:dyDescent="0.25">
      <c r="A304">
        <v>1088</v>
      </c>
      <c r="B304" s="14" t="s">
        <v>613</v>
      </c>
      <c r="C304">
        <v>83</v>
      </c>
      <c r="D304" s="14" t="s">
        <v>50</v>
      </c>
      <c r="E304" s="1">
        <v>46025</v>
      </c>
      <c r="F304" s="1">
        <v>45647</v>
      </c>
      <c r="G304" s="14" t="s">
        <v>614</v>
      </c>
      <c r="H304" s="14" t="s">
        <v>15</v>
      </c>
      <c r="I304" s="14" t="s">
        <v>2300</v>
      </c>
      <c r="J304" s="14" t="str">
        <f>IF(messy_clinic_appointments[[#This Row],[billing_amount]] &lt; 200, "Low", IF(messy_clinic_appointments[[#This Row],[billing_amount]]&lt;= 400, "Medium", "High"))</f>
        <v>High</v>
      </c>
      <c r="K304" s="14" t="s">
        <v>28</v>
      </c>
      <c r="L304" s="2">
        <f>DATEDIF(messy_clinic_appointments[[#This Row],[booking_date]],messy_clinic_appointments[[#This Row],[appointment_date]],"d")</f>
        <v>378</v>
      </c>
      <c r="M304" s="14" t="str">
        <f>IF(messy_clinic_appointments[[#This Row],[days_to_appointment]]&gt;365, "Review", "OK")</f>
        <v>Review</v>
      </c>
    </row>
    <row r="305" spans="1:13" x14ac:dyDescent="0.25">
      <c r="A305">
        <v>1034</v>
      </c>
      <c r="B305" s="14" t="s">
        <v>615</v>
      </c>
      <c r="C305">
        <v>37</v>
      </c>
      <c r="D305" s="14" t="s">
        <v>2039</v>
      </c>
      <c r="E305" s="1">
        <v>45939</v>
      </c>
      <c r="F305" s="1">
        <v>45752</v>
      </c>
      <c r="G305" s="14" t="s">
        <v>616</v>
      </c>
      <c r="H305" s="14" t="s">
        <v>18</v>
      </c>
      <c r="I305" s="14" t="s">
        <v>2301</v>
      </c>
      <c r="J305" s="14" t="str">
        <f>IF(messy_clinic_appointments[[#This Row],[billing_amount]] &lt; 200, "Low", IF(messy_clinic_appointments[[#This Row],[billing_amount]]&lt;= 400, "Medium", "High"))</f>
        <v>High</v>
      </c>
      <c r="K305" s="14" t="s">
        <v>2026</v>
      </c>
      <c r="L305" s="2">
        <f>DATEDIF(messy_clinic_appointments[[#This Row],[booking_date]],messy_clinic_appointments[[#This Row],[appointment_date]],"d")</f>
        <v>187</v>
      </c>
      <c r="M305" s="14" t="str">
        <f>IF(messy_clinic_appointments[[#This Row],[days_to_appointment]]&gt;365, "Review", "OK")</f>
        <v>OK</v>
      </c>
    </row>
    <row r="306" spans="1:13" x14ac:dyDescent="0.25">
      <c r="A306">
        <v>1020</v>
      </c>
      <c r="B306" s="14" t="s">
        <v>617</v>
      </c>
      <c r="C306">
        <v>40</v>
      </c>
      <c r="D306" s="14" t="s">
        <v>2008</v>
      </c>
      <c r="E306" s="1">
        <v>46036</v>
      </c>
      <c r="F306" s="1">
        <v>45974</v>
      </c>
      <c r="G306" s="14" t="s">
        <v>618</v>
      </c>
      <c r="H306" s="14" t="s">
        <v>18</v>
      </c>
      <c r="I306" s="14" t="s">
        <v>2302</v>
      </c>
      <c r="J306" s="14" t="str">
        <f>IF(messy_clinic_appointments[[#This Row],[billing_amount]] &lt; 200, "Low", IF(messy_clinic_appointments[[#This Row],[billing_amount]]&lt;= 400, "Medium", "High"))</f>
        <v>High</v>
      </c>
      <c r="K306" s="14" t="s">
        <v>2026</v>
      </c>
      <c r="L306" s="2">
        <f>DATEDIF(messy_clinic_appointments[[#This Row],[booking_date]],messy_clinic_appointments[[#This Row],[appointment_date]],"d")</f>
        <v>62</v>
      </c>
      <c r="M306" s="14" t="str">
        <f>IF(messy_clinic_appointments[[#This Row],[days_to_appointment]]&gt;365, "Review", "OK")</f>
        <v>OK</v>
      </c>
    </row>
    <row r="307" spans="1:13" x14ac:dyDescent="0.25">
      <c r="A307">
        <v>1053</v>
      </c>
      <c r="B307" s="14" t="s">
        <v>619</v>
      </c>
      <c r="C307">
        <v>76</v>
      </c>
      <c r="D307" s="14" t="s">
        <v>50</v>
      </c>
      <c r="E307" s="1">
        <v>45827</v>
      </c>
      <c r="F307" s="1">
        <v>45777</v>
      </c>
      <c r="G307" s="14" t="s">
        <v>620</v>
      </c>
      <c r="H307" s="14" t="s">
        <v>12</v>
      </c>
      <c r="I307" s="14" t="s">
        <v>2303</v>
      </c>
      <c r="J307" s="14" t="str">
        <f>IF(messy_clinic_appointments[[#This Row],[billing_amount]] &lt; 200, "Low", IF(messy_clinic_appointments[[#This Row],[billing_amount]]&lt;= 400, "Medium", "High"))</f>
        <v>High</v>
      </c>
      <c r="K307" s="14" t="s">
        <v>2039</v>
      </c>
      <c r="L307" s="2">
        <f>DATEDIF(messy_clinic_appointments[[#This Row],[booking_date]],messy_clinic_appointments[[#This Row],[appointment_date]],"d")</f>
        <v>50</v>
      </c>
      <c r="M307" s="14" t="str">
        <f>IF(messy_clinic_appointments[[#This Row],[days_to_appointment]]&gt;365, "Review", "OK")</f>
        <v>OK</v>
      </c>
    </row>
    <row r="308" spans="1:13" x14ac:dyDescent="0.25">
      <c r="A308">
        <v>1011</v>
      </c>
      <c r="B308" s="14" t="s">
        <v>621</v>
      </c>
      <c r="C308">
        <v>60</v>
      </c>
      <c r="D308" s="14" t="s">
        <v>50</v>
      </c>
      <c r="E308" s="1">
        <v>45830</v>
      </c>
      <c r="F308" s="1">
        <v>45408</v>
      </c>
      <c r="G308" s="14" t="s">
        <v>622</v>
      </c>
      <c r="H308" s="14" t="s">
        <v>12</v>
      </c>
      <c r="I308" s="14" t="s">
        <v>2304</v>
      </c>
      <c r="J308" s="14" t="str">
        <f>IF(messy_clinic_appointments[[#This Row],[billing_amount]] &lt; 200, "Low", IF(messy_clinic_appointments[[#This Row],[billing_amount]]&lt;= 400, "Medium", "High"))</f>
        <v>High</v>
      </c>
      <c r="K308" s="14" t="s">
        <v>2039</v>
      </c>
      <c r="L308" s="2">
        <f>DATEDIF(messy_clinic_appointments[[#This Row],[booking_date]],messy_clinic_appointments[[#This Row],[appointment_date]],"d")</f>
        <v>422</v>
      </c>
      <c r="M308" s="14" t="str">
        <f>IF(messy_clinic_appointments[[#This Row],[days_to_appointment]]&gt;365, "Review", "OK")</f>
        <v>Review</v>
      </c>
    </row>
    <row r="309" spans="1:13" x14ac:dyDescent="0.25">
      <c r="A309">
        <v>1074</v>
      </c>
      <c r="B309" s="14" t="s">
        <v>623</v>
      </c>
      <c r="C309">
        <v>51</v>
      </c>
      <c r="D309" s="14" t="s">
        <v>2014</v>
      </c>
      <c r="E309" s="1">
        <v>46019</v>
      </c>
      <c r="F309" s="1">
        <v>45764</v>
      </c>
      <c r="G309" s="14" t="s">
        <v>624</v>
      </c>
      <c r="H309" s="14" t="s">
        <v>21</v>
      </c>
      <c r="I309" s="14" t="s">
        <v>2305</v>
      </c>
      <c r="J309" s="14" t="str">
        <f>IF(messy_clinic_appointments[[#This Row],[billing_amount]] &lt; 200, "Low", IF(messy_clinic_appointments[[#This Row],[billing_amount]]&lt;= 400, "Medium", "High"))</f>
        <v>High</v>
      </c>
      <c r="K309" s="14" t="s">
        <v>2026</v>
      </c>
      <c r="L309" s="2">
        <f>DATEDIF(messy_clinic_appointments[[#This Row],[booking_date]],messy_clinic_appointments[[#This Row],[appointment_date]],"d")</f>
        <v>255</v>
      </c>
      <c r="M309" s="14" t="str">
        <f>IF(messy_clinic_appointments[[#This Row],[days_to_appointment]]&gt;365, "Review", "OK")</f>
        <v>OK</v>
      </c>
    </row>
    <row r="310" spans="1:13" x14ac:dyDescent="0.25">
      <c r="A310">
        <v>1051</v>
      </c>
      <c r="B310" s="14" t="s">
        <v>625</v>
      </c>
      <c r="C310">
        <v>52</v>
      </c>
      <c r="D310" s="14" t="s">
        <v>2039</v>
      </c>
      <c r="E310" s="1">
        <v>45907</v>
      </c>
      <c r="F310" s="1">
        <v>45405</v>
      </c>
      <c r="G310" s="14" t="s">
        <v>626</v>
      </c>
      <c r="H310" s="14" t="s">
        <v>12</v>
      </c>
      <c r="I310" s="14" t="s">
        <v>2306</v>
      </c>
      <c r="J310" s="14" t="str">
        <f>IF(messy_clinic_appointments[[#This Row],[billing_amount]] &lt; 200, "Low", IF(messy_clinic_appointments[[#This Row],[billing_amount]]&lt;= 400, "Medium", "High"))</f>
        <v>High</v>
      </c>
      <c r="K310" s="14" t="s">
        <v>2010</v>
      </c>
      <c r="L310" s="2">
        <f>DATEDIF(messy_clinic_appointments[[#This Row],[booking_date]],messy_clinic_appointments[[#This Row],[appointment_date]],"d")</f>
        <v>502</v>
      </c>
      <c r="M310" s="14" t="str">
        <f>IF(messy_clinic_appointments[[#This Row],[days_to_appointment]]&gt;365, "Review", "OK")</f>
        <v>Review</v>
      </c>
    </row>
    <row r="311" spans="1:13" x14ac:dyDescent="0.25">
      <c r="A311">
        <v>1029</v>
      </c>
      <c r="B311" s="14" t="s">
        <v>627</v>
      </c>
      <c r="C311">
        <v>43</v>
      </c>
      <c r="D311" s="14" t="s">
        <v>2008</v>
      </c>
      <c r="E311" s="1">
        <v>45925</v>
      </c>
      <c r="F311" s="1">
        <v>45595</v>
      </c>
      <c r="G311" s="14" t="s">
        <v>628</v>
      </c>
      <c r="H311" s="14" t="s">
        <v>12</v>
      </c>
      <c r="I311" s="14" t="s">
        <v>2307</v>
      </c>
      <c r="J311" s="14" t="str">
        <f>IF(messy_clinic_appointments[[#This Row],[billing_amount]] &lt; 200, "Low", IF(messy_clinic_appointments[[#This Row],[billing_amount]]&lt;= 400, "Medium", "High"))</f>
        <v>High</v>
      </c>
      <c r="K311" s="14" t="s">
        <v>2010</v>
      </c>
      <c r="L311" s="2">
        <f>DATEDIF(messy_clinic_appointments[[#This Row],[booking_date]],messy_clinic_appointments[[#This Row],[appointment_date]],"d")</f>
        <v>330</v>
      </c>
      <c r="M311" s="14" t="str">
        <f>IF(messy_clinic_appointments[[#This Row],[days_to_appointment]]&gt;365, "Review", "OK")</f>
        <v>OK</v>
      </c>
    </row>
    <row r="312" spans="1:13" x14ac:dyDescent="0.25">
      <c r="A312">
        <v>1043</v>
      </c>
      <c r="B312" s="14" t="s">
        <v>629</v>
      </c>
      <c r="C312">
        <v>38</v>
      </c>
      <c r="D312" s="14" t="s">
        <v>50</v>
      </c>
      <c r="E312" s="1">
        <v>46047</v>
      </c>
      <c r="F312" s="1">
        <v>45391</v>
      </c>
      <c r="G312" s="14" t="s">
        <v>630</v>
      </c>
      <c r="H312" s="14" t="s">
        <v>18</v>
      </c>
      <c r="I312" s="14" t="s">
        <v>2308</v>
      </c>
      <c r="J312" s="14" t="str">
        <f>IF(messy_clinic_appointments[[#This Row],[billing_amount]] &lt; 200, "Low", IF(messy_clinic_appointments[[#This Row],[billing_amount]]&lt;= 400, "Medium", "High"))</f>
        <v>High</v>
      </c>
      <c r="K312" s="14" t="s">
        <v>2026</v>
      </c>
      <c r="L312" s="2">
        <f>DATEDIF(messy_clinic_appointments[[#This Row],[booking_date]],messy_clinic_appointments[[#This Row],[appointment_date]],"d")</f>
        <v>656</v>
      </c>
      <c r="M312" s="14" t="str">
        <f>IF(messy_clinic_appointments[[#This Row],[days_to_appointment]]&gt;365, "Review", "OK")</f>
        <v>Review</v>
      </c>
    </row>
    <row r="313" spans="1:13" x14ac:dyDescent="0.25">
      <c r="A313">
        <v>1095</v>
      </c>
      <c r="B313" s="14" t="s">
        <v>631</v>
      </c>
      <c r="C313">
        <v>84</v>
      </c>
      <c r="D313" s="14" t="s">
        <v>2011</v>
      </c>
      <c r="E313" s="1">
        <v>46068</v>
      </c>
      <c r="F313" s="1">
        <v>45982</v>
      </c>
      <c r="G313" s="14" t="s">
        <v>632</v>
      </c>
      <c r="H313" s="14" t="s">
        <v>15</v>
      </c>
      <c r="I313" s="14" t="s">
        <v>2309</v>
      </c>
      <c r="J313" s="14" t="str">
        <f>IF(messy_clinic_appointments[[#This Row],[billing_amount]] &lt; 200, "Low", IF(messy_clinic_appointments[[#This Row],[billing_amount]]&lt;= 400, "Medium", "High"))</f>
        <v>High</v>
      </c>
      <c r="K313" s="14" t="s">
        <v>2013</v>
      </c>
      <c r="L313" s="2">
        <f>DATEDIF(messy_clinic_appointments[[#This Row],[booking_date]],messy_clinic_appointments[[#This Row],[appointment_date]],"d")</f>
        <v>86</v>
      </c>
      <c r="M313" s="14" t="str">
        <f>IF(messy_clinic_appointments[[#This Row],[days_to_appointment]]&gt;365, "Review", "OK")</f>
        <v>OK</v>
      </c>
    </row>
    <row r="314" spans="1:13" x14ac:dyDescent="0.25">
      <c r="A314">
        <v>1080</v>
      </c>
      <c r="B314" s="14" t="s">
        <v>633</v>
      </c>
      <c r="C314">
        <v>40</v>
      </c>
      <c r="D314" s="14" t="s">
        <v>2010</v>
      </c>
      <c r="E314" s="1">
        <v>45896</v>
      </c>
      <c r="F314" s="1">
        <v>45851</v>
      </c>
      <c r="G314" s="14" t="s">
        <v>634</v>
      </c>
      <c r="H314" s="14" t="s">
        <v>15</v>
      </c>
      <c r="I314" s="14" t="s">
        <v>2310</v>
      </c>
      <c r="J314" s="14" t="str">
        <f>IF(messy_clinic_appointments[[#This Row],[billing_amount]] &lt; 200, "Low", IF(messy_clinic_appointments[[#This Row],[billing_amount]]&lt;= 400, "Medium", "High"))</f>
        <v>High</v>
      </c>
      <c r="K314" s="14" t="s">
        <v>28</v>
      </c>
      <c r="L314" s="2">
        <f>DATEDIF(messy_clinic_appointments[[#This Row],[booking_date]],messy_clinic_appointments[[#This Row],[appointment_date]],"d")</f>
        <v>45</v>
      </c>
      <c r="M314" s="14" t="str">
        <f>IF(messy_clinic_appointments[[#This Row],[days_to_appointment]]&gt;365, "Review", "OK")</f>
        <v>OK</v>
      </c>
    </row>
    <row r="315" spans="1:13" x14ac:dyDescent="0.25">
      <c r="A315">
        <v>1082</v>
      </c>
      <c r="B315" s="14" t="s">
        <v>635</v>
      </c>
      <c r="C315">
        <v>89</v>
      </c>
      <c r="D315" s="14" t="s">
        <v>2010</v>
      </c>
      <c r="E315" s="1">
        <v>45743</v>
      </c>
      <c r="F315" s="1">
        <v>45642</v>
      </c>
      <c r="G315" s="14" t="s">
        <v>636</v>
      </c>
      <c r="H315" s="14" t="s">
        <v>12</v>
      </c>
      <c r="I315" s="14" t="s">
        <v>2311</v>
      </c>
      <c r="J315" s="14" t="str">
        <f>IF(messy_clinic_appointments[[#This Row],[billing_amount]] &lt; 200, "Low", IF(messy_clinic_appointments[[#This Row],[billing_amount]]&lt;= 400, "Medium", "High"))</f>
        <v>High</v>
      </c>
      <c r="K315" s="14" t="s">
        <v>2026</v>
      </c>
      <c r="L315" s="2">
        <f>DATEDIF(messy_clinic_appointments[[#This Row],[booking_date]],messy_clinic_appointments[[#This Row],[appointment_date]],"d")</f>
        <v>101</v>
      </c>
      <c r="M315" s="14" t="str">
        <f>IF(messy_clinic_appointments[[#This Row],[days_to_appointment]]&gt;365, "Review", "OK")</f>
        <v>OK</v>
      </c>
    </row>
    <row r="316" spans="1:13" x14ac:dyDescent="0.25">
      <c r="A316">
        <v>1058</v>
      </c>
      <c r="B316" s="14" t="s">
        <v>637</v>
      </c>
      <c r="C316">
        <v>57</v>
      </c>
      <c r="D316" s="14" t="s">
        <v>2039</v>
      </c>
      <c r="E316" s="1">
        <v>45960</v>
      </c>
      <c r="F316" s="1">
        <v>45531</v>
      </c>
      <c r="G316" s="14" t="s">
        <v>638</v>
      </c>
      <c r="H316" s="14" t="s">
        <v>18</v>
      </c>
      <c r="I316" s="14" t="s">
        <v>2312</v>
      </c>
      <c r="J316" s="14" t="str">
        <f>IF(messy_clinic_appointments[[#This Row],[billing_amount]] &lt; 200, "Low", IF(messy_clinic_appointments[[#This Row],[billing_amount]]&lt;= 400, "Medium", "High"))</f>
        <v>High</v>
      </c>
      <c r="K316" s="14" t="s">
        <v>2013</v>
      </c>
      <c r="L316" s="2">
        <f>DATEDIF(messy_clinic_appointments[[#This Row],[booking_date]],messy_clinic_appointments[[#This Row],[appointment_date]],"d")</f>
        <v>429</v>
      </c>
      <c r="M316" s="14" t="str">
        <f>IF(messy_clinic_appointments[[#This Row],[days_to_appointment]]&gt;365, "Review", "OK")</f>
        <v>Review</v>
      </c>
    </row>
    <row r="317" spans="1:13" x14ac:dyDescent="0.25">
      <c r="A317">
        <v>1088</v>
      </c>
      <c r="B317" s="14" t="s">
        <v>639</v>
      </c>
      <c r="C317">
        <v>26</v>
      </c>
      <c r="D317" s="14" t="s">
        <v>2008</v>
      </c>
      <c r="E317" s="1">
        <v>46085</v>
      </c>
      <c r="F317" s="1">
        <v>46019</v>
      </c>
      <c r="G317" s="14" t="s">
        <v>640</v>
      </c>
      <c r="H317" s="14" t="s">
        <v>12</v>
      </c>
      <c r="I317" s="14" t="s">
        <v>2313</v>
      </c>
      <c r="J317" s="14" t="str">
        <f>IF(messy_clinic_appointments[[#This Row],[billing_amount]] &lt; 200, "Low", IF(messy_clinic_appointments[[#This Row],[billing_amount]]&lt;= 400, "Medium", "High"))</f>
        <v>High</v>
      </c>
      <c r="K317" s="14" t="s">
        <v>2039</v>
      </c>
      <c r="L317" s="2">
        <f>DATEDIF(messy_clinic_appointments[[#This Row],[booking_date]],messy_clinic_appointments[[#This Row],[appointment_date]],"d")</f>
        <v>66</v>
      </c>
      <c r="M317" s="14" t="str">
        <f>IF(messy_clinic_appointments[[#This Row],[days_to_appointment]]&gt;365, "Review", "OK")</f>
        <v>OK</v>
      </c>
    </row>
    <row r="318" spans="1:13" x14ac:dyDescent="0.25">
      <c r="A318">
        <v>1039</v>
      </c>
      <c r="B318" s="14" t="s">
        <v>641</v>
      </c>
      <c r="C318">
        <v>61</v>
      </c>
      <c r="D318" s="14" t="s">
        <v>2039</v>
      </c>
      <c r="E318" s="1">
        <v>45968</v>
      </c>
      <c r="F318" s="1">
        <v>45921</v>
      </c>
      <c r="G318" s="14" t="s">
        <v>642</v>
      </c>
      <c r="H318" s="14" t="s">
        <v>21</v>
      </c>
      <c r="I318" s="14" t="s">
        <v>2314</v>
      </c>
      <c r="J318" s="14" t="str">
        <f>IF(messy_clinic_appointments[[#This Row],[billing_amount]] &lt; 200, "Low", IF(messy_clinic_appointments[[#This Row],[billing_amount]]&lt;= 400, "Medium", "High"))</f>
        <v>High</v>
      </c>
      <c r="K318" s="14" t="s">
        <v>2039</v>
      </c>
      <c r="L318" s="2">
        <f>DATEDIF(messy_clinic_appointments[[#This Row],[booking_date]],messy_clinic_appointments[[#This Row],[appointment_date]],"d")</f>
        <v>47</v>
      </c>
      <c r="M318" s="14" t="str">
        <f>IF(messy_clinic_appointments[[#This Row],[days_to_appointment]]&gt;365, "Review", "OK")</f>
        <v>OK</v>
      </c>
    </row>
    <row r="319" spans="1:13" x14ac:dyDescent="0.25">
      <c r="A319">
        <v>1016</v>
      </c>
      <c r="B319" s="14" t="s">
        <v>643</v>
      </c>
      <c r="C319">
        <v>78</v>
      </c>
      <c r="D319" s="14" t="s">
        <v>2011</v>
      </c>
      <c r="E319" s="1">
        <v>45798</v>
      </c>
      <c r="F319" s="1">
        <v>45522</v>
      </c>
      <c r="G319" s="14" t="s">
        <v>644</v>
      </c>
      <c r="H319" s="14" t="s">
        <v>18</v>
      </c>
      <c r="I319" s="14" t="s">
        <v>2315</v>
      </c>
      <c r="J319" s="14" t="str">
        <f>IF(messy_clinic_appointments[[#This Row],[billing_amount]] &lt; 200, "Low", IF(messy_clinic_appointments[[#This Row],[billing_amount]]&lt;= 400, "Medium", "High"))</f>
        <v>High</v>
      </c>
      <c r="K319" s="14" t="s">
        <v>2013</v>
      </c>
      <c r="L319" s="2">
        <f>DATEDIF(messy_clinic_appointments[[#This Row],[booking_date]],messy_clinic_appointments[[#This Row],[appointment_date]],"d")</f>
        <v>276</v>
      </c>
      <c r="M319" s="14" t="str">
        <f>IF(messy_clinic_appointments[[#This Row],[days_to_appointment]]&gt;365, "Review", "OK")</f>
        <v>OK</v>
      </c>
    </row>
    <row r="320" spans="1:13" x14ac:dyDescent="0.25">
      <c r="A320">
        <v>1098</v>
      </c>
      <c r="B320" s="14" t="s">
        <v>645</v>
      </c>
      <c r="C320">
        <v>35</v>
      </c>
      <c r="D320" s="14" t="s">
        <v>2010</v>
      </c>
      <c r="E320" s="1">
        <v>46008</v>
      </c>
      <c r="F320" s="1">
        <v>45409</v>
      </c>
      <c r="G320" s="14" t="s">
        <v>646</v>
      </c>
      <c r="H320" s="14" t="s">
        <v>15</v>
      </c>
      <c r="I320" s="14" t="s">
        <v>2316</v>
      </c>
      <c r="J320" s="14" t="str">
        <f>IF(messy_clinic_appointments[[#This Row],[billing_amount]] &lt; 200, "Low", IF(messy_clinic_appointments[[#This Row],[billing_amount]]&lt;= 400, "Medium", "High"))</f>
        <v>High</v>
      </c>
      <c r="K320" s="14" t="s">
        <v>2026</v>
      </c>
      <c r="L320" s="2">
        <f>DATEDIF(messy_clinic_appointments[[#This Row],[booking_date]],messy_clinic_appointments[[#This Row],[appointment_date]],"d")</f>
        <v>599</v>
      </c>
      <c r="M320" s="14" t="str">
        <f>IF(messy_clinic_appointments[[#This Row],[days_to_appointment]]&gt;365, "Review", "OK")</f>
        <v>Review</v>
      </c>
    </row>
    <row r="321" spans="1:13" x14ac:dyDescent="0.25">
      <c r="A321">
        <v>1025</v>
      </c>
      <c r="B321" s="14" t="s">
        <v>647</v>
      </c>
      <c r="C321">
        <v>40</v>
      </c>
      <c r="D321" s="14" t="s">
        <v>2022</v>
      </c>
      <c r="E321" s="1">
        <v>45880</v>
      </c>
      <c r="F321" s="1">
        <v>45506</v>
      </c>
      <c r="G321" s="14" t="s">
        <v>648</v>
      </c>
      <c r="H321" s="14" t="s">
        <v>15</v>
      </c>
      <c r="I321" s="14" t="s">
        <v>2317</v>
      </c>
      <c r="J321" s="14" t="str">
        <f>IF(messy_clinic_appointments[[#This Row],[billing_amount]] &lt; 200, "Low", IF(messy_clinic_appointments[[#This Row],[billing_amount]]&lt;= 400, "Medium", "High"))</f>
        <v>High</v>
      </c>
      <c r="K321" s="14" t="s">
        <v>2039</v>
      </c>
      <c r="L321" s="2">
        <f>DATEDIF(messy_clinic_appointments[[#This Row],[booking_date]],messy_clinic_appointments[[#This Row],[appointment_date]],"d")</f>
        <v>374</v>
      </c>
      <c r="M321" s="14" t="str">
        <f>IF(messy_clinic_appointments[[#This Row],[days_to_appointment]]&gt;365, "Review", "OK")</f>
        <v>Review</v>
      </c>
    </row>
    <row r="322" spans="1:13" x14ac:dyDescent="0.25">
      <c r="A322">
        <v>1012</v>
      </c>
      <c r="B322" s="14" t="s">
        <v>649</v>
      </c>
      <c r="C322">
        <v>59</v>
      </c>
      <c r="D322" s="14" t="s">
        <v>2008</v>
      </c>
      <c r="E322" s="1">
        <v>45778</v>
      </c>
      <c r="F322" s="1">
        <v>45567</v>
      </c>
      <c r="G322" s="14" t="s">
        <v>650</v>
      </c>
      <c r="H322" s="14" t="s">
        <v>21</v>
      </c>
      <c r="I322" s="14" t="s">
        <v>2318</v>
      </c>
      <c r="J322" s="14" t="str">
        <f>IF(messy_clinic_appointments[[#This Row],[billing_amount]] &lt; 200, "Low", IF(messy_clinic_appointments[[#This Row],[billing_amount]]&lt;= 400, "Medium", "High"))</f>
        <v>High</v>
      </c>
      <c r="K322" s="14" t="s">
        <v>2010</v>
      </c>
      <c r="L322" s="2">
        <f>DATEDIF(messy_clinic_appointments[[#This Row],[booking_date]],messy_clinic_appointments[[#This Row],[appointment_date]],"d")</f>
        <v>211</v>
      </c>
      <c r="M322" s="14" t="str">
        <f>IF(messy_clinic_appointments[[#This Row],[days_to_appointment]]&gt;365, "Review", "OK")</f>
        <v>OK</v>
      </c>
    </row>
    <row r="323" spans="1:13" x14ac:dyDescent="0.25">
      <c r="A323">
        <v>1038</v>
      </c>
      <c r="B323" s="14" t="s">
        <v>651</v>
      </c>
      <c r="C323">
        <v>57</v>
      </c>
      <c r="D323" s="14" t="s">
        <v>30</v>
      </c>
      <c r="E323" s="1">
        <v>45776</v>
      </c>
      <c r="F323" s="1">
        <v>45398</v>
      </c>
      <c r="G323" s="14" t="s">
        <v>652</v>
      </c>
      <c r="H323" s="14" t="s">
        <v>18</v>
      </c>
      <c r="I323" s="14" t="s">
        <v>2319</v>
      </c>
      <c r="J323" s="14" t="str">
        <f>IF(messy_clinic_appointments[[#This Row],[billing_amount]] &lt; 200, "Low", IF(messy_clinic_appointments[[#This Row],[billing_amount]]&lt;= 400, "Medium", "High"))</f>
        <v>High</v>
      </c>
      <c r="K323" s="14" t="s">
        <v>2013</v>
      </c>
      <c r="L323" s="2">
        <f>DATEDIF(messy_clinic_appointments[[#This Row],[booking_date]],messy_clinic_appointments[[#This Row],[appointment_date]],"d")</f>
        <v>378</v>
      </c>
      <c r="M323" s="14" t="str">
        <f>IF(messy_clinic_appointments[[#This Row],[days_to_appointment]]&gt;365, "Review", "OK")</f>
        <v>Review</v>
      </c>
    </row>
    <row r="324" spans="1:13" x14ac:dyDescent="0.25">
      <c r="A324">
        <v>1000</v>
      </c>
      <c r="B324" s="14" t="s">
        <v>653</v>
      </c>
      <c r="C324">
        <v>85</v>
      </c>
      <c r="D324" s="14" t="s">
        <v>2014</v>
      </c>
      <c r="E324" s="1">
        <v>45823</v>
      </c>
      <c r="F324" s="1">
        <v>45476</v>
      </c>
      <c r="G324" s="14" t="s">
        <v>654</v>
      </c>
      <c r="H324" s="14" t="s">
        <v>18</v>
      </c>
      <c r="I324" s="14" t="s">
        <v>2320</v>
      </c>
      <c r="J324" s="14" t="str">
        <f>IF(messy_clinic_appointments[[#This Row],[billing_amount]] &lt; 200, "Low", IF(messy_clinic_appointments[[#This Row],[billing_amount]]&lt;= 400, "Medium", "High"))</f>
        <v>High</v>
      </c>
      <c r="K324" s="14" t="s">
        <v>2039</v>
      </c>
      <c r="L324" s="2">
        <f>DATEDIF(messy_clinic_appointments[[#This Row],[booking_date]],messy_clinic_appointments[[#This Row],[appointment_date]],"d")</f>
        <v>347</v>
      </c>
      <c r="M324" s="14" t="str">
        <f>IF(messy_clinic_appointments[[#This Row],[days_to_appointment]]&gt;365, "Review", "OK")</f>
        <v>OK</v>
      </c>
    </row>
    <row r="325" spans="1:13" x14ac:dyDescent="0.25">
      <c r="A325">
        <v>1020</v>
      </c>
      <c r="B325" s="14" t="s">
        <v>655</v>
      </c>
      <c r="C325">
        <v>76</v>
      </c>
      <c r="D325" s="14" t="s">
        <v>30</v>
      </c>
      <c r="E325" s="1">
        <v>45807</v>
      </c>
      <c r="F325" s="1">
        <v>45500</v>
      </c>
      <c r="G325" s="14" t="s">
        <v>656</v>
      </c>
      <c r="H325" s="14" t="s">
        <v>21</v>
      </c>
      <c r="I325" s="14" t="s">
        <v>2321</v>
      </c>
      <c r="J325" s="14" t="str">
        <f>IF(messy_clinic_appointments[[#This Row],[billing_amount]] &lt; 200, "Low", IF(messy_clinic_appointments[[#This Row],[billing_amount]]&lt;= 400, "Medium", "High"))</f>
        <v>High</v>
      </c>
      <c r="K325" s="14" t="s">
        <v>22</v>
      </c>
      <c r="L325" s="2">
        <f>DATEDIF(messy_clinic_appointments[[#This Row],[booking_date]],messy_clinic_appointments[[#This Row],[appointment_date]],"d")</f>
        <v>307</v>
      </c>
      <c r="M325" s="14" t="str">
        <f>IF(messy_clinic_appointments[[#This Row],[days_to_appointment]]&gt;365, "Review", "OK")</f>
        <v>OK</v>
      </c>
    </row>
    <row r="326" spans="1:13" x14ac:dyDescent="0.25">
      <c r="A326">
        <v>1010</v>
      </c>
      <c r="B326" s="14" t="s">
        <v>657</v>
      </c>
      <c r="C326">
        <v>87</v>
      </c>
      <c r="D326" s="14" t="s">
        <v>24</v>
      </c>
      <c r="E326" s="1">
        <v>45813</v>
      </c>
      <c r="F326" s="1">
        <v>45396</v>
      </c>
      <c r="G326" s="14" t="s">
        <v>658</v>
      </c>
      <c r="H326" s="14" t="s">
        <v>18</v>
      </c>
      <c r="I326" s="14" t="s">
        <v>2322</v>
      </c>
      <c r="J326" s="14" t="str">
        <f>IF(messy_clinic_appointments[[#This Row],[billing_amount]] &lt; 200, "Low", IF(messy_clinic_appointments[[#This Row],[billing_amount]]&lt;= 400, "Medium", "High"))</f>
        <v>High</v>
      </c>
      <c r="K326" s="14" t="s">
        <v>2010</v>
      </c>
      <c r="L326" s="2">
        <f>DATEDIF(messy_clinic_appointments[[#This Row],[booking_date]],messy_clinic_appointments[[#This Row],[appointment_date]],"d")</f>
        <v>417</v>
      </c>
      <c r="M326" s="14" t="str">
        <f>IF(messy_clinic_appointments[[#This Row],[days_to_appointment]]&gt;365, "Review", "OK")</f>
        <v>Review</v>
      </c>
    </row>
    <row r="327" spans="1:13" x14ac:dyDescent="0.25">
      <c r="A327">
        <v>1031</v>
      </c>
      <c r="B327" s="14" t="s">
        <v>659</v>
      </c>
      <c r="C327">
        <v>40</v>
      </c>
      <c r="D327" s="14" t="s">
        <v>2010</v>
      </c>
      <c r="E327" s="1">
        <v>46065</v>
      </c>
      <c r="F327" s="1">
        <v>45394</v>
      </c>
      <c r="G327" s="14" t="s">
        <v>660</v>
      </c>
      <c r="H327" s="14" t="s">
        <v>18</v>
      </c>
      <c r="I327" s="14" t="s">
        <v>2323</v>
      </c>
      <c r="J327" s="14" t="str">
        <f>IF(messy_clinic_appointments[[#This Row],[billing_amount]] &lt; 200, "Low", IF(messy_clinic_appointments[[#This Row],[billing_amount]]&lt;= 400, "Medium", "High"))</f>
        <v>High</v>
      </c>
      <c r="K327" s="14" t="s">
        <v>2026</v>
      </c>
      <c r="L327" s="2">
        <f>DATEDIF(messy_clinic_appointments[[#This Row],[booking_date]],messy_clinic_appointments[[#This Row],[appointment_date]],"d")</f>
        <v>671</v>
      </c>
      <c r="M327" s="14" t="str">
        <f>IF(messy_clinic_appointments[[#This Row],[days_to_appointment]]&gt;365, "Review", "OK")</f>
        <v>Review</v>
      </c>
    </row>
    <row r="328" spans="1:13" x14ac:dyDescent="0.25">
      <c r="A328">
        <v>1006</v>
      </c>
      <c r="B328" s="14" t="s">
        <v>661</v>
      </c>
      <c r="C328">
        <v>54</v>
      </c>
      <c r="D328" s="14" t="s">
        <v>30</v>
      </c>
      <c r="E328" s="1">
        <v>45826</v>
      </c>
      <c r="F328" s="1">
        <v>45602</v>
      </c>
      <c r="G328" s="14" t="s">
        <v>662</v>
      </c>
      <c r="H328" s="14" t="s">
        <v>18</v>
      </c>
      <c r="I328" s="14" t="s">
        <v>2324</v>
      </c>
      <c r="J328" s="14" t="str">
        <f>IF(messy_clinic_appointments[[#This Row],[billing_amount]] &lt; 200, "Low", IF(messy_clinic_appointments[[#This Row],[billing_amount]]&lt;= 400, "Medium", "High"))</f>
        <v>High</v>
      </c>
      <c r="K328" s="14" t="s">
        <v>22</v>
      </c>
      <c r="L328" s="2">
        <f>DATEDIF(messy_clinic_appointments[[#This Row],[booking_date]],messy_clinic_appointments[[#This Row],[appointment_date]],"d")</f>
        <v>224</v>
      </c>
      <c r="M328" s="14" t="str">
        <f>IF(messy_clinic_appointments[[#This Row],[days_to_appointment]]&gt;365, "Review", "OK")</f>
        <v>OK</v>
      </c>
    </row>
    <row r="329" spans="1:13" x14ac:dyDescent="0.25">
      <c r="A329">
        <v>1078</v>
      </c>
      <c r="B329" s="14" t="s">
        <v>663</v>
      </c>
      <c r="C329">
        <v>85</v>
      </c>
      <c r="D329" s="14" t="s">
        <v>2011</v>
      </c>
      <c r="E329" s="1">
        <v>45858</v>
      </c>
      <c r="F329" s="1">
        <v>45623</v>
      </c>
      <c r="G329" s="14" t="s">
        <v>664</v>
      </c>
      <c r="H329" s="14" t="s">
        <v>21</v>
      </c>
      <c r="I329" s="14" t="s">
        <v>2325</v>
      </c>
      <c r="J329" s="14" t="str">
        <f>IF(messy_clinic_appointments[[#This Row],[billing_amount]] &lt; 200, "Low", IF(messy_clinic_appointments[[#This Row],[billing_amount]]&lt;= 400, "Medium", "High"))</f>
        <v>High</v>
      </c>
      <c r="K329" s="14" t="s">
        <v>2039</v>
      </c>
      <c r="L329" s="2">
        <f>DATEDIF(messy_clinic_appointments[[#This Row],[booking_date]],messy_clinic_appointments[[#This Row],[appointment_date]],"d")</f>
        <v>235</v>
      </c>
      <c r="M329" s="14" t="str">
        <f>IF(messy_clinic_appointments[[#This Row],[days_to_appointment]]&gt;365, "Review", "OK")</f>
        <v>OK</v>
      </c>
    </row>
    <row r="330" spans="1:13" x14ac:dyDescent="0.25">
      <c r="A330">
        <v>1021</v>
      </c>
      <c r="B330" s="14" t="s">
        <v>665</v>
      </c>
      <c r="C330">
        <v>43</v>
      </c>
      <c r="D330" s="14" t="s">
        <v>2011</v>
      </c>
      <c r="E330" s="1">
        <v>45772</v>
      </c>
      <c r="F330" s="1">
        <v>45748</v>
      </c>
      <c r="G330" s="14" t="s">
        <v>666</v>
      </c>
      <c r="H330" s="14" t="s">
        <v>18</v>
      </c>
      <c r="I330" s="14" t="s">
        <v>2326</v>
      </c>
      <c r="J330" s="14" t="str">
        <f>IF(messy_clinic_appointments[[#This Row],[billing_amount]] &lt; 200, "Low", IF(messy_clinic_appointments[[#This Row],[billing_amount]]&lt;= 400, "Medium", "High"))</f>
        <v>High</v>
      </c>
      <c r="K330" s="14" t="s">
        <v>2039</v>
      </c>
      <c r="L330" s="2">
        <f>DATEDIF(messy_clinic_appointments[[#This Row],[booking_date]],messy_clinic_appointments[[#This Row],[appointment_date]],"d")</f>
        <v>24</v>
      </c>
      <c r="M330" s="14" t="str">
        <f>IF(messy_clinic_appointments[[#This Row],[days_to_appointment]]&gt;365, "Review", "OK")</f>
        <v>OK</v>
      </c>
    </row>
    <row r="331" spans="1:13" x14ac:dyDescent="0.25">
      <c r="A331">
        <v>1084</v>
      </c>
      <c r="B331" s="14" t="s">
        <v>667</v>
      </c>
      <c r="C331">
        <v>53</v>
      </c>
      <c r="D331" s="14" t="s">
        <v>2008</v>
      </c>
      <c r="E331" s="1">
        <v>45966</v>
      </c>
      <c r="F331" s="1">
        <v>45870</v>
      </c>
      <c r="G331" s="14" t="s">
        <v>668</v>
      </c>
      <c r="H331" s="14" t="s">
        <v>18</v>
      </c>
      <c r="I331" s="14" t="s">
        <v>2327</v>
      </c>
      <c r="J331" s="14" t="str">
        <f>IF(messy_clinic_appointments[[#This Row],[billing_amount]] &lt; 200, "Low", IF(messy_clinic_appointments[[#This Row],[billing_amount]]&lt;= 400, "Medium", "High"))</f>
        <v>High</v>
      </c>
      <c r="K331" s="14" t="s">
        <v>28</v>
      </c>
      <c r="L331" s="2">
        <f>DATEDIF(messy_clinic_appointments[[#This Row],[booking_date]],messy_clinic_appointments[[#This Row],[appointment_date]],"d")</f>
        <v>96</v>
      </c>
      <c r="M331" s="14" t="str">
        <f>IF(messy_clinic_appointments[[#This Row],[days_to_appointment]]&gt;365, "Review", "OK")</f>
        <v>OK</v>
      </c>
    </row>
    <row r="332" spans="1:13" x14ac:dyDescent="0.25">
      <c r="A332">
        <v>1025</v>
      </c>
      <c r="B332" s="14" t="s">
        <v>669</v>
      </c>
      <c r="C332">
        <v>55</v>
      </c>
      <c r="D332" s="14" t="s">
        <v>30</v>
      </c>
      <c r="E332" s="1">
        <v>45976</v>
      </c>
      <c r="F332" s="1">
        <v>45479</v>
      </c>
      <c r="G332" s="14" t="s">
        <v>670</v>
      </c>
      <c r="H332" s="14" t="s">
        <v>21</v>
      </c>
      <c r="I332" s="14" t="s">
        <v>2328</v>
      </c>
      <c r="J332" s="14" t="str">
        <f>IF(messy_clinic_appointments[[#This Row],[billing_amount]] &lt; 200, "Low", IF(messy_clinic_appointments[[#This Row],[billing_amount]]&lt;= 400, "Medium", "High"))</f>
        <v>High</v>
      </c>
      <c r="K332" s="14" t="s">
        <v>22</v>
      </c>
      <c r="L332" s="2">
        <f>DATEDIF(messy_clinic_appointments[[#This Row],[booking_date]],messy_clinic_appointments[[#This Row],[appointment_date]],"d")</f>
        <v>497</v>
      </c>
      <c r="M332" s="14" t="str">
        <f>IF(messy_clinic_appointments[[#This Row],[days_to_appointment]]&gt;365, "Review", "OK")</f>
        <v>Review</v>
      </c>
    </row>
    <row r="333" spans="1:13" x14ac:dyDescent="0.25">
      <c r="A333">
        <v>1015</v>
      </c>
      <c r="B333" s="14" t="s">
        <v>671</v>
      </c>
      <c r="C333">
        <v>21</v>
      </c>
      <c r="D333" s="14" t="s">
        <v>2011</v>
      </c>
      <c r="E333" s="1">
        <v>45998</v>
      </c>
      <c r="F333" s="1">
        <v>45716</v>
      </c>
      <c r="G333" s="14" t="s">
        <v>672</v>
      </c>
      <c r="H333" s="14" t="s">
        <v>15</v>
      </c>
      <c r="I333" s="14" t="s">
        <v>2329</v>
      </c>
      <c r="J333" s="14" t="str">
        <f>IF(messy_clinic_appointments[[#This Row],[billing_amount]] &lt; 200, "Low", IF(messy_clinic_appointments[[#This Row],[billing_amount]]&lt;= 400, "Medium", "High"))</f>
        <v>High</v>
      </c>
      <c r="K333" s="14" t="s">
        <v>2010</v>
      </c>
      <c r="L333" s="2">
        <f>DATEDIF(messy_clinic_appointments[[#This Row],[booking_date]],messy_clinic_appointments[[#This Row],[appointment_date]],"d")</f>
        <v>282</v>
      </c>
      <c r="M333" s="14" t="str">
        <f>IF(messy_clinic_appointments[[#This Row],[days_to_appointment]]&gt;365, "Review", "OK")</f>
        <v>OK</v>
      </c>
    </row>
    <row r="334" spans="1:13" x14ac:dyDescent="0.25">
      <c r="A334">
        <v>1084</v>
      </c>
      <c r="B334" s="14" t="s">
        <v>673</v>
      </c>
      <c r="C334">
        <v>78</v>
      </c>
      <c r="D334" s="14" t="s">
        <v>2022</v>
      </c>
      <c r="E334" s="1">
        <v>46064</v>
      </c>
      <c r="F334" s="1">
        <v>45610</v>
      </c>
      <c r="G334" s="14" t="s">
        <v>674</v>
      </c>
      <c r="H334" s="14" t="s">
        <v>18</v>
      </c>
      <c r="I334" s="14" t="s">
        <v>2330</v>
      </c>
      <c r="J334" s="14" t="str">
        <f>IF(messy_clinic_appointments[[#This Row],[billing_amount]] &lt; 200, "Low", IF(messy_clinic_appointments[[#This Row],[billing_amount]]&lt;= 400, "Medium", "High"))</f>
        <v>High</v>
      </c>
      <c r="K334" s="14" t="s">
        <v>2039</v>
      </c>
      <c r="L334" s="2">
        <f>DATEDIF(messy_clinic_appointments[[#This Row],[booking_date]],messy_clinic_appointments[[#This Row],[appointment_date]],"d")</f>
        <v>454</v>
      </c>
      <c r="M334" s="14" t="str">
        <f>IF(messy_clinic_appointments[[#This Row],[days_to_appointment]]&gt;365, "Review", "OK")</f>
        <v>Review</v>
      </c>
    </row>
    <row r="335" spans="1:13" x14ac:dyDescent="0.25">
      <c r="A335">
        <v>1015</v>
      </c>
      <c r="B335" s="14" t="s">
        <v>675</v>
      </c>
      <c r="C335">
        <v>86</v>
      </c>
      <c r="D335" s="14" t="s">
        <v>2011</v>
      </c>
      <c r="E335" s="1">
        <v>45882</v>
      </c>
      <c r="F335" s="1">
        <v>45556</v>
      </c>
      <c r="G335" s="14" t="s">
        <v>676</v>
      </c>
      <c r="H335" s="14" t="s">
        <v>12</v>
      </c>
      <c r="I335" s="14" t="s">
        <v>2331</v>
      </c>
      <c r="J335" s="14" t="str">
        <f>IF(messy_clinic_appointments[[#This Row],[billing_amount]] &lt; 200, "Low", IF(messy_clinic_appointments[[#This Row],[billing_amount]]&lt;= 400, "Medium", "High"))</f>
        <v>High</v>
      </c>
      <c r="K335" s="14" t="s">
        <v>2013</v>
      </c>
      <c r="L335" s="2">
        <f>DATEDIF(messy_clinic_appointments[[#This Row],[booking_date]],messy_clinic_appointments[[#This Row],[appointment_date]],"d")</f>
        <v>326</v>
      </c>
      <c r="M335" s="14" t="str">
        <f>IF(messy_clinic_appointments[[#This Row],[days_to_appointment]]&gt;365, "Review", "OK")</f>
        <v>OK</v>
      </c>
    </row>
    <row r="336" spans="1:13" x14ac:dyDescent="0.25">
      <c r="A336">
        <v>1091</v>
      </c>
      <c r="B336" s="14" t="s">
        <v>677</v>
      </c>
      <c r="C336">
        <v>27</v>
      </c>
      <c r="D336" s="14" t="s">
        <v>50</v>
      </c>
      <c r="E336" s="1">
        <v>46031</v>
      </c>
      <c r="F336" s="1">
        <v>45732</v>
      </c>
      <c r="G336" s="14" t="s">
        <v>678</v>
      </c>
      <c r="H336" s="14" t="s">
        <v>15</v>
      </c>
      <c r="I336" s="14" t="s">
        <v>2332</v>
      </c>
      <c r="J336" s="14" t="str">
        <f>IF(messy_clinic_appointments[[#This Row],[billing_amount]] &lt; 200, "Low", IF(messy_clinic_appointments[[#This Row],[billing_amount]]&lt;= 400, "Medium", "High"))</f>
        <v>High</v>
      </c>
      <c r="K336" s="14" t="s">
        <v>2039</v>
      </c>
      <c r="L336" s="2">
        <f>DATEDIF(messy_clinic_appointments[[#This Row],[booking_date]],messy_clinic_appointments[[#This Row],[appointment_date]],"d")</f>
        <v>299</v>
      </c>
      <c r="M336" s="14" t="str">
        <f>IF(messy_clinic_appointments[[#This Row],[days_to_appointment]]&gt;365, "Review", "OK")</f>
        <v>OK</v>
      </c>
    </row>
    <row r="337" spans="1:13" x14ac:dyDescent="0.25">
      <c r="A337">
        <v>1065</v>
      </c>
      <c r="B337" s="14" t="s">
        <v>679</v>
      </c>
      <c r="C337">
        <v>76</v>
      </c>
      <c r="D337" s="14" t="s">
        <v>2022</v>
      </c>
      <c r="E337" s="1">
        <v>45836</v>
      </c>
      <c r="F337" s="1">
        <v>45648</v>
      </c>
      <c r="G337" s="14" t="s">
        <v>680</v>
      </c>
      <c r="H337" s="14" t="s">
        <v>15</v>
      </c>
      <c r="I337" s="14" t="s">
        <v>2333</v>
      </c>
      <c r="J337" s="14" t="str">
        <f>IF(messy_clinic_appointments[[#This Row],[billing_amount]] &lt; 200, "Low", IF(messy_clinic_appointments[[#This Row],[billing_amount]]&lt;= 400, "Medium", "High"))</f>
        <v>High</v>
      </c>
      <c r="K337" s="14" t="s">
        <v>2013</v>
      </c>
      <c r="L337" s="2">
        <f>DATEDIF(messy_clinic_appointments[[#This Row],[booking_date]],messy_clinic_appointments[[#This Row],[appointment_date]],"d")</f>
        <v>188</v>
      </c>
      <c r="M337" s="14" t="str">
        <f>IF(messy_clinic_appointments[[#This Row],[days_to_appointment]]&gt;365, "Review", "OK")</f>
        <v>OK</v>
      </c>
    </row>
    <row r="338" spans="1:13" x14ac:dyDescent="0.25">
      <c r="A338">
        <v>1045</v>
      </c>
      <c r="B338" s="14" t="s">
        <v>681</v>
      </c>
      <c r="C338">
        <v>38</v>
      </c>
      <c r="D338" s="14" t="s">
        <v>2022</v>
      </c>
      <c r="E338" s="1">
        <v>45888</v>
      </c>
      <c r="F338" s="1">
        <v>45817</v>
      </c>
      <c r="G338" s="14" t="s">
        <v>682</v>
      </c>
      <c r="H338" s="14" t="s">
        <v>21</v>
      </c>
      <c r="I338" s="14" t="s">
        <v>2099</v>
      </c>
      <c r="J338" s="14" t="str">
        <f>IF(messy_clinic_appointments[[#This Row],[billing_amount]] &lt; 200, "Low", IF(messy_clinic_appointments[[#This Row],[billing_amount]]&lt;= 400, "Medium", "High"))</f>
        <v>High</v>
      </c>
      <c r="K338" s="14" t="s">
        <v>28</v>
      </c>
      <c r="L338" s="2">
        <f>DATEDIF(messy_clinic_appointments[[#This Row],[booking_date]],messy_clinic_appointments[[#This Row],[appointment_date]],"d")</f>
        <v>71</v>
      </c>
      <c r="M338" s="14" t="str">
        <f>IF(messy_clinic_appointments[[#This Row],[days_to_appointment]]&gt;365, "Review", "OK")</f>
        <v>OK</v>
      </c>
    </row>
    <row r="339" spans="1:13" x14ac:dyDescent="0.25">
      <c r="A339">
        <v>1050</v>
      </c>
      <c r="B339" s="14" t="s">
        <v>683</v>
      </c>
      <c r="C339">
        <v>81</v>
      </c>
      <c r="D339" s="14" t="s">
        <v>2022</v>
      </c>
      <c r="E339" s="1">
        <v>45804</v>
      </c>
      <c r="F339" s="1">
        <v>45555</v>
      </c>
      <c r="G339" s="14" t="s">
        <v>684</v>
      </c>
      <c r="H339" s="14" t="s">
        <v>12</v>
      </c>
      <c r="I339" s="14" t="s">
        <v>2334</v>
      </c>
      <c r="J339" s="14" t="str">
        <f>IF(messy_clinic_appointments[[#This Row],[billing_amount]] &lt; 200, "Low", IF(messy_clinic_appointments[[#This Row],[billing_amount]]&lt;= 400, "Medium", "High"))</f>
        <v>High</v>
      </c>
      <c r="K339" s="14" t="s">
        <v>2013</v>
      </c>
      <c r="L339" s="2">
        <f>DATEDIF(messy_clinic_appointments[[#This Row],[booking_date]],messy_clinic_appointments[[#This Row],[appointment_date]],"d")</f>
        <v>249</v>
      </c>
      <c r="M339" s="14" t="str">
        <f>IF(messy_clinic_appointments[[#This Row],[days_to_appointment]]&gt;365, "Review", "OK")</f>
        <v>OK</v>
      </c>
    </row>
    <row r="340" spans="1:13" x14ac:dyDescent="0.25">
      <c r="A340">
        <v>1058</v>
      </c>
      <c r="B340" s="14" t="s">
        <v>685</v>
      </c>
      <c r="C340">
        <v>90</v>
      </c>
      <c r="D340" s="14" t="s">
        <v>50</v>
      </c>
      <c r="E340" s="1">
        <v>45790</v>
      </c>
      <c r="F340" s="1">
        <v>45460</v>
      </c>
      <c r="G340" s="14" t="s">
        <v>686</v>
      </c>
      <c r="H340" s="14" t="s">
        <v>21</v>
      </c>
      <c r="I340" s="14" t="s">
        <v>2335</v>
      </c>
      <c r="J340" s="14" t="str">
        <f>IF(messy_clinic_appointments[[#This Row],[billing_amount]] &lt; 200, "Low", IF(messy_clinic_appointments[[#This Row],[billing_amount]]&lt;= 400, "Medium", "High"))</f>
        <v>High</v>
      </c>
      <c r="K340" s="14" t="s">
        <v>28</v>
      </c>
      <c r="L340" s="2">
        <f>DATEDIF(messy_clinic_appointments[[#This Row],[booking_date]],messy_clinic_appointments[[#This Row],[appointment_date]],"d")</f>
        <v>330</v>
      </c>
      <c r="M340" s="14" t="str">
        <f>IF(messy_clinic_appointments[[#This Row],[days_to_appointment]]&gt;365, "Review", "OK")</f>
        <v>OK</v>
      </c>
    </row>
    <row r="341" spans="1:13" x14ac:dyDescent="0.25">
      <c r="A341">
        <v>1047</v>
      </c>
      <c r="B341" s="14" t="s">
        <v>687</v>
      </c>
      <c r="C341">
        <v>87</v>
      </c>
      <c r="D341" s="14" t="s">
        <v>2008</v>
      </c>
      <c r="E341" s="1">
        <v>45936</v>
      </c>
      <c r="F341" s="1">
        <v>45628</v>
      </c>
      <c r="G341" s="14" t="s">
        <v>688</v>
      </c>
      <c r="H341" s="14" t="s">
        <v>21</v>
      </c>
      <c r="I341" s="14" t="s">
        <v>2336</v>
      </c>
      <c r="J341" s="14" t="str">
        <f>IF(messy_clinic_appointments[[#This Row],[billing_amount]] &lt; 200, "Low", IF(messy_clinic_appointments[[#This Row],[billing_amount]]&lt;= 400, "Medium", "High"))</f>
        <v>High</v>
      </c>
      <c r="K341" s="14" t="s">
        <v>2026</v>
      </c>
      <c r="L341" s="2">
        <f>DATEDIF(messy_clinic_appointments[[#This Row],[booking_date]],messy_clinic_appointments[[#This Row],[appointment_date]],"d")</f>
        <v>308</v>
      </c>
      <c r="M341" s="14" t="str">
        <f>IF(messy_clinic_appointments[[#This Row],[days_to_appointment]]&gt;365, "Review", "OK")</f>
        <v>OK</v>
      </c>
    </row>
    <row r="342" spans="1:13" x14ac:dyDescent="0.25">
      <c r="A342">
        <v>1044</v>
      </c>
      <c r="B342" s="14" t="s">
        <v>689</v>
      </c>
      <c r="C342">
        <v>74</v>
      </c>
      <c r="D342" s="14" t="s">
        <v>2011</v>
      </c>
      <c r="E342" s="1">
        <v>45749</v>
      </c>
      <c r="F342" s="1">
        <v>45676</v>
      </c>
      <c r="G342" s="14" t="s">
        <v>690</v>
      </c>
      <c r="H342" s="14" t="s">
        <v>15</v>
      </c>
      <c r="I342" s="14" t="s">
        <v>2337</v>
      </c>
      <c r="J342" s="14" t="str">
        <f>IF(messy_clinic_appointments[[#This Row],[billing_amount]] &lt; 200, "Low", IF(messy_clinic_appointments[[#This Row],[billing_amount]]&lt;= 400, "Medium", "High"))</f>
        <v>High</v>
      </c>
      <c r="K342" s="14" t="s">
        <v>2039</v>
      </c>
      <c r="L342" s="2">
        <f>DATEDIF(messy_clinic_appointments[[#This Row],[booking_date]],messy_clinic_appointments[[#This Row],[appointment_date]],"d")</f>
        <v>73</v>
      </c>
      <c r="M342" s="14" t="str">
        <f>IF(messy_clinic_appointments[[#This Row],[days_to_appointment]]&gt;365, "Review", "OK")</f>
        <v>OK</v>
      </c>
    </row>
    <row r="343" spans="1:13" x14ac:dyDescent="0.25">
      <c r="A343">
        <v>1049</v>
      </c>
      <c r="B343" s="14" t="s">
        <v>691</v>
      </c>
      <c r="C343">
        <v>65</v>
      </c>
      <c r="D343" s="14" t="s">
        <v>30</v>
      </c>
      <c r="E343" s="1">
        <v>46070</v>
      </c>
      <c r="F343" s="1">
        <v>45443</v>
      </c>
      <c r="G343" s="14" t="s">
        <v>692</v>
      </c>
      <c r="H343" s="14" t="s">
        <v>12</v>
      </c>
      <c r="I343" s="14" t="s">
        <v>2338</v>
      </c>
      <c r="J343" s="14" t="str">
        <f>IF(messy_clinic_appointments[[#This Row],[billing_amount]] &lt; 200, "Low", IF(messy_clinic_appointments[[#This Row],[billing_amount]]&lt;= 400, "Medium", "High"))</f>
        <v>High</v>
      </c>
      <c r="K343" s="14" t="s">
        <v>2010</v>
      </c>
      <c r="L343" s="2">
        <f>DATEDIF(messy_clinic_appointments[[#This Row],[booking_date]],messy_clinic_appointments[[#This Row],[appointment_date]],"d")</f>
        <v>627</v>
      </c>
      <c r="M343" s="14" t="str">
        <f>IF(messy_clinic_appointments[[#This Row],[days_to_appointment]]&gt;365, "Review", "OK")</f>
        <v>Review</v>
      </c>
    </row>
    <row r="344" spans="1:13" x14ac:dyDescent="0.25">
      <c r="A344">
        <v>1095</v>
      </c>
      <c r="B344" s="14" t="s">
        <v>693</v>
      </c>
      <c r="C344">
        <v>53</v>
      </c>
      <c r="D344" s="14" t="s">
        <v>2011</v>
      </c>
      <c r="E344" s="1">
        <v>46104</v>
      </c>
      <c r="F344" s="1">
        <v>45749</v>
      </c>
      <c r="G344" s="14" t="s">
        <v>694</v>
      </c>
      <c r="H344" s="14" t="s">
        <v>12</v>
      </c>
      <c r="I344" s="14" t="s">
        <v>24</v>
      </c>
      <c r="J344" s="14" t="str">
        <f>IF(messy_clinic_appointments[[#This Row],[billing_amount]] &lt; 200, "Low", IF(messy_clinic_appointments[[#This Row],[billing_amount]]&lt;= 400, "Medium", "High"))</f>
        <v>High</v>
      </c>
      <c r="K344" s="14" t="s">
        <v>2013</v>
      </c>
      <c r="L344" s="2">
        <f>DATEDIF(messy_clinic_appointments[[#This Row],[booking_date]],messy_clinic_appointments[[#This Row],[appointment_date]],"d")</f>
        <v>355</v>
      </c>
      <c r="M344" s="14" t="str">
        <f>IF(messy_clinic_appointments[[#This Row],[days_to_appointment]]&gt;365, "Review", "OK")</f>
        <v>OK</v>
      </c>
    </row>
    <row r="345" spans="1:13" x14ac:dyDescent="0.25">
      <c r="A345">
        <v>1098</v>
      </c>
      <c r="B345" s="14" t="s">
        <v>1996</v>
      </c>
      <c r="C345">
        <v>48</v>
      </c>
      <c r="D345" s="14" t="s">
        <v>2011</v>
      </c>
      <c r="E345" s="1">
        <v>46027</v>
      </c>
      <c r="F345" s="1">
        <v>45807</v>
      </c>
      <c r="G345" s="14" t="s">
        <v>695</v>
      </c>
      <c r="H345" s="14" t="s">
        <v>21</v>
      </c>
      <c r="I345" s="14" t="s">
        <v>2339</v>
      </c>
      <c r="J345" s="14" t="str">
        <f>IF(messy_clinic_appointments[[#This Row],[billing_amount]] &lt; 200, "Low", IF(messy_clinic_appointments[[#This Row],[billing_amount]]&lt;= 400, "Medium", "High"))</f>
        <v>High</v>
      </c>
      <c r="K345" s="14" t="s">
        <v>28</v>
      </c>
      <c r="L345" s="2">
        <f>DATEDIF(messy_clinic_appointments[[#This Row],[booking_date]],messy_clinic_appointments[[#This Row],[appointment_date]],"d")</f>
        <v>220</v>
      </c>
      <c r="M345" s="14" t="str">
        <f>IF(messy_clinic_appointments[[#This Row],[days_to_appointment]]&gt;365, "Review", "OK")</f>
        <v>OK</v>
      </c>
    </row>
    <row r="346" spans="1:13" x14ac:dyDescent="0.25">
      <c r="A346">
        <v>1066</v>
      </c>
      <c r="B346" s="14" t="s">
        <v>696</v>
      </c>
      <c r="C346">
        <v>33</v>
      </c>
      <c r="D346" s="14" t="s">
        <v>2014</v>
      </c>
      <c r="E346" s="1">
        <v>45840</v>
      </c>
      <c r="F346" s="1">
        <v>45518</v>
      </c>
      <c r="G346" s="14" t="s">
        <v>697</v>
      </c>
      <c r="H346" s="14" t="s">
        <v>21</v>
      </c>
      <c r="I346" s="14" t="s">
        <v>2340</v>
      </c>
      <c r="J346" s="14" t="str">
        <f>IF(messy_clinic_appointments[[#This Row],[billing_amount]] &lt; 200, "Low", IF(messy_clinic_appointments[[#This Row],[billing_amount]]&lt;= 400, "Medium", "High"))</f>
        <v>High</v>
      </c>
      <c r="K346" s="14" t="s">
        <v>22</v>
      </c>
      <c r="L346" s="2">
        <f>DATEDIF(messy_clinic_appointments[[#This Row],[booking_date]],messy_clinic_appointments[[#This Row],[appointment_date]],"d")</f>
        <v>322</v>
      </c>
      <c r="M346" s="14" t="str">
        <f>IF(messy_clinic_appointments[[#This Row],[days_to_appointment]]&gt;365, "Review", "OK")</f>
        <v>OK</v>
      </c>
    </row>
    <row r="347" spans="1:13" x14ac:dyDescent="0.25">
      <c r="A347">
        <v>1014</v>
      </c>
      <c r="B347" s="14" t="s">
        <v>698</v>
      </c>
      <c r="C347">
        <v>90</v>
      </c>
      <c r="D347" s="14" t="s">
        <v>24</v>
      </c>
      <c r="E347" s="1">
        <v>46065</v>
      </c>
      <c r="F347" s="1">
        <v>45518</v>
      </c>
      <c r="G347" s="14" t="s">
        <v>699</v>
      </c>
      <c r="H347" s="14" t="s">
        <v>15</v>
      </c>
      <c r="I347" s="14" t="s">
        <v>2341</v>
      </c>
      <c r="J347" s="14" t="str">
        <f>IF(messy_clinic_appointments[[#This Row],[billing_amount]] &lt; 200, "Low", IF(messy_clinic_appointments[[#This Row],[billing_amount]]&lt;= 400, "Medium", "High"))</f>
        <v>High</v>
      </c>
      <c r="K347" s="14" t="s">
        <v>2026</v>
      </c>
      <c r="L347" s="2">
        <f>DATEDIF(messy_clinic_appointments[[#This Row],[booking_date]],messy_clinic_appointments[[#This Row],[appointment_date]],"d")</f>
        <v>547</v>
      </c>
      <c r="M347" s="14" t="str">
        <f>IF(messy_clinic_appointments[[#This Row],[days_to_appointment]]&gt;365, "Review", "OK")</f>
        <v>Review</v>
      </c>
    </row>
    <row r="348" spans="1:13" x14ac:dyDescent="0.25">
      <c r="A348">
        <v>1003</v>
      </c>
      <c r="B348" s="14" t="s">
        <v>700</v>
      </c>
      <c r="C348">
        <v>61</v>
      </c>
      <c r="D348" s="14" t="s">
        <v>2010</v>
      </c>
      <c r="E348" s="1">
        <v>45869</v>
      </c>
      <c r="F348" s="1">
        <v>45770</v>
      </c>
      <c r="G348" s="14" t="s">
        <v>701</v>
      </c>
      <c r="H348" s="14" t="s">
        <v>18</v>
      </c>
      <c r="I348" s="14" t="s">
        <v>2342</v>
      </c>
      <c r="J348" s="14" t="str">
        <f>IF(messy_clinic_appointments[[#This Row],[billing_amount]] &lt; 200, "Low", IF(messy_clinic_appointments[[#This Row],[billing_amount]]&lt;= 400, "Medium", "High"))</f>
        <v>High</v>
      </c>
      <c r="K348" s="14" t="s">
        <v>2039</v>
      </c>
      <c r="L348" s="2">
        <f>DATEDIF(messy_clinic_appointments[[#This Row],[booking_date]],messy_clinic_appointments[[#This Row],[appointment_date]],"d")</f>
        <v>99</v>
      </c>
      <c r="M348" s="14" t="str">
        <f>IF(messy_clinic_appointments[[#This Row],[days_to_appointment]]&gt;365, "Review", "OK")</f>
        <v>OK</v>
      </c>
    </row>
    <row r="349" spans="1:13" x14ac:dyDescent="0.25">
      <c r="A349">
        <v>1056</v>
      </c>
      <c r="B349" s="14" t="s">
        <v>702</v>
      </c>
      <c r="C349">
        <v>46</v>
      </c>
      <c r="D349" s="14" t="s">
        <v>2010</v>
      </c>
      <c r="E349" s="1">
        <v>46093</v>
      </c>
      <c r="F349" s="1">
        <v>45880</v>
      </c>
      <c r="G349" s="14" t="s">
        <v>703</v>
      </c>
      <c r="H349" s="14" t="s">
        <v>18</v>
      </c>
      <c r="I349" s="14" t="s">
        <v>2343</v>
      </c>
      <c r="J349" s="14" t="str">
        <f>IF(messy_clinic_appointments[[#This Row],[billing_amount]] &lt; 200, "Low", IF(messy_clinic_appointments[[#This Row],[billing_amount]]&lt;= 400, "Medium", "High"))</f>
        <v>High</v>
      </c>
      <c r="K349" s="14" t="s">
        <v>2039</v>
      </c>
      <c r="L349" s="2">
        <f>DATEDIF(messy_clinic_appointments[[#This Row],[booking_date]],messy_clinic_appointments[[#This Row],[appointment_date]],"d")</f>
        <v>213</v>
      </c>
      <c r="M349" s="14" t="str">
        <f>IF(messy_clinic_appointments[[#This Row],[days_to_appointment]]&gt;365, "Review", "OK")</f>
        <v>OK</v>
      </c>
    </row>
    <row r="350" spans="1:13" x14ac:dyDescent="0.25">
      <c r="A350">
        <v>1033</v>
      </c>
      <c r="B350" s="14" t="s">
        <v>704</v>
      </c>
      <c r="C350">
        <v>48</v>
      </c>
      <c r="D350" s="14" t="s">
        <v>2039</v>
      </c>
      <c r="E350" s="1">
        <v>45838</v>
      </c>
      <c r="F350" s="1">
        <v>45681</v>
      </c>
      <c r="G350" s="14" t="s">
        <v>242</v>
      </c>
      <c r="H350" s="14" t="s">
        <v>15</v>
      </c>
      <c r="I350" s="14" t="s">
        <v>2344</v>
      </c>
      <c r="J350" s="14" t="str">
        <f>IF(messy_clinic_appointments[[#This Row],[billing_amount]] &lt; 200, "Low", IF(messy_clinic_appointments[[#This Row],[billing_amount]]&lt;= 400, "Medium", "High"))</f>
        <v>High</v>
      </c>
      <c r="K350" s="14" t="s">
        <v>22</v>
      </c>
      <c r="L350" s="2">
        <f>DATEDIF(messy_clinic_appointments[[#This Row],[booking_date]],messy_clinic_appointments[[#This Row],[appointment_date]],"d")</f>
        <v>157</v>
      </c>
      <c r="M350" s="14" t="str">
        <f>IF(messy_clinic_appointments[[#This Row],[days_to_appointment]]&gt;365, "Review", "OK")</f>
        <v>OK</v>
      </c>
    </row>
    <row r="351" spans="1:13" x14ac:dyDescent="0.25">
      <c r="A351">
        <v>1095</v>
      </c>
      <c r="B351" s="14" t="s">
        <v>705</v>
      </c>
      <c r="C351">
        <v>37</v>
      </c>
      <c r="D351" s="14" t="s">
        <v>2010</v>
      </c>
      <c r="E351" s="1">
        <v>45951</v>
      </c>
      <c r="F351" s="1">
        <v>45876</v>
      </c>
      <c r="G351" s="14" t="s">
        <v>706</v>
      </c>
      <c r="H351" s="14" t="s">
        <v>12</v>
      </c>
      <c r="I351" s="14" t="s">
        <v>24</v>
      </c>
      <c r="J351" s="14" t="str">
        <f>IF(messy_clinic_appointments[[#This Row],[billing_amount]] &lt; 200, "Low", IF(messy_clinic_appointments[[#This Row],[billing_amount]]&lt;= 400, "Medium", "High"))</f>
        <v>High</v>
      </c>
      <c r="K351" s="14" t="s">
        <v>28</v>
      </c>
      <c r="L351" s="2">
        <f>DATEDIF(messy_clinic_appointments[[#This Row],[booking_date]],messy_clinic_appointments[[#This Row],[appointment_date]],"d")</f>
        <v>75</v>
      </c>
      <c r="M351" s="14" t="str">
        <f>IF(messy_clinic_appointments[[#This Row],[days_to_appointment]]&gt;365, "Review", "OK")</f>
        <v>OK</v>
      </c>
    </row>
    <row r="352" spans="1:13" x14ac:dyDescent="0.25">
      <c r="A352">
        <v>1036</v>
      </c>
      <c r="B352" s="14" t="s">
        <v>707</v>
      </c>
      <c r="C352">
        <v>27</v>
      </c>
      <c r="D352" s="14" t="s">
        <v>50</v>
      </c>
      <c r="E352" s="1">
        <v>46101</v>
      </c>
      <c r="F352" s="1">
        <v>46062</v>
      </c>
      <c r="G352" s="14" t="s">
        <v>708</v>
      </c>
      <c r="H352" s="14" t="s">
        <v>12</v>
      </c>
      <c r="I352" s="14" t="s">
        <v>2345</v>
      </c>
      <c r="J352" s="14" t="str">
        <f>IF(messy_clinic_appointments[[#This Row],[billing_amount]] &lt; 200, "Low", IF(messy_clinic_appointments[[#This Row],[billing_amount]]&lt;= 400, "Medium", "High"))</f>
        <v>High</v>
      </c>
      <c r="K352" s="14" t="s">
        <v>2013</v>
      </c>
      <c r="L352" s="2">
        <f>DATEDIF(messy_clinic_appointments[[#This Row],[booking_date]],messy_clinic_appointments[[#This Row],[appointment_date]],"d")</f>
        <v>39</v>
      </c>
      <c r="M352" s="14" t="str">
        <f>IF(messy_clinic_appointments[[#This Row],[days_to_appointment]]&gt;365, "Review", "OK")</f>
        <v>OK</v>
      </c>
    </row>
    <row r="353" spans="1:13" x14ac:dyDescent="0.25">
      <c r="A353">
        <v>1082</v>
      </c>
      <c r="B353" s="14" t="s">
        <v>709</v>
      </c>
      <c r="C353">
        <v>29</v>
      </c>
      <c r="D353" s="14" t="s">
        <v>2014</v>
      </c>
      <c r="E353" s="1">
        <v>45962</v>
      </c>
      <c r="F353" s="1">
        <v>45733</v>
      </c>
      <c r="G353" s="14" t="s">
        <v>710</v>
      </c>
      <c r="H353" s="14" t="s">
        <v>18</v>
      </c>
      <c r="I353" s="14" t="s">
        <v>2346</v>
      </c>
      <c r="J353" s="14" t="str">
        <f>IF(messy_clinic_appointments[[#This Row],[billing_amount]] &lt; 200, "Low", IF(messy_clinic_appointments[[#This Row],[billing_amount]]&lt;= 400, "Medium", "High"))</f>
        <v>High</v>
      </c>
      <c r="K353" s="14" t="s">
        <v>2026</v>
      </c>
      <c r="L353" s="2">
        <f>DATEDIF(messy_clinic_appointments[[#This Row],[booking_date]],messy_clinic_appointments[[#This Row],[appointment_date]],"d")</f>
        <v>229</v>
      </c>
      <c r="M353" s="14" t="str">
        <f>IF(messy_clinic_appointments[[#This Row],[days_to_appointment]]&gt;365, "Review", "OK")</f>
        <v>OK</v>
      </c>
    </row>
    <row r="354" spans="1:13" x14ac:dyDescent="0.25">
      <c r="A354">
        <v>1063</v>
      </c>
      <c r="B354" s="14" t="s">
        <v>711</v>
      </c>
      <c r="C354">
        <v>36</v>
      </c>
      <c r="D354" s="14" t="s">
        <v>50</v>
      </c>
      <c r="E354" s="1">
        <v>45932</v>
      </c>
      <c r="F354" s="1">
        <v>45912</v>
      </c>
      <c r="G354" s="14" t="s">
        <v>712</v>
      </c>
      <c r="H354" s="14" t="s">
        <v>21</v>
      </c>
      <c r="I354" s="14" t="s">
        <v>2347</v>
      </c>
      <c r="J354" s="14" t="str">
        <f>IF(messy_clinic_appointments[[#This Row],[billing_amount]] &lt; 200, "Low", IF(messy_clinic_appointments[[#This Row],[billing_amount]]&lt;= 400, "Medium", "High"))</f>
        <v>High</v>
      </c>
      <c r="K354" s="14" t="s">
        <v>28</v>
      </c>
      <c r="L354" s="2">
        <f>DATEDIF(messy_clinic_appointments[[#This Row],[booking_date]],messy_clinic_appointments[[#This Row],[appointment_date]],"d")</f>
        <v>20</v>
      </c>
      <c r="M354" s="14" t="str">
        <f>IF(messy_clinic_appointments[[#This Row],[days_to_appointment]]&gt;365, "Review", "OK")</f>
        <v>OK</v>
      </c>
    </row>
    <row r="355" spans="1:13" x14ac:dyDescent="0.25">
      <c r="A355">
        <v>1003</v>
      </c>
      <c r="B355" s="14" t="s">
        <v>713</v>
      </c>
      <c r="C355">
        <v>29</v>
      </c>
      <c r="D355" s="14" t="s">
        <v>2008</v>
      </c>
      <c r="E355" s="1">
        <v>46076</v>
      </c>
      <c r="F355" s="1">
        <v>45386</v>
      </c>
      <c r="G355" s="14" t="s">
        <v>714</v>
      </c>
      <c r="H355" s="14" t="s">
        <v>15</v>
      </c>
      <c r="I355" s="14" t="s">
        <v>2348</v>
      </c>
      <c r="J355" s="14" t="str">
        <f>IF(messy_clinic_appointments[[#This Row],[billing_amount]] &lt; 200, "Low", IF(messy_clinic_appointments[[#This Row],[billing_amount]]&lt;= 400, "Medium", "High"))</f>
        <v>High</v>
      </c>
      <c r="K355" s="14" t="s">
        <v>2026</v>
      </c>
      <c r="L355" s="2">
        <f>DATEDIF(messy_clinic_appointments[[#This Row],[booking_date]],messy_clinic_appointments[[#This Row],[appointment_date]],"d")</f>
        <v>690</v>
      </c>
      <c r="M355" s="14" t="str">
        <f>IF(messy_clinic_appointments[[#This Row],[days_to_appointment]]&gt;365, "Review", "OK")</f>
        <v>Review</v>
      </c>
    </row>
    <row r="356" spans="1:13" x14ac:dyDescent="0.25">
      <c r="A356">
        <v>1005</v>
      </c>
      <c r="B356" s="14" t="s">
        <v>715</v>
      </c>
      <c r="C356">
        <v>64</v>
      </c>
      <c r="D356" s="14" t="s">
        <v>2008</v>
      </c>
      <c r="E356" s="1">
        <v>45915</v>
      </c>
      <c r="F356" s="1">
        <v>45676</v>
      </c>
      <c r="G356" s="14" t="s">
        <v>716</v>
      </c>
      <c r="H356" s="14" t="s">
        <v>18</v>
      </c>
      <c r="I356" s="14" t="s">
        <v>2349</v>
      </c>
      <c r="J356" s="14" t="str">
        <f>IF(messy_clinic_appointments[[#This Row],[billing_amount]] &lt; 200, "Low", IF(messy_clinic_appointments[[#This Row],[billing_amount]]&lt;= 400, "Medium", "High"))</f>
        <v>High</v>
      </c>
      <c r="K356" s="14" t="s">
        <v>22</v>
      </c>
      <c r="L356" s="2">
        <f>DATEDIF(messy_clinic_appointments[[#This Row],[booking_date]],messy_clinic_appointments[[#This Row],[appointment_date]],"d")</f>
        <v>239</v>
      </c>
      <c r="M356" s="14" t="str">
        <f>IF(messy_clinic_appointments[[#This Row],[days_to_appointment]]&gt;365, "Review", "OK")</f>
        <v>OK</v>
      </c>
    </row>
    <row r="357" spans="1:13" x14ac:dyDescent="0.25">
      <c r="A357">
        <v>1058</v>
      </c>
      <c r="B357" s="14" t="s">
        <v>717</v>
      </c>
      <c r="C357">
        <v>36</v>
      </c>
      <c r="D357" s="14" t="s">
        <v>30</v>
      </c>
      <c r="E357" s="1">
        <v>46011</v>
      </c>
      <c r="F357" s="1">
        <v>45378</v>
      </c>
      <c r="G357" s="14" t="s">
        <v>718</v>
      </c>
      <c r="H357" s="14" t="s">
        <v>21</v>
      </c>
      <c r="I357" s="14" t="s">
        <v>2350</v>
      </c>
      <c r="J357" s="14" t="str">
        <f>IF(messy_clinic_appointments[[#This Row],[billing_amount]] &lt; 200, "Low", IF(messy_clinic_appointments[[#This Row],[billing_amount]]&lt;= 400, "Medium", "High"))</f>
        <v>High</v>
      </c>
      <c r="K357" s="14" t="s">
        <v>2010</v>
      </c>
      <c r="L357" s="2">
        <f>DATEDIF(messy_clinic_appointments[[#This Row],[booking_date]],messy_clinic_appointments[[#This Row],[appointment_date]],"d")</f>
        <v>633</v>
      </c>
      <c r="M357" s="14" t="str">
        <f>IF(messy_clinic_appointments[[#This Row],[days_to_appointment]]&gt;365, "Review", "OK")</f>
        <v>Review</v>
      </c>
    </row>
    <row r="358" spans="1:13" x14ac:dyDescent="0.25">
      <c r="A358">
        <v>1061</v>
      </c>
      <c r="B358" s="14" t="s">
        <v>719</v>
      </c>
      <c r="C358">
        <v>23</v>
      </c>
      <c r="D358" s="14" t="s">
        <v>2022</v>
      </c>
      <c r="E358" s="1">
        <v>46030</v>
      </c>
      <c r="F358" s="1">
        <v>45625</v>
      </c>
      <c r="G358" s="14" t="s">
        <v>720</v>
      </c>
      <c r="H358" s="14" t="s">
        <v>12</v>
      </c>
      <c r="I358" s="14" t="s">
        <v>2351</v>
      </c>
      <c r="J358" s="14" t="str">
        <f>IF(messy_clinic_appointments[[#This Row],[billing_amount]] &lt; 200, "Low", IF(messy_clinic_appointments[[#This Row],[billing_amount]]&lt;= 400, "Medium", "High"))</f>
        <v>High</v>
      </c>
      <c r="K358" s="14" t="s">
        <v>2026</v>
      </c>
      <c r="L358" s="2">
        <f>DATEDIF(messy_clinic_appointments[[#This Row],[booking_date]],messy_clinic_appointments[[#This Row],[appointment_date]],"d")</f>
        <v>405</v>
      </c>
      <c r="M358" s="14" t="str">
        <f>IF(messy_clinic_appointments[[#This Row],[days_to_appointment]]&gt;365, "Review", "OK")</f>
        <v>Review</v>
      </c>
    </row>
    <row r="359" spans="1:13" x14ac:dyDescent="0.25">
      <c r="A359">
        <v>1004</v>
      </c>
      <c r="B359" s="14" t="s">
        <v>721</v>
      </c>
      <c r="C359">
        <v>63</v>
      </c>
      <c r="D359" s="14" t="s">
        <v>2008</v>
      </c>
      <c r="E359" s="1">
        <v>45790</v>
      </c>
      <c r="F359" s="1">
        <v>45404</v>
      </c>
      <c r="G359" s="14" t="s">
        <v>722</v>
      </c>
      <c r="H359" s="14" t="s">
        <v>21</v>
      </c>
      <c r="I359" s="14" t="s">
        <v>2352</v>
      </c>
      <c r="J359" s="14" t="str">
        <f>IF(messy_clinic_appointments[[#This Row],[billing_amount]] &lt; 200, "Low", IF(messy_clinic_appointments[[#This Row],[billing_amount]]&lt;= 400, "Medium", "High"))</f>
        <v>High</v>
      </c>
      <c r="K359" s="14" t="s">
        <v>2039</v>
      </c>
      <c r="L359" s="2">
        <f>DATEDIF(messy_clinic_appointments[[#This Row],[booking_date]],messy_clinic_appointments[[#This Row],[appointment_date]],"d")</f>
        <v>386</v>
      </c>
      <c r="M359" s="14" t="str">
        <f>IF(messy_clinic_appointments[[#This Row],[days_to_appointment]]&gt;365, "Review", "OK")</f>
        <v>Review</v>
      </c>
    </row>
    <row r="360" spans="1:13" x14ac:dyDescent="0.25">
      <c r="A360">
        <v>1057</v>
      </c>
      <c r="B360" s="14" t="s">
        <v>723</v>
      </c>
      <c r="C360">
        <v>58</v>
      </c>
      <c r="D360" s="14" t="s">
        <v>2010</v>
      </c>
      <c r="E360" s="1">
        <v>45908</v>
      </c>
      <c r="F360" s="1">
        <v>45712</v>
      </c>
      <c r="G360" s="14" t="s">
        <v>724</v>
      </c>
      <c r="H360" s="14" t="s">
        <v>12</v>
      </c>
      <c r="I360" s="14" t="s">
        <v>2353</v>
      </c>
      <c r="J360" s="14" t="str">
        <f>IF(messy_clinic_appointments[[#This Row],[billing_amount]] &lt; 200, "Low", IF(messy_clinic_appointments[[#This Row],[billing_amount]]&lt;= 400, "Medium", "High"))</f>
        <v>High</v>
      </c>
      <c r="K360" s="14" t="s">
        <v>2039</v>
      </c>
      <c r="L360" s="2">
        <f>DATEDIF(messy_clinic_appointments[[#This Row],[booking_date]],messy_clinic_appointments[[#This Row],[appointment_date]],"d")</f>
        <v>196</v>
      </c>
      <c r="M360" s="14" t="str">
        <f>IF(messy_clinic_appointments[[#This Row],[days_to_appointment]]&gt;365, "Review", "OK")</f>
        <v>OK</v>
      </c>
    </row>
    <row r="361" spans="1:13" x14ac:dyDescent="0.25">
      <c r="A361">
        <v>1036</v>
      </c>
      <c r="B361" s="14" t="s">
        <v>725</v>
      </c>
      <c r="C361">
        <v>38</v>
      </c>
      <c r="D361" s="14" t="s">
        <v>30</v>
      </c>
      <c r="E361" s="1">
        <v>45978</v>
      </c>
      <c r="F361" s="1">
        <v>45574</v>
      </c>
      <c r="G361" s="14" t="s">
        <v>726</v>
      </c>
      <c r="H361" s="14" t="s">
        <v>18</v>
      </c>
      <c r="I361" s="14" t="s">
        <v>2354</v>
      </c>
      <c r="J361" s="14" t="str">
        <f>IF(messy_clinic_appointments[[#This Row],[billing_amount]] &lt; 200, "Low", IF(messy_clinic_appointments[[#This Row],[billing_amount]]&lt;= 400, "Medium", "High"))</f>
        <v>High</v>
      </c>
      <c r="K361" s="14" t="s">
        <v>28</v>
      </c>
      <c r="L361" s="2">
        <f>DATEDIF(messy_clinic_appointments[[#This Row],[booking_date]],messy_clinic_appointments[[#This Row],[appointment_date]],"d")</f>
        <v>404</v>
      </c>
      <c r="M361" s="14" t="str">
        <f>IF(messy_clinic_appointments[[#This Row],[days_to_appointment]]&gt;365, "Review", "OK")</f>
        <v>Review</v>
      </c>
    </row>
    <row r="362" spans="1:13" x14ac:dyDescent="0.25">
      <c r="A362">
        <v>1095</v>
      </c>
      <c r="B362" s="14" t="s">
        <v>727</v>
      </c>
      <c r="C362">
        <v>60</v>
      </c>
      <c r="D362" s="14" t="s">
        <v>30</v>
      </c>
      <c r="E362" s="1">
        <v>46013</v>
      </c>
      <c r="F362" s="1">
        <v>45429</v>
      </c>
      <c r="G362" s="14" t="s">
        <v>728</v>
      </c>
      <c r="H362" s="14" t="s">
        <v>21</v>
      </c>
      <c r="I362" s="14" t="s">
        <v>2355</v>
      </c>
      <c r="J362" s="14" t="str">
        <f>IF(messy_clinic_appointments[[#This Row],[billing_amount]] &lt; 200, "Low", IF(messy_clinic_appointments[[#This Row],[billing_amount]]&lt;= 400, "Medium", "High"))</f>
        <v>High</v>
      </c>
      <c r="K362" s="14" t="s">
        <v>28</v>
      </c>
      <c r="L362" s="2">
        <f>DATEDIF(messy_clinic_appointments[[#This Row],[booking_date]],messy_clinic_appointments[[#This Row],[appointment_date]],"d")</f>
        <v>584</v>
      </c>
      <c r="M362" s="14" t="str">
        <f>IF(messy_clinic_appointments[[#This Row],[days_to_appointment]]&gt;365, "Review", "OK")</f>
        <v>Review</v>
      </c>
    </row>
    <row r="363" spans="1:13" x14ac:dyDescent="0.25">
      <c r="A363">
        <v>1036</v>
      </c>
      <c r="B363" s="14" t="s">
        <v>729</v>
      </c>
      <c r="C363">
        <v>87</v>
      </c>
      <c r="D363" s="14" t="s">
        <v>2010</v>
      </c>
      <c r="E363" s="1">
        <v>45869</v>
      </c>
      <c r="F363" s="1">
        <v>45598</v>
      </c>
      <c r="G363" s="14" t="s">
        <v>730</v>
      </c>
      <c r="H363" s="14" t="s">
        <v>12</v>
      </c>
      <c r="I363" s="14" t="s">
        <v>2356</v>
      </c>
      <c r="J363" s="14" t="str">
        <f>IF(messy_clinic_appointments[[#This Row],[billing_amount]] &lt; 200, "Low", IF(messy_clinic_appointments[[#This Row],[billing_amount]]&lt;= 400, "Medium", "High"))</f>
        <v>High</v>
      </c>
      <c r="K363" s="14" t="s">
        <v>2010</v>
      </c>
      <c r="L363" s="2">
        <f>DATEDIF(messy_clinic_appointments[[#This Row],[booking_date]],messy_clinic_appointments[[#This Row],[appointment_date]],"d")</f>
        <v>271</v>
      </c>
      <c r="M363" s="14" t="str">
        <f>IF(messy_clinic_appointments[[#This Row],[days_to_appointment]]&gt;365, "Review", "OK")</f>
        <v>OK</v>
      </c>
    </row>
    <row r="364" spans="1:13" x14ac:dyDescent="0.25">
      <c r="A364">
        <v>1049</v>
      </c>
      <c r="B364" s="14" t="s">
        <v>731</v>
      </c>
      <c r="C364">
        <v>58</v>
      </c>
      <c r="D364" s="14" t="s">
        <v>2008</v>
      </c>
      <c r="E364" s="1">
        <v>45876</v>
      </c>
      <c r="F364" s="1">
        <v>45659</v>
      </c>
      <c r="G364" s="14" t="s">
        <v>732</v>
      </c>
      <c r="H364" s="14" t="s">
        <v>12</v>
      </c>
      <c r="I364" s="14" t="s">
        <v>2357</v>
      </c>
      <c r="J364" s="14" t="str">
        <f>IF(messy_clinic_appointments[[#This Row],[billing_amount]] &lt; 200, "Low", IF(messy_clinic_appointments[[#This Row],[billing_amount]]&lt;= 400, "Medium", "High"))</f>
        <v>High</v>
      </c>
      <c r="K364" s="14" t="s">
        <v>2013</v>
      </c>
      <c r="L364" s="2">
        <f>DATEDIF(messy_clinic_appointments[[#This Row],[booking_date]],messy_clinic_appointments[[#This Row],[appointment_date]],"d")</f>
        <v>217</v>
      </c>
      <c r="M364" s="14" t="str">
        <f>IF(messy_clinic_appointments[[#This Row],[days_to_appointment]]&gt;365, "Review", "OK")</f>
        <v>OK</v>
      </c>
    </row>
    <row r="365" spans="1:13" x14ac:dyDescent="0.25">
      <c r="A365">
        <v>1036</v>
      </c>
      <c r="B365" s="14" t="s">
        <v>733</v>
      </c>
      <c r="C365">
        <v>20</v>
      </c>
      <c r="D365" s="14" t="s">
        <v>2010</v>
      </c>
      <c r="E365" s="1">
        <v>45895</v>
      </c>
      <c r="F365" s="1">
        <v>45666</v>
      </c>
      <c r="G365" s="14" t="s">
        <v>734</v>
      </c>
      <c r="H365" s="14" t="s">
        <v>12</v>
      </c>
      <c r="I365" s="14" t="s">
        <v>2358</v>
      </c>
      <c r="J365" s="14" t="str">
        <f>IF(messy_clinic_appointments[[#This Row],[billing_amount]] &lt; 200, "Low", IF(messy_clinic_appointments[[#This Row],[billing_amount]]&lt;= 400, "Medium", "High"))</f>
        <v>High</v>
      </c>
      <c r="K365" s="14" t="s">
        <v>22</v>
      </c>
      <c r="L365" s="2">
        <f>DATEDIF(messy_clinic_appointments[[#This Row],[booking_date]],messy_clinic_appointments[[#This Row],[appointment_date]],"d")</f>
        <v>229</v>
      </c>
      <c r="M365" s="14" t="str">
        <f>IF(messy_clinic_appointments[[#This Row],[days_to_appointment]]&gt;365, "Review", "OK")</f>
        <v>OK</v>
      </c>
    </row>
    <row r="366" spans="1:13" x14ac:dyDescent="0.25">
      <c r="A366">
        <v>1050</v>
      </c>
      <c r="B366" s="14" t="s">
        <v>735</v>
      </c>
      <c r="C366">
        <v>81</v>
      </c>
      <c r="D366" s="14" t="s">
        <v>24</v>
      </c>
      <c r="E366" s="1">
        <v>46070</v>
      </c>
      <c r="F366" s="1">
        <v>45750</v>
      </c>
      <c r="G366" s="14" t="s">
        <v>227</v>
      </c>
      <c r="H366" s="14" t="s">
        <v>18</v>
      </c>
      <c r="I366" s="14" t="s">
        <v>2359</v>
      </c>
      <c r="J366" s="14" t="str">
        <f>IF(messy_clinic_appointments[[#This Row],[billing_amount]] &lt; 200, "Low", IF(messy_clinic_appointments[[#This Row],[billing_amount]]&lt;= 400, "Medium", "High"))</f>
        <v>High</v>
      </c>
      <c r="K366" s="14" t="s">
        <v>2013</v>
      </c>
      <c r="L366" s="2">
        <f>DATEDIF(messy_clinic_appointments[[#This Row],[booking_date]],messy_clinic_appointments[[#This Row],[appointment_date]],"d")</f>
        <v>320</v>
      </c>
      <c r="M366" s="14" t="str">
        <f>IF(messy_clinic_appointments[[#This Row],[days_to_appointment]]&gt;365, "Review", "OK")</f>
        <v>OK</v>
      </c>
    </row>
    <row r="367" spans="1:13" x14ac:dyDescent="0.25">
      <c r="A367">
        <v>1019</v>
      </c>
      <c r="B367" s="14" t="s">
        <v>736</v>
      </c>
      <c r="C367">
        <v>38</v>
      </c>
      <c r="D367" s="14" t="s">
        <v>24</v>
      </c>
      <c r="E367" s="1">
        <v>46011</v>
      </c>
      <c r="F367" s="1">
        <v>45883</v>
      </c>
      <c r="G367" s="14" t="s">
        <v>737</v>
      </c>
      <c r="H367" s="14" t="s">
        <v>15</v>
      </c>
      <c r="I367" s="14" t="s">
        <v>2360</v>
      </c>
      <c r="J367" s="14" t="str">
        <f>IF(messy_clinic_appointments[[#This Row],[billing_amount]] &lt; 200, "Low", IF(messy_clinic_appointments[[#This Row],[billing_amount]]&lt;= 400, "Medium", "High"))</f>
        <v>High</v>
      </c>
      <c r="K367" s="14" t="s">
        <v>2010</v>
      </c>
      <c r="L367" s="2">
        <f>DATEDIF(messy_clinic_appointments[[#This Row],[booking_date]],messy_clinic_appointments[[#This Row],[appointment_date]],"d")</f>
        <v>128</v>
      </c>
      <c r="M367" s="14" t="str">
        <f>IF(messy_clinic_appointments[[#This Row],[days_to_appointment]]&gt;365, "Review", "OK")</f>
        <v>OK</v>
      </c>
    </row>
    <row r="368" spans="1:13" x14ac:dyDescent="0.25">
      <c r="A368">
        <v>1082</v>
      </c>
      <c r="B368" s="14" t="s">
        <v>738</v>
      </c>
      <c r="C368">
        <v>56</v>
      </c>
      <c r="D368" s="14" t="s">
        <v>2014</v>
      </c>
      <c r="E368" s="1">
        <v>45917</v>
      </c>
      <c r="F368" s="1">
        <v>45888</v>
      </c>
      <c r="G368" s="14" t="s">
        <v>739</v>
      </c>
      <c r="H368" s="14" t="s">
        <v>12</v>
      </c>
      <c r="I368" s="14" t="s">
        <v>24</v>
      </c>
      <c r="J368" s="14" t="str">
        <f>IF(messy_clinic_appointments[[#This Row],[billing_amount]] &lt; 200, "Low", IF(messy_clinic_appointments[[#This Row],[billing_amount]]&lt;= 400, "Medium", "High"))</f>
        <v>High</v>
      </c>
      <c r="K368" s="14" t="s">
        <v>2013</v>
      </c>
      <c r="L368" s="2">
        <f>DATEDIF(messy_clinic_appointments[[#This Row],[booking_date]],messy_clinic_appointments[[#This Row],[appointment_date]],"d")</f>
        <v>29</v>
      </c>
      <c r="M368" s="14" t="str">
        <f>IF(messy_clinic_appointments[[#This Row],[days_to_appointment]]&gt;365, "Review", "OK")</f>
        <v>OK</v>
      </c>
    </row>
    <row r="369" spans="1:13" x14ac:dyDescent="0.25">
      <c r="A369">
        <v>1074</v>
      </c>
      <c r="B369" s="14" t="s">
        <v>740</v>
      </c>
      <c r="C369">
        <v>67</v>
      </c>
      <c r="D369" s="14" t="s">
        <v>2011</v>
      </c>
      <c r="E369" s="1">
        <v>45905</v>
      </c>
      <c r="F369" s="1">
        <v>45431</v>
      </c>
      <c r="G369" s="14" t="s">
        <v>741</v>
      </c>
      <c r="H369" s="14" t="s">
        <v>18</v>
      </c>
      <c r="I369" s="14" t="s">
        <v>2361</v>
      </c>
      <c r="J369" s="14" t="str">
        <f>IF(messy_clinic_appointments[[#This Row],[billing_amount]] &lt; 200, "Low", IF(messy_clinic_appointments[[#This Row],[billing_amount]]&lt;= 400, "Medium", "High"))</f>
        <v>High</v>
      </c>
      <c r="K369" s="14" t="s">
        <v>2013</v>
      </c>
      <c r="L369" s="2">
        <f>DATEDIF(messy_clinic_appointments[[#This Row],[booking_date]],messy_clinic_appointments[[#This Row],[appointment_date]],"d")</f>
        <v>474</v>
      </c>
      <c r="M369" s="14" t="str">
        <f>IF(messy_clinic_appointments[[#This Row],[days_to_appointment]]&gt;365, "Review", "OK")</f>
        <v>Review</v>
      </c>
    </row>
    <row r="370" spans="1:13" x14ac:dyDescent="0.25">
      <c r="A370">
        <v>1084</v>
      </c>
      <c r="B370" s="14" t="s">
        <v>742</v>
      </c>
      <c r="C370">
        <v>64</v>
      </c>
      <c r="D370" s="14" t="s">
        <v>50</v>
      </c>
      <c r="E370" s="1">
        <v>46022</v>
      </c>
      <c r="F370" s="1">
        <v>45766</v>
      </c>
      <c r="G370" s="14" t="s">
        <v>743</v>
      </c>
      <c r="H370" s="14" t="s">
        <v>15</v>
      </c>
      <c r="I370" s="14" t="s">
        <v>2362</v>
      </c>
      <c r="J370" s="14" t="str">
        <f>IF(messy_clinic_appointments[[#This Row],[billing_amount]] &lt; 200, "Low", IF(messy_clinic_appointments[[#This Row],[billing_amount]]&lt;= 400, "Medium", "High"))</f>
        <v>High</v>
      </c>
      <c r="K370" s="14" t="s">
        <v>2010</v>
      </c>
      <c r="L370" s="2">
        <f>DATEDIF(messy_clinic_appointments[[#This Row],[booking_date]],messy_clinic_appointments[[#This Row],[appointment_date]],"d")</f>
        <v>256</v>
      </c>
      <c r="M370" s="14" t="str">
        <f>IF(messy_clinic_appointments[[#This Row],[days_to_appointment]]&gt;365, "Review", "OK")</f>
        <v>OK</v>
      </c>
    </row>
    <row r="371" spans="1:13" x14ac:dyDescent="0.25">
      <c r="A371">
        <v>1084</v>
      </c>
      <c r="B371" s="14" t="s">
        <v>1997</v>
      </c>
      <c r="C371">
        <v>79</v>
      </c>
      <c r="D371" s="14" t="s">
        <v>2011</v>
      </c>
      <c r="E371" s="1">
        <v>46014</v>
      </c>
      <c r="F371" s="1">
        <v>45669</v>
      </c>
      <c r="G371" s="14" t="s">
        <v>744</v>
      </c>
      <c r="H371" s="14" t="s">
        <v>18</v>
      </c>
      <c r="I371" s="14" t="s">
        <v>2363</v>
      </c>
      <c r="J371" s="14" t="str">
        <f>IF(messy_clinic_appointments[[#This Row],[billing_amount]] &lt; 200, "Low", IF(messy_clinic_appointments[[#This Row],[billing_amount]]&lt;= 400, "Medium", "High"))</f>
        <v>High</v>
      </c>
      <c r="K371" s="14" t="s">
        <v>28</v>
      </c>
      <c r="L371" s="2">
        <f>DATEDIF(messy_clinic_appointments[[#This Row],[booking_date]],messy_clinic_appointments[[#This Row],[appointment_date]],"d")</f>
        <v>345</v>
      </c>
      <c r="M371" s="14" t="str">
        <f>IF(messy_clinic_appointments[[#This Row],[days_to_appointment]]&gt;365, "Review", "OK")</f>
        <v>OK</v>
      </c>
    </row>
    <row r="372" spans="1:13" x14ac:dyDescent="0.25">
      <c r="A372">
        <v>1004</v>
      </c>
      <c r="B372" s="14" t="s">
        <v>745</v>
      </c>
      <c r="C372">
        <v>27</v>
      </c>
      <c r="D372" s="14" t="s">
        <v>2014</v>
      </c>
      <c r="E372" s="1">
        <v>45895</v>
      </c>
      <c r="F372" s="1">
        <v>45545</v>
      </c>
      <c r="G372" s="14" t="s">
        <v>746</v>
      </c>
      <c r="H372" s="14" t="s">
        <v>18</v>
      </c>
      <c r="I372" s="14" t="s">
        <v>24</v>
      </c>
      <c r="J372" s="14" t="str">
        <f>IF(messy_clinic_appointments[[#This Row],[billing_amount]] &lt; 200, "Low", IF(messy_clinic_appointments[[#This Row],[billing_amount]]&lt;= 400, "Medium", "High"))</f>
        <v>High</v>
      </c>
      <c r="K372" s="14" t="s">
        <v>28</v>
      </c>
      <c r="L372" s="2">
        <f>DATEDIF(messy_clinic_appointments[[#This Row],[booking_date]],messy_clinic_appointments[[#This Row],[appointment_date]],"d")</f>
        <v>350</v>
      </c>
      <c r="M372" s="14" t="str">
        <f>IF(messy_clinic_appointments[[#This Row],[days_to_appointment]]&gt;365, "Review", "OK")</f>
        <v>OK</v>
      </c>
    </row>
    <row r="373" spans="1:13" x14ac:dyDescent="0.25">
      <c r="A373">
        <v>1006</v>
      </c>
      <c r="B373" s="14" t="s">
        <v>747</v>
      </c>
      <c r="C373">
        <v>42</v>
      </c>
      <c r="D373" s="14" t="s">
        <v>50</v>
      </c>
      <c r="E373" s="1">
        <v>45965</v>
      </c>
      <c r="F373" s="1">
        <v>45601</v>
      </c>
      <c r="G373" s="14" t="s">
        <v>748</v>
      </c>
      <c r="H373" s="14" t="s">
        <v>15</v>
      </c>
      <c r="I373" s="14" t="s">
        <v>24</v>
      </c>
      <c r="J373" s="14" t="str">
        <f>IF(messy_clinic_appointments[[#This Row],[billing_amount]] &lt; 200, "Low", IF(messy_clinic_appointments[[#This Row],[billing_amount]]&lt;= 400, "Medium", "High"))</f>
        <v>High</v>
      </c>
      <c r="K373" s="14" t="s">
        <v>28</v>
      </c>
      <c r="L373" s="2">
        <f>DATEDIF(messy_clinic_appointments[[#This Row],[booking_date]],messy_clinic_appointments[[#This Row],[appointment_date]],"d")</f>
        <v>364</v>
      </c>
      <c r="M373" s="14" t="str">
        <f>IF(messy_clinic_appointments[[#This Row],[days_to_appointment]]&gt;365, "Review", "OK")</f>
        <v>OK</v>
      </c>
    </row>
    <row r="374" spans="1:13" x14ac:dyDescent="0.25">
      <c r="A374">
        <v>1096</v>
      </c>
      <c r="B374" s="14" t="s">
        <v>749</v>
      </c>
      <c r="C374">
        <v>83</v>
      </c>
      <c r="D374" s="14" t="s">
        <v>2008</v>
      </c>
      <c r="E374" s="1">
        <v>46102</v>
      </c>
      <c r="F374" s="1">
        <v>46000</v>
      </c>
      <c r="G374" s="14" t="s">
        <v>750</v>
      </c>
      <c r="H374" s="14" t="s">
        <v>18</v>
      </c>
      <c r="I374" s="14" t="s">
        <v>2364</v>
      </c>
      <c r="J374" s="14" t="str">
        <f>IF(messy_clinic_appointments[[#This Row],[billing_amount]] &lt; 200, "Low", IF(messy_clinic_appointments[[#This Row],[billing_amount]]&lt;= 400, "Medium", "High"))</f>
        <v>High</v>
      </c>
      <c r="K374" s="14" t="s">
        <v>2010</v>
      </c>
      <c r="L374" s="2">
        <f>DATEDIF(messy_clinic_appointments[[#This Row],[booking_date]],messy_clinic_appointments[[#This Row],[appointment_date]],"d")</f>
        <v>102</v>
      </c>
      <c r="M374" s="14" t="str">
        <f>IF(messy_clinic_appointments[[#This Row],[days_to_appointment]]&gt;365, "Review", "OK")</f>
        <v>OK</v>
      </c>
    </row>
    <row r="375" spans="1:13" x14ac:dyDescent="0.25">
      <c r="A375">
        <v>1022</v>
      </c>
      <c r="B375" s="14" t="s">
        <v>751</v>
      </c>
      <c r="C375">
        <v>19</v>
      </c>
      <c r="D375" s="14" t="s">
        <v>2010</v>
      </c>
      <c r="E375" s="1">
        <v>45949</v>
      </c>
      <c r="F375" s="1">
        <v>45919</v>
      </c>
      <c r="G375" s="14" t="s">
        <v>752</v>
      </c>
      <c r="H375" s="14" t="s">
        <v>15</v>
      </c>
      <c r="I375" s="14" t="s">
        <v>2365</v>
      </c>
      <c r="J375" s="14" t="str">
        <f>IF(messy_clinic_appointments[[#This Row],[billing_amount]] &lt; 200, "Low", IF(messy_clinic_appointments[[#This Row],[billing_amount]]&lt;= 400, "Medium", "High"))</f>
        <v>High</v>
      </c>
      <c r="K375" s="14" t="s">
        <v>28</v>
      </c>
      <c r="L375" s="2">
        <f>DATEDIF(messy_clinic_appointments[[#This Row],[booking_date]],messy_clinic_appointments[[#This Row],[appointment_date]],"d")</f>
        <v>30</v>
      </c>
      <c r="M375" s="14" t="str">
        <f>IF(messy_clinic_appointments[[#This Row],[days_to_appointment]]&gt;365, "Review", "OK")</f>
        <v>OK</v>
      </c>
    </row>
    <row r="376" spans="1:13" x14ac:dyDescent="0.25">
      <c r="A376">
        <v>1089</v>
      </c>
      <c r="B376" s="14" t="s">
        <v>753</v>
      </c>
      <c r="C376">
        <v>35</v>
      </c>
      <c r="D376" s="14" t="s">
        <v>2039</v>
      </c>
      <c r="E376" s="1">
        <v>45959</v>
      </c>
      <c r="F376" s="1">
        <v>45906</v>
      </c>
      <c r="G376" s="14" t="s">
        <v>754</v>
      </c>
      <c r="H376" s="14" t="s">
        <v>12</v>
      </c>
      <c r="I376" s="14" t="s">
        <v>2366</v>
      </c>
      <c r="J376" s="14" t="str">
        <f>IF(messy_clinic_appointments[[#This Row],[billing_amount]] &lt; 200, "Low", IF(messy_clinic_appointments[[#This Row],[billing_amount]]&lt;= 400, "Medium", "High"))</f>
        <v>High</v>
      </c>
      <c r="K376" s="14" t="s">
        <v>22</v>
      </c>
      <c r="L376" s="2">
        <f>DATEDIF(messy_clinic_appointments[[#This Row],[booking_date]],messy_clinic_appointments[[#This Row],[appointment_date]],"d")</f>
        <v>53</v>
      </c>
      <c r="M376" s="14" t="str">
        <f>IF(messy_clinic_appointments[[#This Row],[days_to_appointment]]&gt;365, "Review", "OK")</f>
        <v>OK</v>
      </c>
    </row>
    <row r="377" spans="1:13" x14ac:dyDescent="0.25">
      <c r="A377">
        <v>1058</v>
      </c>
      <c r="B377" s="14" t="s">
        <v>755</v>
      </c>
      <c r="C377">
        <v>29</v>
      </c>
      <c r="D377" s="14" t="s">
        <v>50</v>
      </c>
      <c r="E377" s="1">
        <v>45807</v>
      </c>
      <c r="F377" s="1">
        <v>45377</v>
      </c>
      <c r="G377" s="14" t="s">
        <v>756</v>
      </c>
      <c r="H377" s="14" t="s">
        <v>21</v>
      </c>
      <c r="I377" s="14" t="s">
        <v>2367</v>
      </c>
      <c r="J377" s="14" t="str">
        <f>IF(messy_clinic_appointments[[#This Row],[billing_amount]] &lt; 200, "Low", IF(messy_clinic_appointments[[#This Row],[billing_amount]]&lt;= 400, "Medium", "High"))</f>
        <v>High</v>
      </c>
      <c r="K377" s="14" t="s">
        <v>28</v>
      </c>
      <c r="L377" s="2">
        <f>DATEDIF(messy_clinic_appointments[[#This Row],[booking_date]],messy_clinic_appointments[[#This Row],[appointment_date]],"d")</f>
        <v>430</v>
      </c>
      <c r="M377" s="14" t="str">
        <f>IF(messy_clinic_appointments[[#This Row],[days_to_appointment]]&gt;365, "Review", "OK")</f>
        <v>Review</v>
      </c>
    </row>
    <row r="378" spans="1:13" x14ac:dyDescent="0.25">
      <c r="A378">
        <v>1024</v>
      </c>
      <c r="B378" s="14" t="s">
        <v>757</v>
      </c>
      <c r="C378">
        <v>55</v>
      </c>
      <c r="D378" s="14" t="s">
        <v>2011</v>
      </c>
      <c r="E378" s="1">
        <v>45942</v>
      </c>
      <c r="F378" s="1">
        <v>45593</v>
      </c>
      <c r="G378" s="14" t="s">
        <v>758</v>
      </c>
      <c r="H378" s="14" t="s">
        <v>21</v>
      </c>
      <c r="I378" s="14" t="s">
        <v>2368</v>
      </c>
      <c r="J378" s="14" t="str">
        <f>IF(messy_clinic_appointments[[#This Row],[billing_amount]] &lt; 200, "Low", IF(messy_clinic_appointments[[#This Row],[billing_amount]]&lt;= 400, "Medium", "High"))</f>
        <v>High</v>
      </c>
      <c r="K378" s="14" t="s">
        <v>2013</v>
      </c>
      <c r="L378" s="2">
        <f>DATEDIF(messy_clinic_appointments[[#This Row],[booking_date]],messy_clinic_appointments[[#This Row],[appointment_date]],"d")</f>
        <v>349</v>
      </c>
      <c r="M378" s="14" t="str">
        <f>IF(messy_clinic_appointments[[#This Row],[days_to_appointment]]&gt;365, "Review", "OK")</f>
        <v>OK</v>
      </c>
    </row>
    <row r="379" spans="1:13" x14ac:dyDescent="0.25">
      <c r="A379">
        <v>1016</v>
      </c>
      <c r="B379" s="14" t="s">
        <v>759</v>
      </c>
      <c r="C379">
        <v>81</v>
      </c>
      <c r="D379" s="14" t="s">
        <v>30</v>
      </c>
      <c r="E379" s="1">
        <v>45859</v>
      </c>
      <c r="F379" s="1">
        <v>45481</v>
      </c>
      <c r="G379" s="14" t="s">
        <v>760</v>
      </c>
      <c r="H379" s="14" t="s">
        <v>21</v>
      </c>
      <c r="I379" s="14" t="s">
        <v>2369</v>
      </c>
      <c r="J379" s="14" t="str">
        <f>IF(messy_clinic_appointments[[#This Row],[billing_amount]] &lt; 200, "Low", IF(messy_clinic_appointments[[#This Row],[billing_amount]]&lt;= 400, "Medium", "High"))</f>
        <v>High</v>
      </c>
      <c r="K379" s="14" t="s">
        <v>2010</v>
      </c>
      <c r="L379" s="2">
        <f>DATEDIF(messy_clinic_appointments[[#This Row],[booking_date]],messy_clinic_appointments[[#This Row],[appointment_date]],"d")</f>
        <v>378</v>
      </c>
      <c r="M379" s="14" t="str">
        <f>IF(messy_clinic_appointments[[#This Row],[days_to_appointment]]&gt;365, "Review", "OK")</f>
        <v>Review</v>
      </c>
    </row>
    <row r="380" spans="1:13" x14ac:dyDescent="0.25">
      <c r="A380">
        <v>1022</v>
      </c>
      <c r="B380" s="14" t="s">
        <v>761</v>
      </c>
      <c r="C380">
        <v>56</v>
      </c>
      <c r="D380" s="14" t="s">
        <v>50</v>
      </c>
      <c r="E380" s="1">
        <v>45824</v>
      </c>
      <c r="F380" s="1">
        <v>45443</v>
      </c>
      <c r="G380" s="14" t="s">
        <v>762</v>
      </c>
      <c r="H380" s="14" t="s">
        <v>12</v>
      </c>
      <c r="I380" s="14" t="s">
        <v>2370</v>
      </c>
      <c r="J380" s="14" t="str">
        <f>IF(messy_clinic_appointments[[#This Row],[billing_amount]] &lt; 200, "Low", IF(messy_clinic_appointments[[#This Row],[billing_amount]]&lt;= 400, "Medium", "High"))</f>
        <v>High</v>
      </c>
      <c r="K380" s="14" t="s">
        <v>22</v>
      </c>
      <c r="L380" s="2">
        <f>DATEDIF(messy_clinic_appointments[[#This Row],[booking_date]],messy_clinic_appointments[[#This Row],[appointment_date]],"d")</f>
        <v>381</v>
      </c>
      <c r="M380" s="14" t="str">
        <f>IF(messy_clinic_appointments[[#This Row],[days_to_appointment]]&gt;365, "Review", "OK")</f>
        <v>Review</v>
      </c>
    </row>
    <row r="381" spans="1:13" x14ac:dyDescent="0.25">
      <c r="A381">
        <v>1088</v>
      </c>
      <c r="B381" s="14" t="s">
        <v>763</v>
      </c>
      <c r="C381">
        <v>32</v>
      </c>
      <c r="D381" s="14" t="s">
        <v>24</v>
      </c>
      <c r="E381" s="1">
        <v>45860</v>
      </c>
      <c r="F381" s="1">
        <v>45394</v>
      </c>
      <c r="G381" s="14" t="s">
        <v>764</v>
      </c>
      <c r="H381" s="14" t="s">
        <v>15</v>
      </c>
      <c r="I381" s="14" t="s">
        <v>2371</v>
      </c>
      <c r="J381" s="14" t="str">
        <f>IF(messy_clinic_appointments[[#This Row],[billing_amount]] &lt; 200, "Low", IF(messy_clinic_appointments[[#This Row],[billing_amount]]&lt;= 400, "Medium", "High"))</f>
        <v>High</v>
      </c>
      <c r="K381" s="14" t="s">
        <v>28</v>
      </c>
      <c r="L381" s="2">
        <f>DATEDIF(messy_clinic_appointments[[#This Row],[booking_date]],messy_clinic_appointments[[#This Row],[appointment_date]],"d")</f>
        <v>466</v>
      </c>
      <c r="M381" s="14" t="str">
        <f>IF(messy_clinic_appointments[[#This Row],[days_to_appointment]]&gt;365, "Review", "OK")</f>
        <v>Review</v>
      </c>
    </row>
    <row r="382" spans="1:13" x14ac:dyDescent="0.25">
      <c r="A382">
        <v>1016</v>
      </c>
      <c r="B382" s="14" t="s">
        <v>765</v>
      </c>
      <c r="C382">
        <v>74</v>
      </c>
      <c r="D382" s="14" t="s">
        <v>2014</v>
      </c>
      <c r="E382" s="1">
        <v>45997</v>
      </c>
      <c r="F382" s="1">
        <v>45569</v>
      </c>
      <c r="G382" s="14" t="s">
        <v>766</v>
      </c>
      <c r="H382" s="14" t="s">
        <v>18</v>
      </c>
      <c r="I382" s="14" t="s">
        <v>2372</v>
      </c>
      <c r="J382" s="14" t="str">
        <f>IF(messy_clinic_appointments[[#This Row],[billing_amount]] &lt; 200, "Low", IF(messy_clinic_appointments[[#This Row],[billing_amount]]&lt;= 400, "Medium", "High"))</f>
        <v>High</v>
      </c>
      <c r="K382" s="14" t="s">
        <v>2013</v>
      </c>
      <c r="L382" s="2">
        <f>DATEDIF(messy_clinic_appointments[[#This Row],[booking_date]],messy_clinic_appointments[[#This Row],[appointment_date]],"d")</f>
        <v>428</v>
      </c>
      <c r="M382" s="14" t="str">
        <f>IF(messy_clinic_appointments[[#This Row],[days_to_appointment]]&gt;365, "Review", "OK")</f>
        <v>Review</v>
      </c>
    </row>
    <row r="383" spans="1:13" x14ac:dyDescent="0.25">
      <c r="A383">
        <v>1039</v>
      </c>
      <c r="B383" s="14" t="s">
        <v>767</v>
      </c>
      <c r="C383">
        <v>55</v>
      </c>
      <c r="D383" s="14" t="s">
        <v>2022</v>
      </c>
      <c r="E383" s="1">
        <v>45748</v>
      </c>
      <c r="F383" s="1">
        <v>45548</v>
      </c>
      <c r="G383" s="14" t="s">
        <v>768</v>
      </c>
      <c r="H383" s="14" t="s">
        <v>15</v>
      </c>
      <c r="I383" s="14" t="s">
        <v>2373</v>
      </c>
      <c r="J383" s="14" t="str">
        <f>IF(messy_clinic_appointments[[#This Row],[billing_amount]] &lt; 200, "Low", IF(messy_clinic_appointments[[#This Row],[billing_amount]]&lt;= 400, "Medium", "High"))</f>
        <v>High</v>
      </c>
      <c r="K383" s="14" t="s">
        <v>22</v>
      </c>
      <c r="L383" s="2">
        <f>DATEDIF(messy_clinic_appointments[[#This Row],[booking_date]],messy_clinic_appointments[[#This Row],[appointment_date]],"d")</f>
        <v>200</v>
      </c>
      <c r="M383" s="14" t="str">
        <f>IF(messy_clinic_appointments[[#This Row],[days_to_appointment]]&gt;365, "Review", "OK")</f>
        <v>OK</v>
      </c>
    </row>
    <row r="384" spans="1:13" x14ac:dyDescent="0.25">
      <c r="A384">
        <v>1075</v>
      </c>
      <c r="B384" s="14" t="s">
        <v>769</v>
      </c>
      <c r="C384">
        <v>27</v>
      </c>
      <c r="D384" s="14" t="s">
        <v>30</v>
      </c>
      <c r="E384" s="1">
        <v>45754</v>
      </c>
      <c r="F384" s="1">
        <v>45384</v>
      </c>
      <c r="G384" s="14" t="s">
        <v>770</v>
      </c>
      <c r="H384" s="14" t="s">
        <v>15</v>
      </c>
      <c r="I384" s="14" t="s">
        <v>2374</v>
      </c>
      <c r="J384" s="14" t="str">
        <f>IF(messy_clinic_appointments[[#This Row],[billing_amount]] &lt; 200, "Low", IF(messy_clinic_appointments[[#This Row],[billing_amount]]&lt;= 400, "Medium", "High"))</f>
        <v>High</v>
      </c>
      <c r="K384" s="14" t="s">
        <v>2026</v>
      </c>
      <c r="L384" s="2">
        <f>DATEDIF(messy_clinic_appointments[[#This Row],[booking_date]],messy_clinic_appointments[[#This Row],[appointment_date]],"d")</f>
        <v>370</v>
      </c>
      <c r="M384" s="14" t="str">
        <f>IF(messy_clinic_appointments[[#This Row],[days_to_appointment]]&gt;365, "Review", "OK")</f>
        <v>Review</v>
      </c>
    </row>
    <row r="385" spans="1:13" x14ac:dyDescent="0.25">
      <c r="A385">
        <v>1013</v>
      </c>
      <c r="B385" s="14" t="s">
        <v>771</v>
      </c>
      <c r="C385">
        <v>62</v>
      </c>
      <c r="D385" s="14" t="s">
        <v>2008</v>
      </c>
      <c r="E385" s="1">
        <v>46024</v>
      </c>
      <c r="F385" s="1">
        <v>45714</v>
      </c>
      <c r="G385" s="14" t="s">
        <v>772</v>
      </c>
      <c r="H385" s="14" t="s">
        <v>18</v>
      </c>
      <c r="I385" s="14" t="s">
        <v>2375</v>
      </c>
      <c r="J385" s="14" t="str">
        <f>IF(messy_clinic_appointments[[#This Row],[billing_amount]] &lt; 200, "Low", IF(messy_clinic_appointments[[#This Row],[billing_amount]]&lt;= 400, "Medium", "High"))</f>
        <v>High</v>
      </c>
      <c r="K385" s="14" t="s">
        <v>2010</v>
      </c>
      <c r="L385" s="2">
        <f>DATEDIF(messy_clinic_appointments[[#This Row],[booking_date]],messy_clinic_appointments[[#This Row],[appointment_date]],"d")</f>
        <v>310</v>
      </c>
      <c r="M385" s="14" t="str">
        <f>IF(messy_clinic_appointments[[#This Row],[days_to_appointment]]&gt;365, "Review", "OK")</f>
        <v>OK</v>
      </c>
    </row>
    <row r="386" spans="1:13" x14ac:dyDescent="0.25">
      <c r="A386">
        <v>1089</v>
      </c>
      <c r="B386" s="14" t="s">
        <v>773</v>
      </c>
      <c r="C386">
        <v>24</v>
      </c>
      <c r="D386" s="14" t="s">
        <v>50</v>
      </c>
      <c r="E386" s="1">
        <v>45916</v>
      </c>
      <c r="F386" s="1">
        <v>45673</v>
      </c>
      <c r="G386" s="14" t="s">
        <v>774</v>
      </c>
      <c r="H386" s="14" t="s">
        <v>15</v>
      </c>
      <c r="I386" s="14" t="s">
        <v>2376</v>
      </c>
      <c r="J386" s="14" t="str">
        <f>IF(messy_clinic_appointments[[#This Row],[billing_amount]] &lt; 200, "Low", IF(messy_clinic_appointments[[#This Row],[billing_amount]]&lt;= 400, "Medium", "High"))</f>
        <v>High</v>
      </c>
      <c r="K386" s="14" t="s">
        <v>28</v>
      </c>
      <c r="L386" s="2">
        <f>DATEDIF(messy_clinic_appointments[[#This Row],[booking_date]],messy_clinic_appointments[[#This Row],[appointment_date]],"d")</f>
        <v>243</v>
      </c>
      <c r="M386" s="14" t="str">
        <f>IF(messy_clinic_appointments[[#This Row],[days_to_appointment]]&gt;365, "Review", "OK")</f>
        <v>OK</v>
      </c>
    </row>
    <row r="387" spans="1:13" x14ac:dyDescent="0.25">
      <c r="A387">
        <v>1084</v>
      </c>
      <c r="B387" s="14" t="s">
        <v>775</v>
      </c>
      <c r="C387">
        <v>34</v>
      </c>
      <c r="D387" s="14" t="s">
        <v>2011</v>
      </c>
      <c r="E387" s="1">
        <v>45998</v>
      </c>
      <c r="F387" s="1">
        <v>45941</v>
      </c>
      <c r="G387" s="14" t="s">
        <v>776</v>
      </c>
      <c r="H387" s="14" t="s">
        <v>21</v>
      </c>
      <c r="I387" s="14" t="s">
        <v>2377</v>
      </c>
      <c r="J387" s="14" t="str">
        <f>IF(messy_clinic_appointments[[#This Row],[billing_amount]] &lt; 200, "Low", IF(messy_clinic_appointments[[#This Row],[billing_amount]]&lt;= 400, "Medium", "High"))</f>
        <v>High</v>
      </c>
      <c r="K387" s="14" t="s">
        <v>2039</v>
      </c>
      <c r="L387" s="2">
        <f>DATEDIF(messy_clinic_appointments[[#This Row],[booking_date]],messy_clinic_appointments[[#This Row],[appointment_date]],"d")</f>
        <v>57</v>
      </c>
      <c r="M387" s="14" t="str">
        <f>IF(messy_clinic_appointments[[#This Row],[days_to_appointment]]&gt;365, "Review", "OK")</f>
        <v>OK</v>
      </c>
    </row>
    <row r="388" spans="1:13" x14ac:dyDescent="0.25">
      <c r="A388">
        <v>1018</v>
      </c>
      <c r="B388" s="14" t="s">
        <v>777</v>
      </c>
      <c r="C388">
        <v>68</v>
      </c>
      <c r="D388" s="14" t="s">
        <v>2010</v>
      </c>
      <c r="E388" s="1">
        <v>45833</v>
      </c>
      <c r="F388" s="1">
        <v>45813</v>
      </c>
      <c r="G388" s="14" t="s">
        <v>778</v>
      </c>
      <c r="H388" s="14" t="s">
        <v>12</v>
      </c>
      <c r="I388" s="14" t="s">
        <v>2378</v>
      </c>
      <c r="J388" s="14" t="str">
        <f>IF(messy_clinic_appointments[[#This Row],[billing_amount]] &lt; 200, "Low", IF(messy_clinic_appointments[[#This Row],[billing_amount]]&lt;= 400, "Medium", "High"))</f>
        <v>High</v>
      </c>
      <c r="K388" s="14" t="s">
        <v>2013</v>
      </c>
      <c r="L388" s="2">
        <f>DATEDIF(messy_clinic_appointments[[#This Row],[booking_date]],messy_clinic_appointments[[#This Row],[appointment_date]],"d")</f>
        <v>20</v>
      </c>
      <c r="M388" s="14" t="str">
        <f>IF(messy_clinic_appointments[[#This Row],[days_to_appointment]]&gt;365, "Review", "OK")</f>
        <v>OK</v>
      </c>
    </row>
    <row r="389" spans="1:13" x14ac:dyDescent="0.25">
      <c r="A389">
        <v>1026</v>
      </c>
      <c r="B389" s="14" t="s">
        <v>779</v>
      </c>
      <c r="C389">
        <v>42</v>
      </c>
      <c r="D389" s="14" t="s">
        <v>2010</v>
      </c>
      <c r="E389" s="1">
        <v>46047</v>
      </c>
      <c r="F389" s="1">
        <v>45635</v>
      </c>
      <c r="G389" s="14" t="s">
        <v>780</v>
      </c>
      <c r="H389" s="14" t="s">
        <v>21</v>
      </c>
      <c r="I389" s="14" t="s">
        <v>2379</v>
      </c>
      <c r="J389" s="14" t="str">
        <f>IF(messy_clinic_appointments[[#This Row],[billing_amount]] &lt; 200, "Low", IF(messy_clinic_appointments[[#This Row],[billing_amount]]&lt;= 400, "Medium", "High"))</f>
        <v>High</v>
      </c>
      <c r="K389" s="14" t="s">
        <v>2026</v>
      </c>
      <c r="L389" s="2">
        <f>DATEDIF(messy_clinic_appointments[[#This Row],[booking_date]],messy_clinic_appointments[[#This Row],[appointment_date]],"d")</f>
        <v>412</v>
      </c>
      <c r="M389" s="14" t="str">
        <f>IF(messy_clinic_appointments[[#This Row],[days_to_appointment]]&gt;365, "Review", "OK")</f>
        <v>Review</v>
      </c>
    </row>
    <row r="390" spans="1:13" x14ac:dyDescent="0.25">
      <c r="A390">
        <v>1001</v>
      </c>
      <c r="B390" s="14" t="s">
        <v>781</v>
      </c>
      <c r="C390">
        <v>90</v>
      </c>
      <c r="D390" s="14" t="s">
        <v>2014</v>
      </c>
      <c r="E390" s="1">
        <v>45973</v>
      </c>
      <c r="F390" s="1">
        <v>45904</v>
      </c>
      <c r="G390" s="14" t="s">
        <v>782</v>
      </c>
      <c r="H390" s="14" t="s">
        <v>18</v>
      </c>
      <c r="I390" s="14" t="s">
        <v>2380</v>
      </c>
      <c r="J390" s="14" t="str">
        <f>IF(messy_clinic_appointments[[#This Row],[billing_amount]] &lt; 200, "Low", IF(messy_clinic_appointments[[#This Row],[billing_amount]]&lt;= 400, "Medium", "High"))</f>
        <v>High</v>
      </c>
      <c r="K390" s="14" t="s">
        <v>22</v>
      </c>
      <c r="L390" s="2">
        <f>DATEDIF(messy_clinic_appointments[[#This Row],[booking_date]],messy_clinic_appointments[[#This Row],[appointment_date]],"d")</f>
        <v>69</v>
      </c>
      <c r="M390" s="14" t="str">
        <f>IF(messy_clinic_appointments[[#This Row],[days_to_appointment]]&gt;365, "Review", "OK")</f>
        <v>OK</v>
      </c>
    </row>
    <row r="391" spans="1:13" x14ac:dyDescent="0.25">
      <c r="A391">
        <v>1004</v>
      </c>
      <c r="B391" s="14" t="s">
        <v>783</v>
      </c>
      <c r="C391">
        <v>65</v>
      </c>
      <c r="D391" s="14" t="s">
        <v>2022</v>
      </c>
      <c r="E391" s="1">
        <v>45881</v>
      </c>
      <c r="F391" s="1">
        <v>45653</v>
      </c>
      <c r="G391" s="14" t="s">
        <v>784</v>
      </c>
      <c r="H391" s="14" t="s">
        <v>12</v>
      </c>
      <c r="I391" s="14" t="s">
        <v>2381</v>
      </c>
      <c r="J391" s="14" t="str">
        <f>IF(messy_clinic_appointments[[#This Row],[billing_amount]] &lt; 200, "Low", IF(messy_clinic_appointments[[#This Row],[billing_amount]]&lt;= 400, "Medium", "High"))</f>
        <v>High</v>
      </c>
      <c r="K391" s="14" t="s">
        <v>2013</v>
      </c>
      <c r="L391" s="2">
        <f>DATEDIF(messy_clinic_appointments[[#This Row],[booking_date]],messy_clinic_appointments[[#This Row],[appointment_date]],"d")</f>
        <v>228</v>
      </c>
      <c r="M391" s="14" t="str">
        <f>IF(messy_clinic_appointments[[#This Row],[days_to_appointment]]&gt;365, "Review", "OK")</f>
        <v>OK</v>
      </c>
    </row>
    <row r="392" spans="1:13" x14ac:dyDescent="0.25">
      <c r="A392">
        <v>1013</v>
      </c>
      <c r="B392" s="14" t="s">
        <v>785</v>
      </c>
      <c r="C392">
        <v>89</v>
      </c>
      <c r="D392" s="14" t="s">
        <v>50</v>
      </c>
      <c r="E392" s="1">
        <v>45944</v>
      </c>
      <c r="F392" s="1">
        <v>45551</v>
      </c>
      <c r="G392" s="14" t="s">
        <v>786</v>
      </c>
      <c r="H392" s="14" t="s">
        <v>12</v>
      </c>
      <c r="I392" s="14" t="s">
        <v>2382</v>
      </c>
      <c r="J392" s="14" t="str">
        <f>IF(messy_clinic_appointments[[#This Row],[billing_amount]] &lt; 200, "Low", IF(messy_clinic_appointments[[#This Row],[billing_amount]]&lt;= 400, "Medium", "High"))</f>
        <v>High</v>
      </c>
      <c r="K392" s="14" t="s">
        <v>2010</v>
      </c>
      <c r="L392" s="2">
        <f>DATEDIF(messy_clinic_appointments[[#This Row],[booking_date]],messy_clinic_appointments[[#This Row],[appointment_date]],"d")</f>
        <v>393</v>
      </c>
      <c r="M392" s="14" t="str">
        <f>IF(messy_clinic_appointments[[#This Row],[days_to_appointment]]&gt;365, "Review", "OK")</f>
        <v>Review</v>
      </c>
    </row>
    <row r="393" spans="1:13" x14ac:dyDescent="0.25">
      <c r="A393">
        <v>1009</v>
      </c>
      <c r="B393" s="14" t="s">
        <v>787</v>
      </c>
      <c r="C393">
        <v>67</v>
      </c>
      <c r="D393" s="14" t="s">
        <v>2008</v>
      </c>
      <c r="E393" s="1">
        <v>45840</v>
      </c>
      <c r="F393" s="1">
        <v>45447</v>
      </c>
      <c r="G393" s="14" t="s">
        <v>788</v>
      </c>
      <c r="H393" s="14" t="s">
        <v>15</v>
      </c>
      <c r="I393" s="14" t="s">
        <v>2383</v>
      </c>
      <c r="J393" s="14" t="str">
        <f>IF(messy_clinic_appointments[[#This Row],[billing_amount]] &lt; 200, "Low", IF(messy_clinic_appointments[[#This Row],[billing_amount]]&lt;= 400, "Medium", "High"))</f>
        <v>High</v>
      </c>
      <c r="K393" s="14" t="s">
        <v>2039</v>
      </c>
      <c r="L393" s="2">
        <f>DATEDIF(messy_clinic_appointments[[#This Row],[booking_date]],messy_clinic_appointments[[#This Row],[appointment_date]],"d")</f>
        <v>393</v>
      </c>
      <c r="M393" s="14" t="str">
        <f>IF(messy_clinic_appointments[[#This Row],[days_to_appointment]]&gt;365, "Review", "OK")</f>
        <v>Review</v>
      </c>
    </row>
    <row r="394" spans="1:13" x14ac:dyDescent="0.25">
      <c r="A394">
        <v>1021</v>
      </c>
      <c r="B394" s="14" t="s">
        <v>789</v>
      </c>
      <c r="C394">
        <v>68</v>
      </c>
      <c r="D394" s="14" t="s">
        <v>24</v>
      </c>
      <c r="E394" s="1">
        <v>45784</v>
      </c>
      <c r="F394" s="1">
        <v>45583</v>
      </c>
      <c r="G394" s="14" t="s">
        <v>790</v>
      </c>
      <c r="H394" s="14" t="s">
        <v>15</v>
      </c>
      <c r="I394" s="14" t="s">
        <v>2384</v>
      </c>
      <c r="J394" s="14" t="str">
        <f>IF(messy_clinic_appointments[[#This Row],[billing_amount]] &lt; 200, "Low", IF(messy_clinic_appointments[[#This Row],[billing_amount]]&lt;= 400, "Medium", "High"))</f>
        <v>High</v>
      </c>
      <c r="K394" s="14" t="s">
        <v>2026</v>
      </c>
      <c r="L394" s="2">
        <f>DATEDIF(messy_clinic_appointments[[#This Row],[booking_date]],messy_clinic_appointments[[#This Row],[appointment_date]],"d")</f>
        <v>201</v>
      </c>
      <c r="M394" s="14" t="str">
        <f>IF(messy_clinic_appointments[[#This Row],[days_to_appointment]]&gt;365, "Review", "OK")</f>
        <v>OK</v>
      </c>
    </row>
    <row r="395" spans="1:13" x14ac:dyDescent="0.25">
      <c r="A395">
        <v>1100</v>
      </c>
      <c r="B395" s="14" t="s">
        <v>791</v>
      </c>
      <c r="C395">
        <v>69</v>
      </c>
      <c r="D395" s="14" t="s">
        <v>2010</v>
      </c>
      <c r="E395" s="1">
        <v>45938</v>
      </c>
      <c r="F395" s="1">
        <v>45796</v>
      </c>
      <c r="G395" s="14" t="s">
        <v>792</v>
      </c>
      <c r="H395" s="14" t="s">
        <v>18</v>
      </c>
      <c r="I395" s="14" t="s">
        <v>2385</v>
      </c>
      <c r="J395" s="14" t="str">
        <f>IF(messy_clinic_appointments[[#This Row],[billing_amount]] &lt; 200, "Low", IF(messy_clinic_appointments[[#This Row],[billing_amount]]&lt;= 400, "Medium", "High"))</f>
        <v>High</v>
      </c>
      <c r="K395" s="14" t="s">
        <v>22</v>
      </c>
      <c r="L395" s="2">
        <f>DATEDIF(messy_clinic_appointments[[#This Row],[booking_date]],messy_clinic_appointments[[#This Row],[appointment_date]],"d")</f>
        <v>142</v>
      </c>
      <c r="M395" s="14" t="str">
        <f>IF(messy_clinic_appointments[[#This Row],[days_to_appointment]]&gt;365, "Review", "OK")</f>
        <v>OK</v>
      </c>
    </row>
    <row r="396" spans="1:13" x14ac:dyDescent="0.25">
      <c r="A396">
        <v>1005</v>
      </c>
      <c r="B396" s="14" t="s">
        <v>793</v>
      </c>
      <c r="C396">
        <v>80</v>
      </c>
      <c r="D396" s="14" t="s">
        <v>2014</v>
      </c>
      <c r="E396" s="1">
        <v>45862</v>
      </c>
      <c r="F396" s="1">
        <v>45673</v>
      </c>
      <c r="G396" s="14" t="s">
        <v>794</v>
      </c>
      <c r="H396" s="14" t="s">
        <v>21</v>
      </c>
      <c r="I396" s="14" t="s">
        <v>2386</v>
      </c>
      <c r="J396" s="14" t="str">
        <f>IF(messy_clinic_appointments[[#This Row],[billing_amount]] &lt; 200, "Low", IF(messy_clinic_appointments[[#This Row],[billing_amount]]&lt;= 400, "Medium", "High"))</f>
        <v>High</v>
      </c>
      <c r="K396" s="14" t="s">
        <v>2026</v>
      </c>
      <c r="L396" s="2">
        <f>DATEDIF(messy_clinic_appointments[[#This Row],[booking_date]],messy_clinic_appointments[[#This Row],[appointment_date]],"d")</f>
        <v>189</v>
      </c>
      <c r="M396" s="14" t="str">
        <f>IF(messy_clinic_appointments[[#This Row],[days_to_appointment]]&gt;365, "Review", "OK")</f>
        <v>OK</v>
      </c>
    </row>
    <row r="397" spans="1:13" x14ac:dyDescent="0.25">
      <c r="A397">
        <v>1071</v>
      </c>
      <c r="B397" s="14" t="s">
        <v>795</v>
      </c>
      <c r="C397">
        <v>73</v>
      </c>
      <c r="D397" s="14" t="s">
        <v>2010</v>
      </c>
      <c r="E397" s="1">
        <v>45893</v>
      </c>
      <c r="F397" s="1">
        <v>45842</v>
      </c>
      <c r="G397" s="14" t="s">
        <v>796</v>
      </c>
      <c r="H397" s="14" t="s">
        <v>18</v>
      </c>
      <c r="I397" s="14" t="s">
        <v>2387</v>
      </c>
      <c r="J397" s="14" t="str">
        <f>IF(messy_clinic_appointments[[#This Row],[billing_amount]] &lt; 200, "Low", IF(messy_clinic_appointments[[#This Row],[billing_amount]]&lt;= 400, "Medium", "High"))</f>
        <v>High</v>
      </c>
      <c r="K397" s="14" t="s">
        <v>22</v>
      </c>
      <c r="L397" s="2">
        <f>DATEDIF(messy_clinic_appointments[[#This Row],[booking_date]],messy_clinic_appointments[[#This Row],[appointment_date]],"d")</f>
        <v>51</v>
      </c>
      <c r="M397" s="14" t="str">
        <f>IF(messy_clinic_appointments[[#This Row],[days_to_appointment]]&gt;365, "Review", "OK")</f>
        <v>OK</v>
      </c>
    </row>
    <row r="398" spans="1:13" x14ac:dyDescent="0.25">
      <c r="A398">
        <v>1070</v>
      </c>
      <c r="B398" s="14" t="s">
        <v>162</v>
      </c>
      <c r="C398">
        <v>78</v>
      </c>
      <c r="D398" s="14" t="s">
        <v>2014</v>
      </c>
      <c r="E398" s="1">
        <v>46010</v>
      </c>
      <c r="F398" s="1">
        <v>45621</v>
      </c>
      <c r="G398" s="14" t="s">
        <v>797</v>
      </c>
      <c r="H398" s="14" t="s">
        <v>12</v>
      </c>
      <c r="I398" s="14" t="s">
        <v>2388</v>
      </c>
      <c r="J398" s="14" t="str">
        <f>IF(messy_clinic_appointments[[#This Row],[billing_amount]] &lt; 200, "Low", IF(messy_clinic_appointments[[#This Row],[billing_amount]]&lt;= 400, "Medium", "High"))</f>
        <v>High</v>
      </c>
      <c r="K398" s="14" t="s">
        <v>2039</v>
      </c>
      <c r="L398" s="2">
        <f>DATEDIF(messy_clinic_appointments[[#This Row],[booking_date]],messy_clinic_appointments[[#This Row],[appointment_date]],"d")</f>
        <v>389</v>
      </c>
      <c r="M398" s="14" t="str">
        <f>IF(messy_clinic_appointments[[#This Row],[days_to_appointment]]&gt;365, "Review", "OK")</f>
        <v>Review</v>
      </c>
    </row>
    <row r="399" spans="1:13" x14ac:dyDescent="0.25">
      <c r="A399">
        <v>1020</v>
      </c>
      <c r="B399" s="14" t="s">
        <v>798</v>
      </c>
      <c r="C399">
        <v>65</v>
      </c>
      <c r="D399" s="14" t="s">
        <v>30</v>
      </c>
      <c r="E399" s="1">
        <v>46046</v>
      </c>
      <c r="F399" s="1">
        <v>46026</v>
      </c>
      <c r="G399" s="14" t="s">
        <v>799</v>
      </c>
      <c r="H399" s="14" t="s">
        <v>12</v>
      </c>
      <c r="I399" s="14" t="s">
        <v>2389</v>
      </c>
      <c r="J399" s="14" t="str">
        <f>IF(messy_clinic_appointments[[#This Row],[billing_amount]] &lt; 200, "Low", IF(messy_clinic_appointments[[#This Row],[billing_amount]]&lt;= 400, "Medium", "High"))</f>
        <v>High</v>
      </c>
      <c r="K399" s="14" t="s">
        <v>22</v>
      </c>
      <c r="L399" s="2">
        <f>DATEDIF(messy_clinic_appointments[[#This Row],[booking_date]],messy_clinic_appointments[[#This Row],[appointment_date]],"d")</f>
        <v>20</v>
      </c>
      <c r="M399" s="14" t="str">
        <f>IF(messy_clinic_appointments[[#This Row],[days_to_appointment]]&gt;365, "Review", "OK")</f>
        <v>OK</v>
      </c>
    </row>
    <row r="400" spans="1:13" x14ac:dyDescent="0.25">
      <c r="A400">
        <v>1074</v>
      </c>
      <c r="B400" s="14" t="s">
        <v>800</v>
      </c>
      <c r="C400">
        <v>87</v>
      </c>
      <c r="D400" s="14" t="s">
        <v>2014</v>
      </c>
      <c r="E400" s="1">
        <v>45961</v>
      </c>
      <c r="F400" s="1">
        <v>45799</v>
      </c>
      <c r="G400" s="14" t="s">
        <v>801</v>
      </c>
      <c r="H400" s="14" t="s">
        <v>12</v>
      </c>
      <c r="I400" s="14" t="s">
        <v>2390</v>
      </c>
      <c r="J400" s="14" t="str">
        <f>IF(messy_clinic_appointments[[#This Row],[billing_amount]] &lt; 200, "Low", IF(messy_clinic_appointments[[#This Row],[billing_amount]]&lt;= 400, "Medium", "High"))</f>
        <v>High</v>
      </c>
      <c r="K400" s="14" t="s">
        <v>28</v>
      </c>
      <c r="L400" s="2">
        <f>DATEDIF(messy_clinic_appointments[[#This Row],[booking_date]],messy_clinic_appointments[[#This Row],[appointment_date]],"d")</f>
        <v>162</v>
      </c>
      <c r="M400" s="14" t="str">
        <f>IF(messy_clinic_appointments[[#This Row],[days_to_appointment]]&gt;365, "Review", "OK")</f>
        <v>OK</v>
      </c>
    </row>
    <row r="401" spans="1:13" x14ac:dyDescent="0.25">
      <c r="A401">
        <v>1001</v>
      </c>
      <c r="B401" s="14" t="s">
        <v>802</v>
      </c>
      <c r="C401">
        <v>78</v>
      </c>
      <c r="D401" s="14" t="s">
        <v>2022</v>
      </c>
      <c r="E401" s="1">
        <v>45887</v>
      </c>
      <c r="F401" s="1">
        <v>45438</v>
      </c>
      <c r="G401" s="14" t="s">
        <v>803</v>
      </c>
      <c r="H401" s="14" t="s">
        <v>18</v>
      </c>
      <c r="I401" s="14" t="s">
        <v>2391</v>
      </c>
      <c r="J401" s="14" t="str">
        <f>IF(messy_clinic_appointments[[#This Row],[billing_amount]] &lt; 200, "Low", IF(messy_clinic_appointments[[#This Row],[billing_amount]]&lt;= 400, "Medium", "High"))</f>
        <v>High</v>
      </c>
      <c r="K401" s="14" t="s">
        <v>2039</v>
      </c>
      <c r="L401" s="2">
        <f>DATEDIF(messy_clinic_appointments[[#This Row],[booking_date]],messy_clinic_appointments[[#This Row],[appointment_date]],"d")</f>
        <v>449</v>
      </c>
      <c r="M401" s="14" t="str">
        <f>IF(messy_clinic_appointments[[#This Row],[days_to_appointment]]&gt;365, "Review", "OK")</f>
        <v>Review</v>
      </c>
    </row>
    <row r="402" spans="1:13" x14ac:dyDescent="0.25">
      <c r="A402">
        <v>1067</v>
      </c>
      <c r="B402" s="14" t="s">
        <v>804</v>
      </c>
      <c r="C402">
        <v>66</v>
      </c>
      <c r="D402" s="14" t="s">
        <v>24</v>
      </c>
      <c r="E402" s="1">
        <v>45800</v>
      </c>
      <c r="F402" s="1">
        <v>45518</v>
      </c>
      <c r="G402" s="14" t="s">
        <v>805</v>
      </c>
      <c r="H402" s="14" t="s">
        <v>12</v>
      </c>
      <c r="I402" s="14" t="s">
        <v>2392</v>
      </c>
      <c r="J402" s="14" t="str">
        <f>IF(messy_clinic_appointments[[#This Row],[billing_amount]] &lt; 200, "Low", IF(messy_clinic_appointments[[#This Row],[billing_amount]]&lt;= 400, "Medium", "High"))</f>
        <v>High</v>
      </c>
      <c r="K402" s="14" t="s">
        <v>2013</v>
      </c>
      <c r="L402" s="2">
        <f>DATEDIF(messy_clinic_appointments[[#This Row],[booking_date]],messy_clinic_appointments[[#This Row],[appointment_date]],"d")</f>
        <v>282</v>
      </c>
      <c r="M402" s="14" t="str">
        <f>IF(messy_clinic_appointments[[#This Row],[days_to_appointment]]&gt;365, "Review", "OK")</f>
        <v>OK</v>
      </c>
    </row>
    <row r="403" spans="1:13" x14ac:dyDescent="0.25">
      <c r="A403">
        <v>1074</v>
      </c>
      <c r="B403" s="14" t="s">
        <v>806</v>
      </c>
      <c r="C403">
        <v>30</v>
      </c>
      <c r="D403" s="14" t="s">
        <v>2008</v>
      </c>
      <c r="E403" s="1">
        <v>45994</v>
      </c>
      <c r="F403" s="1">
        <v>45865</v>
      </c>
      <c r="G403" s="14" t="s">
        <v>807</v>
      </c>
      <c r="H403" s="14" t="s">
        <v>15</v>
      </c>
      <c r="I403" s="14" t="s">
        <v>2393</v>
      </c>
      <c r="J403" s="14" t="str">
        <f>IF(messy_clinic_appointments[[#This Row],[billing_amount]] &lt; 200, "Low", IF(messy_clinic_appointments[[#This Row],[billing_amount]]&lt;= 400, "Medium", "High"))</f>
        <v>High</v>
      </c>
      <c r="K403" s="14" t="s">
        <v>28</v>
      </c>
      <c r="L403" s="2">
        <f>DATEDIF(messy_clinic_appointments[[#This Row],[booking_date]],messy_clinic_appointments[[#This Row],[appointment_date]],"d")</f>
        <v>129</v>
      </c>
      <c r="M403" s="14" t="str">
        <f>IF(messy_clinic_appointments[[#This Row],[days_to_appointment]]&gt;365, "Review", "OK")</f>
        <v>OK</v>
      </c>
    </row>
    <row r="404" spans="1:13" x14ac:dyDescent="0.25">
      <c r="A404">
        <v>1053</v>
      </c>
      <c r="B404" s="14" t="s">
        <v>808</v>
      </c>
      <c r="C404">
        <v>76</v>
      </c>
      <c r="D404" s="14" t="s">
        <v>2008</v>
      </c>
      <c r="E404" s="1">
        <v>45989</v>
      </c>
      <c r="F404" s="1">
        <v>45767</v>
      </c>
      <c r="G404" s="14" t="s">
        <v>809</v>
      </c>
      <c r="H404" s="14" t="s">
        <v>21</v>
      </c>
      <c r="I404" s="14" t="s">
        <v>2394</v>
      </c>
      <c r="J404" s="14" t="str">
        <f>IF(messy_clinic_appointments[[#This Row],[billing_amount]] &lt; 200, "Low", IF(messy_clinic_appointments[[#This Row],[billing_amount]]&lt;= 400, "Medium", "High"))</f>
        <v>High</v>
      </c>
      <c r="K404" s="14" t="s">
        <v>28</v>
      </c>
      <c r="L404" s="2">
        <f>DATEDIF(messy_clinic_appointments[[#This Row],[booking_date]],messy_clinic_appointments[[#This Row],[appointment_date]],"d")</f>
        <v>222</v>
      </c>
      <c r="M404" s="14" t="str">
        <f>IF(messy_clinic_appointments[[#This Row],[days_to_appointment]]&gt;365, "Review", "OK")</f>
        <v>OK</v>
      </c>
    </row>
    <row r="405" spans="1:13" x14ac:dyDescent="0.25">
      <c r="A405">
        <v>1020</v>
      </c>
      <c r="B405" s="14" t="s">
        <v>810</v>
      </c>
      <c r="C405">
        <v>69</v>
      </c>
      <c r="D405" s="14" t="s">
        <v>30</v>
      </c>
      <c r="E405" s="1">
        <v>45904</v>
      </c>
      <c r="F405" s="1">
        <v>45704</v>
      </c>
      <c r="G405" s="14" t="s">
        <v>811</v>
      </c>
      <c r="H405" s="14" t="s">
        <v>21</v>
      </c>
      <c r="I405" s="14" t="s">
        <v>2395</v>
      </c>
      <c r="J405" s="14" t="str">
        <f>IF(messy_clinic_appointments[[#This Row],[billing_amount]] &lt; 200, "Low", IF(messy_clinic_appointments[[#This Row],[billing_amount]]&lt;= 400, "Medium", "High"))</f>
        <v>High</v>
      </c>
      <c r="K405" s="14" t="s">
        <v>22</v>
      </c>
      <c r="L405" s="2">
        <f>DATEDIF(messy_clinic_appointments[[#This Row],[booking_date]],messy_clinic_appointments[[#This Row],[appointment_date]],"d")</f>
        <v>200</v>
      </c>
      <c r="M405" s="14" t="str">
        <f>IF(messy_clinic_appointments[[#This Row],[days_to_appointment]]&gt;365, "Review", "OK")</f>
        <v>OK</v>
      </c>
    </row>
    <row r="406" spans="1:13" x14ac:dyDescent="0.25">
      <c r="A406">
        <v>1013</v>
      </c>
      <c r="B406" s="14" t="s">
        <v>812</v>
      </c>
      <c r="C406">
        <v>27</v>
      </c>
      <c r="D406" s="14" t="s">
        <v>2008</v>
      </c>
      <c r="E406" s="1">
        <v>46027</v>
      </c>
      <c r="F406" s="1">
        <v>45638</v>
      </c>
      <c r="G406" s="14" t="s">
        <v>813</v>
      </c>
      <c r="H406" s="14" t="s">
        <v>18</v>
      </c>
      <c r="I406" s="14" t="s">
        <v>2396</v>
      </c>
      <c r="J406" s="14" t="str">
        <f>IF(messy_clinic_appointments[[#This Row],[billing_amount]] &lt; 200, "Low", IF(messy_clinic_appointments[[#This Row],[billing_amount]]&lt;= 400, "Medium", "High"))</f>
        <v>High</v>
      </c>
      <c r="K406" s="14" t="s">
        <v>2013</v>
      </c>
      <c r="L406" s="2">
        <f>DATEDIF(messy_clinic_appointments[[#This Row],[booking_date]],messy_clinic_appointments[[#This Row],[appointment_date]],"d")</f>
        <v>389</v>
      </c>
      <c r="M406" s="14" t="str">
        <f>IF(messy_clinic_appointments[[#This Row],[days_to_appointment]]&gt;365, "Review", "OK")</f>
        <v>Review</v>
      </c>
    </row>
    <row r="407" spans="1:13" x14ac:dyDescent="0.25">
      <c r="A407">
        <v>1027</v>
      </c>
      <c r="B407" s="14" t="s">
        <v>814</v>
      </c>
      <c r="C407">
        <v>75</v>
      </c>
      <c r="D407" s="14" t="s">
        <v>50</v>
      </c>
      <c r="E407" s="1">
        <v>45761</v>
      </c>
      <c r="F407" s="1">
        <v>45463</v>
      </c>
      <c r="G407" s="14" t="s">
        <v>815</v>
      </c>
      <c r="H407" s="14" t="s">
        <v>15</v>
      </c>
      <c r="I407" s="14" t="s">
        <v>2397</v>
      </c>
      <c r="J407" s="14" t="str">
        <f>IF(messy_clinic_appointments[[#This Row],[billing_amount]] &lt; 200, "Low", IF(messy_clinic_appointments[[#This Row],[billing_amount]]&lt;= 400, "Medium", "High"))</f>
        <v>High</v>
      </c>
      <c r="K407" s="14" t="s">
        <v>2039</v>
      </c>
      <c r="L407" s="2">
        <f>DATEDIF(messy_clinic_appointments[[#This Row],[booking_date]],messy_clinic_appointments[[#This Row],[appointment_date]],"d")</f>
        <v>298</v>
      </c>
      <c r="M407" s="14" t="str">
        <f>IF(messy_clinic_appointments[[#This Row],[days_to_appointment]]&gt;365, "Review", "OK")</f>
        <v>OK</v>
      </c>
    </row>
    <row r="408" spans="1:13" x14ac:dyDescent="0.25">
      <c r="A408">
        <v>1070</v>
      </c>
      <c r="B408" s="14" t="s">
        <v>816</v>
      </c>
      <c r="C408">
        <v>58</v>
      </c>
      <c r="D408" s="14" t="s">
        <v>2011</v>
      </c>
      <c r="E408" s="1">
        <v>45992</v>
      </c>
      <c r="F408" s="1">
        <v>45655</v>
      </c>
      <c r="G408" s="14" t="s">
        <v>817</v>
      </c>
      <c r="H408" s="14" t="s">
        <v>21</v>
      </c>
      <c r="I408" s="14" t="s">
        <v>2398</v>
      </c>
      <c r="J408" s="14" t="str">
        <f>IF(messy_clinic_appointments[[#This Row],[billing_amount]] &lt; 200, "Low", IF(messy_clinic_appointments[[#This Row],[billing_amount]]&lt;= 400, "Medium", "High"))</f>
        <v>High</v>
      </c>
      <c r="K408" s="14" t="s">
        <v>2039</v>
      </c>
      <c r="L408" s="2">
        <f>DATEDIF(messy_clinic_appointments[[#This Row],[booking_date]],messy_clinic_appointments[[#This Row],[appointment_date]],"d")</f>
        <v>337</v>
      </c>
      <c r="M408" s="14" t="str">
        <f>IF(messy_clinic_appointments[[#This Row],[days_to_appointment]]&gt;365, "Review", "OK")</f>
        <v>OK</v>
      </c>
    </row>
    <row r="409" spans="1:13" x14ac:dyDescent="0.25">
      <c r="A409">
        <v>1050</v>
      </c>
      <c r="B409" s="14" t="s">
        <v>818</v>
      </c>
      <c r="C409">
        <v>61</v>
      </c>
      <c r="D409" s="14" t="s">
        <v>30</v>
      </c>
      <c r="E409" s="1">
        <v>45827</v>
      </c>
      <c r="F409" s="1">
        <v>45536</v>
      </c>
      <c r="G409" s="14" t="s">
        <v>819</v>
      </c>
      <c r="H409" s="14" t="s">
        <v>18</v>
      </c>
      <c r="I409" s="14" t="s">
        <v>2399</v>
      </c>
      <c r="J409" s="14" t="str">
        <f>IF(messy_clinic_appointments[[#This Row],[billing_amount]] &lt; 200, "Low", IF(messy_clinic_appointments[[#This Row],[billing_amount]]&lt;= 400, "Medium", "High"))</f>
        <v>High</v>
      </c>
      <c r="K409" s="14" t="s">
        <v>2039</v>
      </c>
      <c r="L409" s="2">
        <f>DATEDIF(messy_clinic_appointments[[#This Row],[booking_date]],messy_clinic_appointments[[#This Row],[appointment_date]],"d")</f>
        <v>291</v>
      </c>
      <c r="M409" s="14" t="str">
        <f>IF(messy_clinic_appointments[[#This Row],[days_to_appointment]]&gt;365, "Review", "OK")</f>
        <v>OK</v>
      </c>
    </row>
    <row r="410" spans="1:13" x14ac:dyDescent="0.25">
      <c r="A410">
        <v>1010</v>
      </c>
      <c r="B410" s="14" t="s">
        <v>820</v>
      </c>
      <c r="C410">
        <v>68</v>
      </c>
      <c r="D410" s="14" t="s">
        <v>30</v>
      </c>
      <c r="E410" s="1">
        <v>45842</v>
      </c>
      <c r="F410" s="1">
        <v>45596</v>
      </c>
      <c r="G410" s="14" t="s">
        <v>821</v>
      </c>
      <c r="H410" s="14" t="s">
        <v>21</v>
      </c>
      <c r="I410" s="14" t="s">
        <v>2400</v>
      </c>
      <c r="J410" s="14" t="str">
        <f>IF(messy_clinic_appointments[[#This Row],[billing_amount]] &lt; 200, "Low", IF(messy_clinic_appointments[[#This Row],[billing_amount]]&lt;= 400, "Medium", "High"))</f>
        <v>High</v>
      </c>
      <c r="K410" s="14" t="s">
        <v>2010</v>
      </c>
      <c r="L410" s="2">
        <f>DATEDIF(messy_clinic_appointments[[#This Row],[booking_date]],messy_clinic_appointments[[#This Row],[appointment_date]],"d")</f>
        <v>246</v>
      </c>
      <c r="M410" s="14" t="str">
        <f>IF(messy_clinic_appointments[[#This Row],[days_to_appointment]]&gt;365, "Review", "OK")</f>
        <v>OK</v>
      </c>
    </row>
    <row r="411" spans="1:13" x14ac:dyDescent="0.25">
      <c r="A411">
        <v>1017</v>
      </c>
      <c r="B411" s="14" t="s">
        <v>822</v>
      </c>
      <c r="C411">
        <v>43</v>
      </c>
      <c r="D411" s="14" t="s">
        <v>2039</v>
      </c>
      <c r="E411" s="1">
        <v>45795</v>
      </c>
      <c r="F411" s="1">
        <v>45495</v>
      </c>
      <c r="G411" s="14" t="s">
        <v>823</v>
      </c>
      <c r="H411" s="14" t="s">
        <v>15</v>
      </c>
      <c r="I411" s="14" t="s">
        <v>2401</v>
      </c>
      <c r="J411" s="14" t="str">
        <f>IF(messy_clinic_appointments[[#This Row],[billing_amount]] &lt; 200, "Low", IF(messy_clinic_appointments[[#This Row],[billing_amount]]&lt;= 400, "Medium", "High"))</f>
        <v>High</v>
      </c>
      <c r="K411" s="14" t="s">
        <v>22</v>
      </c>
      <c r="L411" s="2">
        <f>DATEDIF(messy_clinic_appointments[[#This Row],[booking_date]],messy_clinic_appointments[[#This Row],[appointment_date]],"d")</f>
        <v>300</v>
      </c>
      <c r="M411" s="14" t="str">
        <f>IF(messy_clinic_appointments[[#This Row],[days_to_appointment]]&gt;365, "Review", "OK")</f>
        <v>OK</v>
      </c>
    </row>
    <row r="412" spans="1:13" x14ac:dyDescent="0.25">
      <c r="A412">
        <v>1085</v>
      </c>
      <c r="B412" s="14" t="s">
        <v>824</v>
      </c>
      <c r="C412">
        <v>62</v>
      </c>
      <c r="D412" s="14" t="s">
        <v>2039</v>
      </c>
      <c r="E412" s="1">
        <v>45968</v>
      </c>
      <c r="F412" s="1">
        <v>45515</v>
      </c>
      <c r="G412" s="14" t="s">
        <v>825</v>
      </c>
      <c r="H412" s="14" t="s">
        <v>12</v>
      </c>
      <c r="I412" s="14" t="s">
        <v>2402</v>
      </c>
      <c r="J412" s="14" t="str">
        <f>IF(messy_clinic_appointments[[#This Row],[billing_amount]] &lt; 200, "Low", IF(messy_clinic_appointments[[#This Row],[billing_amount]]&lt;= 400, "Medium", "High"))</f>
        <v>High</v>
      </c>
      <c r="K412" s="14" t="s">
        <v>2026</v>
      </c>
      <c r="L412" s="2">
        <f>DATEDIF(messy_clinic_appointments[[#This Row],[booking_date]],messy_clinic_appointments[[#This Row],[appointment_date]],"d")</f>
        <v>453</v>
      </c>
      <c r="M412" s="14" t="str">
        <f>IF(messy_clinic_appointments[[#This Row],[days_to_appointment]]&gt;365, "Review", "OK")</f>
        <v>Review</v>
      </c>
    </row>
    <row r="413" spans="1:13" x14ac:dyDescent="0.25">
      <c r="A413">
        <v>1023</v>
      </c>
      <c r="B413" s="14" t="s">
        <v>826</v>
      </c>
      <c r="C413">
        <v>45</v>
      </c>
      <c r="D413" s="14" t="s">
        <v>2022</v>
      </c>
      <c r="E413" s="1">
        <v>45829</v>
      </c>
      <c r="F413" s="1">
        <v>45729</v>
      </c>
      <c r="G413" s="14" t="s">
        <v>827</v>
      </c>
      <c r="H413" s="14" t="s">
        <v>12</v>
      </c>
      <c r="I413" s="14" t="s">
        <v>2403</v>
      </c>
      <c r="J413" s="14" t="str">
        <f>IF(messy_clinic_appointments[[#This Row],[billing_amount]] &lt; 200, "Low", IF(messy_clinic_appointments[[#This Row],[billing_amount]]&lt;= 400, "Medium", "High"))</f>
        <v>High</v>
      </c>
      <c r="K413" s="14" t="s">
        <v>28</v>
      </c>
      <c r="L413" s="2">
        <f>DATEDIF(messy_clinic_appointments[[#This Row],[booking_date]],messy_clinic_appointments[[#This Row],[appointment_date]],"d")</f>
        <v>100</v>
      </c>
      <c r="M413" s="14" t="str">
        <f>IF(messy_clinic_appointments[[#This Row],[days_to_appointment]]&gt;365, "Review", "OK")</f>
        <v>OK</v>
      </c>
    </row>
    <row r="414" spans="1:13" x14ac:dyDescent="0.25">
      <c r="A414">
        <v>1066</v>
      </c>
      <c r="B414" s="14" t="s">
        <v>828</v>
      </c>
      <c r="C414">
        <v>85</v>
      </c>
      <c r="D414" s="14" t="s">
        <v>2008</v>
      </c>
      <c r="E414" s="1">
        <v>46000</v>
      </c>
      <c r="F414" s="1">
        <v>45687</v>
      </c>
      <c r="G414" s="14" t="s">
        <v>829</v>
      </c>
      <c r="H414" s="14" t="s">
        <v>21</v>
      </c>
      <c r="I414" s="14" t="s">
        <v>2404</v>
      </c>
      <c r="J414" s="14" t="str">
        <f>IF(messy_clinic_appointments[[#This Row],[billing_amount]] &lt; 200, "Low", IF(messy_clinic_appointments[[#This Row],[billing_amount]]&lt;= 400, "Medium", "High"))</f>
        <v>High</v>
      </c>
      <c r="K414" s="14" t="s">
        <v>2013</v>
      </c>
      <c r="L414" s="2">
        <f>DATEDIF(messy_clinic_appointments[[#This Row],[booking_date]],messy_clinic_appointments[[#This Row],[appointment_date]],"d")</f>
        <v>313</v>
      </c>
      <c r="M414" s="14" t="str">
        <f>IF(messy_clinic_appointments[[#This Row],[days_to_appointment]]&gt;365, "Review", "OK")</f>
        <v>OK</v>
      </c>
    </row>
    <row r="415" spans="1:13" x14ac:dyDescent="0.25">
      <c r="A415">
        <v>1038</v>
      </c>
      <c r="B415" s="14" t="s">
        <v>830</v>
      </c>
      <c r="C415">
        <v>72</v>
      </c>
      <c r="D415" s="14" t="s">
        <v>30</v>
      </c>
      <c r="E415" s="1">
        <v>45896</v>
      </c>
      <c r="F415" s="1">
        <v>45633</v>
      </c>
      <c r="G415" s="14" t="s">
        <v>831</v>
      </c>
      <c r="H415" s="14" t="s">
        <v>18</v>
      </c>
      <c r="I415" s="14" t="s">
        <v>2405</v>
      </c>
      <c r="J415" s="14" t="str">
        <f>IF(messy_clinic_appointments[[#This Row],[billing_amount]] &lt; 200, "Low", IF(messy_clinic_appointments[[#This Row],[billing_amount]]&lt;= 400, "Medium", "High"))</f>
        <v>High</v>
      </c>
      <c r="K415" s="14" t="s">
        <v>28</v>
      </c>
      <c r="L415" s="2">
        <f>DATEDIF(messy_clinic_appointments[[#This Row],[booking_date]],messy_clinic_appointments[[#This Row],[appointment_date]],"d")</f>
        <v>263</v>
      </c>
      <c r="M415" s="14" t="str">
        <f>IF(messy_clinic_appointments[[#This Row],[days_to_appointment]]&gt;365, "Review", "OK")</f>
        <v>OK</v>
      </c>
    </row>
    <row r="416" spans="1:13" x14ac:dyDescent="0.25">
      <c r="A416">
        <v>1048</v>
      </c>
      <c r="B416" s="14" t="s">
        <v>832</v>
      </c>
      <c r="C416">
        <v>63</v>
      </c>
      <c r="D416" s="14" t="s">
        <v>30</v>
      </c>
      <c r="E416" s="1">
        <v>45945</v>
      </c>
      <c r="F416" s="1">
        <v>45690</v>
      </c>
      <c r="G416" s="14" t="s">
        <v>833</v>
      </c>
      <c r="H416" s="14" t="s">
        <v>12</v>
      </c>
      <c r="I416" s="14" t="s">
        <v>2406</v>
      </c>
      <c r="J416" s="14" t="str">
        <f>IF(messy_clinic_appointments[[#This Row],[billing_amount]] &lt; 200, "Low", IF(messy_clinic_appointments[[#This Row],[billing_amount]]&lt;= 400, "Medium", "High"))</f>
        <v>High</v>
      </c>
      <c r="K416" s="14" t="s">
        <v>2013</v>
      </c>
      <c r="L416" s="2">
        <f>DATEDIF(messy_clinic_appointments[[#This Row],[booking_date]],messy_clinic_appointments[[#This Row],[appointment_date]],"d")</f>
        <v>255</v>
      </c>
      <c r="M416" s="14" t="str">
        <f>IF(messy_clinic_appointments[[#This Row],[days_to_appointment]]&gt;365, "Review", "OK")</f>
        <v>OK</v>
      </c>
    </row>
    <row r="417" spans="1:13" x14ac:dyDescent="0.25">
      <c r="A417">
        <v>1082</v>
      </c>
      <c r="B417" s="14" t="s">
        <v>834</v>
      </c>
      <c r="C417">
        <v>67</v>
      </c>
      <c r="D417" s="14" t="s">
        <v>2039</v>
      </c>
      <c r="E417" s="1">
        <v>45857</v>
      </c>
      <c r="F417" s="1">
        <v>45630</v>
      </c>
      <c r="G417" s="14" t="s">
        <v>835</v>
      </c>
      <c r="H417" s="14" t="s">
        <v>21</v>
      </c>
      <c r="I417" s="14" t="s">
        <v>2407</v>
      </c>
      <c r="J417" s="14" t="str">
        <f>IF(messy_clinic_appointments[[#This Row],[billing_amount]] &lt; 200, "Low", IF(messy_clinic_appointments[[#This Row],[billing_amount]]&lt;= 400, "Medium", "High"))</f>
        <v>High</v>
      </c>
      <c r="K417" s="14" t="s">
        <v>28</v>
      </c>
      <c r="L417" s="2">
        <f>DATEDIF(messy_clinic_appointments[[#This Row],[booking_date]],messy_clinic_appointments[[#This Row],[appointment_date]],"d")</f>
        <v>227</v>
      </c>
      <c r="M417" s="14" t="str">
        <f>IF(messy_clinic_appointments[[#This Row],[days_to_appointment]]&gt;365, "Review", "OK")</f>
        <v>OK</v>
      </c>
    </row>
    <row r="418" spans="1:13" x14ac:dyDescent="0.25">
      <c r="A418">
        <v>1085</v>
      </c>
      <c r="B418" s="14" t="s">
        <v>836</v>
      </c>
      <c r="C418">
        <v>69</v>
      </c>
      <c r="D418" s="14" t="s">
        <v>2010</v>
      </c>
      <c r="E418" s="1">
        <v>46097</v>
      </c>
      <c r="F418" s="1">
        <v>45462</v>
      </c>
      <c r="G418" s="14" t="s">
        <v>837</v>
      </c>
      <c r="H418" s="14" t="s">
        <v>21</v>
      </c>
      <c r="I418" s="14" t="s">
        <v>2408</v>
      </c>
      <c r="J418" s="14" t="str">
        <f>IF(messy_clinic_appointments[[#This Row],[billing_amount]] &lt; 200, "Low", IF(messy_clinic_appointments[[#This Row],[billing_amount]]&lt;= 400, "Medium", "High"))</f>
        <v>High</v>
      </c>
      <c r="K418" s="14" t="s">
        <v>2026</v>
      </c>
      <c r="L418" s="2">
        <f>DATEDIF(messy_clinic_appointments[[#This Row],[booking_date]],messy_clinic_appointments[[#This Row],[appointment_date]],"d")</f>
        <v>635</v>
      </c>
      <c r="M418" s="14" t="str">
        <f>IF(messy_clinic_appointments[[#This Row],[days_to_appointment]]&gt;365, "Review", "OK")</f>
        <v>Review</v>
      </c>
    </row>
    <row r="419" spans="1:13" x14ac:dyDescent="0.25">
      <c r="A419">
        <v>1046</v>
      </c>
      <c r="B419" s="14" t="s">
        <v>838</v>
      </c>
      <c r="C419">
        <v>24</v>
      </c>
      <c r="D419" s="14" t="s">
        <v>2011</v>
      </c>
      <c r="E419" s="1">
        <v>45857</v>
      </c>
      <c r="F419" s="1">
        <v>45533</v>
      </c>
      <c r="G419" s="14" t="s">
        <v>839</v>
      </c>
      <c r="H419" s="14" t="s">
        <v>15</v>
      </c>
      <c r="I419" s="14" t="s">
        <v>2409</v>
      </c>
      <c r="J419" s="14" t="str">
        <f>IF(messy_clinic_appointments[[#This Row],[billing_amount]] &lt; 200, "Low", IF(messy_clinic_appointments[[#This Row],[billing_amount]]&lt;= 400, "Medium", "High"))</f>
        <v>High</v>
      </c>
      <c r="K419" s="14" t="s">
        <v>2039</v>
      </c>
      <c r="L419" s="2">
        <f>DATEDIF(messy_clinic_appointments[[#This Row],[booking_date]],messy_clinic_appointments[[#This Row],[appointment_date]],"d")</f>
        <v>324</v>
      </c>
      <c r="M419" s="14" t="str">
        <f>IF(messy_clinic_appointments[[#This Row],[days_to_appointment]]&gt;365, "Review", "OK")</f>
        <v>OK</v>
      </c>
    </row>
    <row r="420" spans="1:13" x14ac:dyDescent="0.25">
      <c r="A420">
        <v>1093</v>
      </c>
      <c r="B420" s="14" t="s">
        <v>840</v>
      </c>
      <c r="C420">
        <v>87</v>
      </c>
      <c r="D420" s="14" t="s">
        <v>2011</v>
      </c>
      <c r="E420" s="1">
        <v>46044</v>
      </c>
      <c r="F420" s="1">
        <v>45599</v>
      </c>
      <c r="G420" s="14" t="s">
        <v>841</v>
      </c>
      <c r="H420" s="14" t="s">
        <v>15</v>
      </c>
      <c r="I420" s="14" t="s">
        <v>2410</v>
      </c>
      <c r="J420" s="14" t="str">
        <f>IF(messy_clinic_appointments[[#This Row],[billing_amount]] &lt; 200, "Low", IF(messy_clinic_appointments[[#This Row],[billing_amount]]&lt;= 400, "Medium", "High"))</f>
        <v>High</v>
      </c>
      <c r="K420" s="14" t="s">
        <v>2039</v>
      </c>
      <c r="L420" s="2">
        <f>DATEDIF(messy_clinic_appointments[[#This Row],[booking_date]],messy_clinic_appointments[[#This Row],[appointment_date]],"d")</f>
        <v>445</v>
      </c>
      <c r="M420" s="14" t="str">
        <f>IF(messy_clinic_appointments[[#This Row],[days_to_appointment]]&gt;365, "Review", "OK")</f>
        <v>Review</v>
      </c>
    </row>
    <row r="421" spans="1:13" x14ac:dyDescent="0.25">
      <c r="A421">
        <v>1072</v>
      </c>
      <c r="B421" s="14" t="s">
        <v>842</v>
      </c>
      <c r="C421">
        <v>68</v>
      </c>
      <c r="D421" s="14" t="s">
        <v>2010</v>
      </c>
      <c r="E421" s="1">
        <v>46032</v>
      </c>
      <c r="F421" s="1">
        <v>45911</v>
      </c>
      <c r="G421" s="14" t="s">
        <v>843</v>
      </c>
      <c r="H421" s="14" t="s">
        <v>12</v>
      </c>
      <c r="I421" s="14" t="s">
        <v>2411</v>
      </c>
      <c r="J421" s="14" t="str">
        <f>IF(messy_clinic_appointments[[#This Row],[billing_amount]] &lt; 200, "Low", IF(messy_clinic_appointments[[#This Row],[billing_amount]]&lt;= 400, "Medium", "High"))</f>
        <v>High</v>
      </c>
      <c r="K421" s="14" t="s">
        <v>2026</v>
      </c>
      <c r="L421" s="2">
        <f>DATEDIF(messy_clinic_appointments[[#This Row],[booking_date]],messy_clinic_appointments[[#This Row],[appointment_date]],"d")</f>
        <v>121</v>
      </c>
      <c r="M421" s="14" t="str">
        <f>IF(messy_clinic_appointments[[#This Row],[days_to_appointment]]&gt;365, "Review", "OK")</f>
        <v>OK</v>
      </c>
    </row>
    <row r="422" spans="1:13" x14ac:dyDescent="0.25">
      <c r="A422">
        <v>1089</v>
      </c>
      <c r="B422" s="14" t="s">
        <v>844</v>
      </c>
      <c r="C422">
        <v>80</v>
      </c>
      <c r="D422" s="14" t="s">
        <v>2010</v>
      </c>
      <c r="E422" s="1">
        <v>46000</v>
      </c>
      <c r="F422" s="1">
        <v>45951</v>
      </c>
      <c r="G422" s="14" t="s">
        <v>845</v>
      </c>
      <c r="H422" s="14" t="s">
        <v>12</v>
      </c>
      <c r="I422" s="14" t="s">
        <v>2412</v>
      </c>
      <c r="J422" s="14" t="str">
        <f>IF(messy_clinic_appointments[[#This Row],[billing_amount]] &lt; 200, "Low", IF(messy_clinic_appointments[[#This Row],[billing_amount]]&lt;= 400, "Medium", "High"))</f>
        <v>High</v>
      </c>
      <c r="K422" s="14" t="s">
        <v>2039</v>
      </c>
      <c r="L422" s="2">
        <f>DATEDIF(messy_clinic_appointments[[#This Row],[booking_date]],messy_clinic_appointments[[#This Row],[appointment_date]],"d")</f>
        <v>49</v>
      </c>
      <c r="M422" s="14" t="str">
        <f>IF(messy_clinic_appointments[[#This Row],[days_to_appointment]]&gt;365, "Review", "OK")</f>
        <v>OK</v>
      </c>
    </row>
    <row r="423" spans="1:13" x14ac:dyDescent="0.25">
      <c r="A423">
        <v>1007</v>
      </c>
      <c r="B423" s="14" t="s">
        <v>846</v>
      </c>
      <c r="C423">
        <v>39</v>
      </c>
      <c r="D423" s="14" t="s">
        <v>30</v>
      </c>
      <c r="E423" s="1">
        <v>46031</v>
      </c>
      <c r="F423" s="1">
        <v>45513</v>
      </c>
      <c r="G423" s="14" t="s">
        <v>847</v>
      </c>
      <c r="H423" s="14" t="s">
        <v>12</v>
      </c>
      <c r="I423" s="14" t="s">
        <v>2413</v>
      </c>
      <c r="J423" s="14" t="str">
        <f>IF(messy_clinic_appointments[[#This Row],[billing_amount]] &lt; 200, "Low", IF(messy_clinic_appointments[[#This Row],[billing_amount]]&lt;= 400, "Medium", "High"))</f>
        <v>High</v>
      </c>
      <c r="K423" s="14" t="s">
        <v>2039</v>
      </c>
      <c r="L423" s="2">
        <f>DATEDIF(messy_clinic_appointments[[#This Row],[booking_date]],messy_clinic_appointments[[#This Row],[appointment_date]],"d")</f>
        <v>518</v>
      </c>
      <c r="M423" s="14" t="str">
        <f>IF(messy_clinic_appointments[[#This Row],[days_to_appointment]]&gt;365, "Review", "OK")</f>
        <v>Review</v>
      </c>
    </row>
    <row r="424" spans="1:13" x14ac:dyDescent="0.25">
      <c r="A424">
        <v>1030</v>
      </c>
      <c r="B424" s="14" t="s">
        <v>848</v>
      </c>
      <c r="C424">
        <v>18</v>
      </c>
      <c r="D424" s="14" t="s">
        <v>2014</v>
      </c>
      <c r="E424" s="1">
        <v>46079</v>
      </c>
      <c r="F424" s="1">
        <v>45907</v>
      </c>
      <c r="G424" s="14" t="s">
        <v>849</v>
      </c>
      <c r="H424" s="14" t="s">
        <v>15</v>
      </c>
      <c r="I424" s="14" t="s">
        <v>2414</v>
      </c>
      <c r="J424" s="14" t="str">
        <f>IF(messy_clinic_appointments[[#This Row],[billing_amount]] &lt; 200, "Low", IF(messy_clinic_appointments[[#This Row],[billing_amount]]&lt;= 400, "Medium", "High"))</f>
        <v>High</v>
      </c>
      <c r="K424" s="14" t="s">
        <v>2010</v>
      </c>
      <c r="L424" s="2">
        <f>DATEDIF(messy_clinic_appointments[[#This Row],[booking_date]],messy_clinic_appointments[[#This Row],[appointment_date]],"d")</f>
        <v>172</v>
      </c>
      <c r="M424" s="14" t="str">
        <f>IF(messy_clinic_appointments[[#This Row],[days_to_appointment]]&gt;365, "Review", "OK")</f>
        <v>OK</v>
      </c>
    </row>
    <row r="425" spans="1:13" x14ac:dyDescent="0.25">
      <c r="A425">
        <v>1088</v>
      </c>
      <c r="B425" s="14" t="s">
        <v>850</v>
      </c>
      <c r="C425">
        <v>80</v>
      </c>
      <c r="D425" s="14" t="s">
        <v>2014</v>
      </c>
      <c r="E425" s="1">
        <v>46087</v>
      </c>
      <c r="F425" s="1">
        <v>45826</v>
      </c>
      <c r="G425" s="14" t="s">
        <v>851</v>
      </c>
      <c r="H425" s="14" t="s">
        <v>12</v>
      </c>
      <c r="I425" s="14" t="s">
        <v>2415</v>
      </c>
      <c r="J425" s="14" t="str">
        <f>IF(messy_clinic_appointments[[#This Row],[billing_amount]] &lt; 200, "Low", IF(messy_clinic_appointments[[#This Row],[billing_amount]]&lt;= 400, "Medium", "High"))</f>
        <v>High</v>
      </c>
      <c r="K425" s="14" t="s">
        <v>2013</v>
      </c>
      <c r="L425" s="2">
        <f>DATEDIF(messy_clinic_appointments[[#This Row],[booking_date]],messy_clinic_appointments[[#This Row],[appointment_date]],"d")</f>
        <v>261</v>
      </c>
      <c r="M425" s="14" t="str">
        <f>IF(messy_clinic_appointments[[#This Row],[days_to_appointment]]&gt;365, "Review", "OK")</f>
        <v>OK</v>
      </c>
    </row>
    <row r="426" spans="1:13" x14ac:dyDescent="0.25">
      <c r="A426">
        <v>1077</v>
      </c>
      <c r="B426" s="14" t="s">
        <v>852</v>
      </c>
      <c r="C426">
        <v>30</v>
      </c>
      <c r="D426" s="14" t="s">
        <v>2022</v>
      </c>
      <c r="E426" s="1">
        <v>45882</v>
      </c>
      <c r="F426" s="1">
        <v>45698</v>
      </c>
      <c r="G426" s="14" t="s">
        <v>853</v>
      </c>
      <c r="H426" s="14" t="s">
        <v>12</v>
      </c>
      <c r="I426" s="14" t="s">
        <v>2416</v>
      </c>
      <c r="J426" s="14" t="str">
        <f>IF(messy_clinic_appointments[[#This Row],[billing_amount]] &lt; 200, "Low", IF(messy_clinic_appointments[[#This Row],[billing_amount]]&lt;= 400, "Medium", "High"))</f>
        <v>High</v>
      </c>
      <c r="K426" s="14" t="s">
        <v>2010</v>
      </c>
      <c r="L426" s="2">
        <f>DATEDIF(messy_clinic_appointments[[#This Row],[booking_date]],messy_clinic_appointments[[#This Row],[appointment_date]],"d")</f>
        <v>184</v>
      </c>
      <c r="M426" s="14" t="str">
        <f>IF(messy_clinic_appointments[[#This Row],[days_to_appointment]]&gt;365, "Review", "OK")</f>
        <v>OK</v>
      </c>
    </row>
    <row r="427" spans="1:13" x14ac:dyDescent="0.25">
      <c r="A427">
        <v>1019</v>
      </c>
      <c r="B427" s="14" t="s">
        <v>854</v>
      </c>
      <c r="C427">
        <v>33</v>
      </c>
      <c r="D427" s="14" t="s">
        <v>2008</v>
      </c>
      <c r="E427" s="1">
        <v>45821</v>
      </c>
      <c r="F427" s="1">
        <v>45452</v>
      </c>
      <c r="G427" s="14" t="s">
        <v>855</v>
      </c>
      <c r="H427" s="14" t="s">
        <v>21</v>
      </c>
      <c r="I427" s="14" t="s">
        <v>24</v>
      </c>
      <c r="J427" s="14" t="str">
        <f>IF(messy_clinic_appointments[[#This Row],[billing_amount]] &lt; 200, "Low", IF(messy_clinic_appointments[[#This Row],[billing_amount]]&lt;= 400, "Medium", "High"))</f>
        <v>High</v>
      </c>
      <c r="K427" s="14" t="s">
        <v>22</v>
      </c>
      <c r="L427" s="2">
        <f>DATEDIF(messy_clinic_appointments[[#This Row],[booking_date]],messy_clinic_appointments[[#This Row],[appointment_date]],"d")</f>
        <v>369</v>
      </c>
      <c r="M427" s="14" t="str">
        <f>IF(messy_clinic_appointments[[#This Row],[days_to_appointment]]&gt;365, "Review", "OK")</f>
        <v>Review</v>
      </c>
    </row>
    <row r="428" spans="1:13" x14ac:dyDescent="0.25">
      <c r="A428">
        <v>1065</v>
      </c>
      <c r="B428" s="14" t="s">
        <v>856</v>
      </c>
      <c r="C428">
        <v>31</v>
      </c>
      <c r="D428" s="14" t="s">
        <v>2010</v>
      </c>
      <c r="E428" s="1">
        <v>46085</v>
      </c>
      <c r="F428" s="1">
        <v>46050</v>
      </c>
      <c r="G428" s="14" t="s">
        <v>857</v>
      </c>
      <c r="H428" s="14" t="s">
        <v>15</v>
      </c>
      <c r="I428" s="14" t="s">
        <v>2417</v>
      </c>
      <c r="J428" s="14" t="str">
        <f>IF(messy_clinic_appointments[[#This Row],[billing_amount]] &lt; 200, "Low", IF(messy_clinic_appointments[[#This Row],[billing_amount]]&lt;= 400, "Medium", "High"))</f>
        <v>High</v>
      </c>
      <c r="K428" s="14" t="s">
        <v>2013</v>
      </c>
      <c r="L428" s="2">
        <f>DATEDIF(messy_clinic_appointments[[#This Row],[booking_date]],messy_clinic_appointments[[#This Row],[appointment_date]],"d")</f>
        <v>35</v>
      </c>
      <c r="M428" s="14" t="str">
        <f>IF(messy_clinic_appointments[[#This Row],[days_to_appointment]]&gt;365, "Review", "OK")</f>
        <v>OK</v>
      </c>
    </row>
    <row r="429" spans="1:13" x14ac:dyDescent="0.25">
      <c r="A429">
        <v>1081</v>
      </c>
      <c r="B429" s="14" t="s">
        <v>858</v>
      </c>
      <c r="C429">
        <v>27</v>
      </c>
      <c r="D429" s="14" t="s">
        <v>2039</v>
      </c>
      <c r="E429" s="1">
        <v>45854</v>
      </c>
      <c r="F429" s="1">
        <v>45821</v>
      </c>
      <c r="G429" s="14" t="s">
        <v>859</v>
      </c>
      <c r="H429" s="14" t="s">
        <v>15</v>
      </c>
      <c r="I429" s="14" t="s">
        <v>2418</v>
      </c>
      <c r="J429" s="14" t="str">
        <f>IF(messy_clinic_appointments[[#This Row],[billing_amount]] &lt; 200, "Low", IF(messy_clinic_appointments[[#This Row],[billing_amount]]&lt;= 400, "Medium", "High"))</f>
        <v>High</v>
      </c>
      <c r="K429" s="14" t="s">
        <v>28</v>
      </c>
      <c r="L429" s="2">
        <f>DATEDIF(messy_clinic_appointments[[#This Row],[booking_date]],messy_clinic_appointments[[#This Row],[appointment_date]],"d")</f>
        <v>33</v>
      </c>
      <c r="M429" s="14" t="str">
        <f>IF(messy_clinic_appointments[[#This Row],[days_to_appointment]]&gt;365, "Review", "OK")</f>
        <v>OK</v>
      </c>
    </row>
    <row r="430" spans="1:13" x14ac:dyDescent="0.25">
      <c r="A430">
        <v>1058</v>
      </c>
      <c r="B430" s="14" t="s">
        <v>860</v>
      </c>
      <c r="C430">
        <v>21</v>
      </c>
      <c r="D430" s="14" t="s">
        <v>2039</v>
      </c>
      <c r="E430" s="1">
        <v>45916</v>
      </c>
      <c r="F430" s="1">
        <v>45739</v>
      </c>
      <c r="G430" s="14" t="s">
        <v>861</v>
      </c>
      <c r="H430" s="14" t="s">
        <v>12</v>
      </c>
      <c r="I430" s="14" t="s">
        <v>2419</v>
      </c>
      <c r="J430" s="14" t="str">
        <f>IF(messy_clinic_appointments[[#This Row],[billing_amount]] &lt; 200, "Low", IF(messy_clinic_appointments[[#This Row],[billing_amount]]&lt;= 400, "Medium", "High"))</f>
        <v>High</v>
      </c>
      <c r="K430" s="14" t="s">
        <v>2039</v>
      </c>
      <c r="L430" s="2">
        <f>DATEDIF(messy_clinic_appointments[[#This Row],[booking_date]],messy_clinic_appointments[[#This Row],[appointment_date]],"d")</f>
        <v>177</v>
      </c>
      <c r="M430" s="14" t="str">
        <f>IF(messy_clinic_appointments[[#This Row],[days_to_appointment]]&gt;365, "Review", "OK")</f>
        <v>OK</v>
      </c>
    </row>
    <row r="431" spans="1:13" x14ac:dyDescent="0.25">
      <c r="A431">
        <v>1034</v>
      </c>
      <c r="B431" s="14" t="s">
        <v>862</v>
      </c>
      <c r="C431">
        <v>75</v>
      </c>
      <c r="D431" s="14" t="s">
        <v>2011</v>
      </c>
      <c r="E431" s="1">
        <v>45813</v>
      </c>
      <c r="F431" s="1">
        <v>45677</v>
      </c>
      <c r="G431" s="14" t="s">
        <v>863</v>
      </c>
      <c r="H431" s="14" t="s">
        <v>12</v>
      </c>
      <c r="I431" s="14" t="s">
        <v>2420</v>
      </c>
      <c r="J431" s="14" t="str">
        <f>IF(messy_clinic_appointments[[#This Row],[billing_amount]] &lt; 200, "Low", IF(messy_clinic_appointments[[#This Row],[billing_amount]]&lt;= 400, "Medium", "High"))</f>
        <v>High</v>
      </c>
      <c r="K431" s="14" t="s">
        <v>2010</v>
      </c>
      <c r="L431" s="2">
        <f>DATEDIF(messy_clinic_appointments[[#This Row],[booking_date]],messy_clinic_appointments[[#This Row],[appointment_date]],"d")</f>
        <v>136</v>
      </c>
      <c r="M431" s="14" t="str">
        <f>IF(messy_clinic_appointments[[#This Row],[days_to_appointment]]&gt;365, "Review", "OK")</f>
        <v>OK</v>
      </c>
    </row>
    <row r="432" spans="1:13" x14ac:dyDescent="0.25">
      <c r="A432">
        <v>1068</v>
      </c>
      <c r="B432" s="14" t="s">
        <v>864</v>
      </c>
      <c r="C432">
        <v>61</v>
      </c>
      <c r="D432" s="14" t="s">
        <v>2008</v>
      </c>
      <c r="E432" s="1">
        <v>46006</v>
      </c>
      <c r="F432" s="1">
        <v>45483</v>
      </c>
      <c r="G432" s="14" t="s">
        <v>865</v>
      </c>
      <c r="H432" s="14" t="s">
        <v>18</v>
      </c>
      <c r="I432" s="14" t="s">
        <v>24</v>
      </c>
      <c r="J432" s="14" t="str">
        <f>IF(messy_clinic_appointments[[#This Row],[billing_amount]] &lt; 200, "Low", IF(messy_clinic_appointments[[#This Row],[billing_amount]]&lt;= 400, "Medium", "High"))</f>
        <v>High</v>
      </c>
      <c r="K432" s="14" t="s">
        <v>2010</v>
      </c>
      <c r="L432" s="2">
        <f>DATEDIF(messy_clinic_appointments[[#This Row],[booking_date]],messy_clinic_appointments[[#This Row],[appointment_date]],"d")</f>
        <v>523</v>
      </c>
      <c r="M432" s="14" t="str">
        <f>IF(messy_clinic_appointments[[#This Row],[days_to_appointment]]&gt;365, "Review", "OK")</f>
        <v>Review</v>
      </c>
    </row>
    <row r="433" spans="1:13" x14ac:dyDescent="0.25">
      <c r="A433">
        <v>1030</v>
      </c>
      <c r="B433" s="14" t="s">
        <v>866</v>
      </c>
      <c r="C433">
        <v>80</v>
      </c>
      <c r="D433" s="14" t="s">
        <v>2022</v>
      </c>
      <c r="E433" s="1">
        <v>46063</v>
      </c>
      <c r="F433" s="1">
        <v>45674</v>
      </c>
      <c r="G433" s="14" t="s">
        <v>867</v>
      </c>
      <c r="H433" s="14" t="s">
        <v>12</v>
      </c>
      <c r="I433" s="14" t="s">
        <v>2421</v>
      </c>
      <c r="J433" s="14" t="str">
        <f>IF(messy_clinic_appointments[[#This Row],[billing_amount]] &lt; 200, "Low", IF(messy_clinic_appointments[[#This Row],[billing_amount]]&lt;= 400, "Medium", "High"))</f>
        <v>High</v>
      </c>
      <c r="K433" s="14" t="s">
        <v>2026</v>
      </c>
      <c r="L433" s="2">
        <f>DATEDIF(messy_clinic_appointments[[#This Row],[booking_date]],messy_clinic_appointments[[#This Row],[appointment_date]],"d")</f>
        <v>389</v>
      </c>
      <c r="M433" s="14" t="str">
        <f>IF(messy_clinic_appointments[[#This Row],[days_to_appointment]]&gt;365, "Review", "OK")</f>
        <v>Review</v>
      </c>
    </row>
    <row r="434" spans="1:13" x14ac:dyDescent="0.25">
      <c r="A434">
        <v>1013</v>
      </c>
      <c r="B434" s="14" t="s">
        <v>868</v>
      </c>
      <c r="C434">
        <v>86</v>
      </c>
      <c r="D434" s="14" t="s">
        <v>2022</v>
      </c>
      <c r="E434" s="1">
        <v>45907</v>
      </c>
      <c r="F434" s="1">
        <v>45668</v>
      </c>
      <c r="G434" s="14" t="s">
        <v>869</v>
      </c>
      <c r="H434" s="14" t="s">
        <v>18</v>
      </c>
      <c r="I434" s="14" t="s">
        <v>2422</v>
      </c>
      <c r="J434" s="14" t="str">
        <f>IF(messy_clinic_appointments[[#This Row],[billing_amount]] &lt; 200, "Low", IF(messy_clinic_appointments[[#This Row],[billing_amount]]&lt;= 400, "Medium", "High"))</f>
        <v>High</v>
      </c>
      <c r="K434" s="14" t="s">
        <v>2039</v>
      </c>
      <c r="L434" s="2">
        <f>DATEDIF(messy_clinic_appointments[[#This Row],[booking_date]],messy_clinic_appointments[[#This Row],[appointment_date]],"d")</f>
        <v>239</v>
      </c>
      <c r="M434" s="14" t="str">
        <f>IF(messy_clinic_appointments[[#This Row],[days_to_appointment]]&gt;365, "Review", "OK")</f>
        <v>OK</v>
      </c>
    </row>
    <row r="435" spans="1:13" x14ac:dyDescent="0.25">
      <c r="A435">
        <v>1092</v>
      </c>
      <c r="B435" s="14" t="s">
        <v>870</v>
      </c>
      <c r="C435">
        <v>42</v>
      </c>
      <c r="D435" s="14" t="s">
        <v>2014</v>
      </c>
      <c r="E435" s="1">
        <v>45767</v>
      </c>
      <c r="F435" s="1">
        <v>45574</v>
      </c>
      <c r="G435" s="14" t="s">
        <v>871</v>
      </c>
      <c r="H435" s="14" t="s">
        <v>12</v>
      </c>
      <c r="I435" s="14" t="s">
        <v>2423</v>
      </c>
      <c r="J435" s="14" t="str">
        <f>IF(messy_clinic_appointments[[#This Row],[billing_amount]] &lt; 200, "Low", IF(messy_clinic_appointments[[#This Row],[billing_amount]]&lt;= 400, "Medium", "High"))</f>
        <v>High</v>
      </c>
      <c r="K435" s="14" t="s">
        <v>2010</v>
      </c>
      <c r="L435" s="2">
        <f>DATEDIF(messy_clinic_appointments[[#This Row],[booking_date]],messy_clinic_appointments[[#This Row],[appointment_date]],"d")</f>
        <v>193</v>
      </c>
      <c r="M435" s="14" t="str">
        <f>IF(messy_clinic_appointments[[#This Row],[days_to_appointment]]&gt;365, "Review", "OK")</f>
        <v>OK</v>
      </c>
    </row>
    <row r="436" spans="1:13" x14ac:dyDescent="0.25">
      <c r="A436">
        <v>1027</v>
      </c>
      <c r="B436" s="14" t="s">
        <v>872</v>
      </c>
      <c r="C436">
        <v>63</v>
      </c>
      <c r="D436" s="14" t="s">
        <v>2014</v>
      </c>
      <c r="E436" s="1">
        <v>45847</v>
      </c>
      <c r="F436" s="1">
        <v>45504</v>
      </c>
      <c r="G436" s="14" t="s">
        <v>873</v>
      </c>
      <c r="H436" s="14" t="s">
        <v>15</v>
      </c>
      <c r="I436" s="14" t="s">
        <v>2424</v>
      </c>
      <c r="J436" s="14" t="str">
        <f>IF(messy_clinic_appointments[[#This Row],[billing_amount]] &lt; 200, "Low", IF(messy_clinic_appointments[[#This Row],[billing_amount]]&lt;= 400, "Medium", "High"))</f>
        <v>High</v>
      </c>
      <c r="K436" s="14" t="s">
        <v>2013</v>
      </c>
      <c r="L436" s="2">
        <f>DATEDIF(messy_clinic_appointments[[#This Row],[booking_date]],messy_clinic_appointments[[#This Row],[appointment_date]],"d")</f>
        <v>343</v>
      </c>
      <c r="M436" s="14" t="str">
        <f>IF(messy_clinic_appointments[[#This Row],[days_to_appointment]]&gt;365, "Review", "OK")</f>
        <v>OK</v>
      </c>
    </row>
    <row r="437" spans="1:13" x14ac:dyDescent="0.25">
      <c r="A437">
        <v>1067</v>
      </c>
      <c r="B437" s="14" t="s">
        <v>557</v>
      </c>
      <c r="C437">
        <v>54</v>
      </c>
      <c r="D437" s="14" t="s">
        <v>30</v>
      </c>
      <c r="E437" s="1">
        <v>45911</v>
      </c>
      <c r="F437" s="1">
        <v>45905</v>
      </c>
      <c r="G437" s="14" t="s">
        <v>874</v>
      </c>
      <c r="H437" s="14" t="s">
        <v>12</v>
      </c>
      <c r="I437" s="14" t="s">
        <v>2425</v>
      </c>
      <c r="J437" s="14" t="str">
        <f>IF(messy_clinic_appointments[[#This Row],[billing_amount]] &lt; 200, "Low", IF(messy_clinic_appointments[[#This Row],[billing_amount]]&lt;= 400, "Medium", "High"))</f>
        <v>High</v>
      </c>
      <c r="K437" s="14" t="s">
        <v>2039</v>
      </c>
      <c r="L437" s="2">
        <f>DATEDIF(messy_clinic_appointments[[#This Row],[booking_date]],messy_clinic_appointments[[#This Row],[appointment_date]],"d")</f>
        <v>6</v>
      </c>
      <c r="M437" s="14" t="str">
        <f>IF(messy_clinic_appointments[[#This Row],[days_to_appointment]]&gt;365, "Review", "OK")</f>
        <v>OK</v>
      </c>
    </row>
    <row r="438" spans="1:13" x14ac:dyDescent="0.25">
      <c r="A438">
        <v>1059</v>
      </c>
      <c r="B438" s="14" t="s">
        <v>875</v>
      </c>
      <c r="C438">
        <v>34</v>
      </c>
      <c r="D438" s="14" t="s">
        <v>50</v>
      </c>
      <c r="E438" s="1">
        <v>45910</v>
      </c>
      <c r="F438" s="1">
        <v>45595</v>
      </c>
      <c r="G438" s="14" t="s">
        <v>876</v>
      </c>
      <c r="H438" s="14" t="s">
        <v>18</v>
      </c>
      <c r="I438" s="14" t="s">
        <v>2426</v>
      </c>
      <c r="J438" s="14" t="str">
        <f>IF(messy_clinic_appointments[[#This Row],[billing_amount]] &lt; 200, "Low", IF(messy_clinic_appointments[[#This Row],[billing_amount]]&lt;= 400, "Medium", "High"))</f>
        <v>High</v>
      </c>
      <c r="K438" s="14" t="s">
        <v>28</v>
      </c>
      <c r="L438" s="2">
        <f>DATEDIF(messy_clinic_appointments[[#This Row],[booking_date]],messy_clinic_appointments[[#This Row],[appointment_date]],"d")</f>
        <v>315</v>
      </c>
      <c r="M438" s="14" t="str">
        <f>IF(messy_clinic_appointments[[#This Row],[days_to_appointment]]&gt;365, "Review", "OK")</f>
        <v>OK</v>
      </c>
    </row>
    <row r="439" spans="1:13" x14ac:dyDescent="0.25">
      <c r="A439">
        <v>1040</v>
      </c>
      <c r="B439" s="14" t="s">
        <v>877</v>
      </c>
      <c r="C439">
        <v>22</v>
      </c>
      <c r="D439" s="14" t="s">
        <v>30</v>
      </c>
      <c r="E439" s="1">
        <v>46006</v>
      </c>
      <c r="F439" s="1">
        <v>45430</v>
      </c>
      <c r="G439" s="14" t="s">
        <v>878</v>
      </c>
      <c r="H439" s="14" t="s">
        <v>15</v>
      </c>
      <c r="I439" s="14" t="s">
        <v>2427</v>
      </c>
      <c r="J439" s="14" t="str">
        <f>IF(messy_clinic_appointments[[#This Row],[billing_amount]] &lt; 200, "Low", IF(messy_clinic_appointments[[#This Row],[billing_amount]]&lt;= 400, "Medium", "High"))</f>
        <v>High</v>
      </c>
      <c r="K439" s="14" t="s">
        <v>2026</v>
      </c>
      <c r="L439" s="2">
        <f>DATEDIF(messy_clinic_appointments[[#This Row],[booking_date]],messy_clinic_appointments[[#This Row],[appointment_date]],"d")</f>
        <v>576</v>
      </c>
      <c r="M439" s="14" t="str">
        <f>IF(messy_clinic_appointments[[#This Row],[days_to_appointment]]&gt;365, "Review", "OK")</f>
        <v>Review</v>
      </c>
    </row>
    <row r="440" spans="1:13" x14ac:dyDescent="0.25">
      <c r="A440">
        <v>1058</v>
      </c>
      <c r="B440" s="14" t="s">
        <v>879</v>
      </c>
      <c r="C440">
        <v>84</v>
      </c>
      <c r="D440" s="14" t="s">
        <v>2008</v>
      </c>
      <c r="E440" s="1">
        <v>45954</v>
      </c>
      <c r="F440" s="1">
        <v>45743</v>
      </c>
      <c r="G440" s="14" t="s">
        <v>880</v>
      </c>
      <c r="H440" s="14" t="s">
        <v>18</v>
      </c>
      <c r="I440" s="14" t="s">
        <v>2428</v>
      </c>
      <c r="J440" s="14" t="str">
        <f>IF(messy_clinic_appointments[[#This Row],[billing_amount]] &lt; 200, "Low", IF(messy_clinic_appointments[[#This Row],[billing_amount]]&lt;= 400, "Medium", "High"))</f>
        <v>High</v>
      </c>
      <c r="K440" s="14" t="s">
        <v>28</v>
      </c>
      <c r="L440" s="2">
        <f>DATEDIF(messy_clinic_appointments[[#This Row],[booking_date]],messy_clinic_appointments[[#This Row],[appointment_date]],"d")</f>
        <v>211</v>
      </c>
      <c r="M440" s="14" t="str">
        <f>IF(messy_clinic_appointments[[#This Row],[days_to_appointment]]&gt;365, "Review", "OK")</f>
        <v>OK</v>
      </c>
    </row>
    <row r="441" spans="1:13" x14ac:dyDescent="0.25">
      <c r="A441">
        <v>1080</v>
      </c>
      <c r="B441" s="14" t="s">
        <v>881</v>
      </c>
      <c r="C441">
        <v>45</v>
      </c>
      <c r="D441" s="14" t="s">
        <v>30</v>
      </c>
      <c r="E441" s="1">
        <v>45972</v>
      </c>
      <c r="F441" s="1">
        <v>45818</v>
      </c>
      <c r="G441" s="14" t="s">
        <v>882</v>
      </c>
      <c r="H441" s="14" t="s">
        <v>12</v>
      </c>
      <c r="I441" s="14" t="s">
        <v>2429</v>
      </c>
      <c r="J441" s="14" t="str">
        <f>IF(messy_clinic_appointments[[#This Row],[billing_amount]] &lt; 200, "Low", IF(messy_clinic_appointments[[#This Row],[billing_amount]]&lt;= 400, "Medium", "High"))</f>
        <v>High</v>
      </c>
      <c r="K441" s="14" t="s">
        <v>2039</v>
      </c>
      <c r="L441" s="2">
        <f>DATEDIF(messy_clinic_appointments[[#This Row],[booking_date]],messy_clinic_appointments[[#This Row],[appointment_date]],"d")</f>
        <v>154</v>
      </c>
      <c r="M441" s="14" t="str">
        <f>IF(messy_clinic_appointments[[#This Row],[days_to_appointment]]&gt;365, "Review", "OK")</f>
        <v>OK</v>
      </c>
    </row>
    <row r="442" spans="1:13" x14ac:dyDescent="0.25">
      <c r="A442">
        <v>1026</v>
      </c>
      <c r="B442" s="14" t="s">
        <v>883</v>
      </c>
      <c r="C442">
        <v>47</v>
      </c>
      <c r="D442" s="14" t="s">
        <v>30</v>
      </c>
      <c r="E442" s="1">
        <v>46070</v>
      </c>
      <c r="F442" s="1">
        <v>45421</v>
      </c>
      <c r="G442" s="14" t="s">
        <v>884</v>
      </c>
      <c r="H442" s="14" t="s">
        <v>12</v>
      </c>
      <c r="I442" s="14" t="s">
        <v>2430</v>
      </c>
      <c r="J442" s="14" t="str">
        <f>IF(messy_clinic_appointments[[#This Row],[billing_amount]] &lt; 200, "Low", IF(messy_clinic_appointments[[#This Row],[billing_amount]]&lt;= 400, "Medium", "High"))</f>
        <v>High</v>
      </c>
      <c r="K442" s="14" t="s">
        <v>22</v>
      </c>
      <c r="L442" s="2">
        <f>DATEDIF(messy_clinic_appointments[[#This Row],[booking_date]],messy_clinic_appointments[[#This Row],[appointment_date]],"d")</f>
        <v>649</v>
      </c>
      <c r="M442" s="14" t="str">
        <f>IF(messy_clinic_appointments[[#This Row],[days_to_appointment]]&gt;365, "Review", "OK")</f>
        <v>Review</v>
      </c>
    </row>
    <row r="443" spans="1:13" x14ac:dyDescent="0.25">
      <c r="A443">
        <v>1058</v>
      </c>
      <c r="B443" s="14" t="s">
        <v>885</v>
      </c>
      <c r="C443">
        <v>88</v>
      </c>
      <c r="D443" s="14" t="s">
        <v>24</v>
      </c>
      <c r="E443" s="1">
        <v>45949</v>
      </c>
      <c r="F443" s="1">
        <v>45612</v>
      </c>
      <c r="G443" s="14" t="s">
        <v>886</v>
      </c>
      <c r="H443" s="14" t="s">
        <v>18</v>
      </c>
      <c r="I443" s="14" t="s">
        <v>2431</v>
      </c>
      <c r="J443" s="14" t="str">
        <f>IF(messy_clinic_appointments[[#This Row],[billing_amount]] &lt; 200, "Low", IF(messy_clinic_appointments[[#This Row],[billing_amount]]&lt;= 400, "Medium", "High"))</f>
        <v>High</v>
      </c>
      <c r="K443" s="14" t="s">
        <v>2026</v>
      </c>
      <c r="L443" s="2">
        <f>DATEDIF(messy_clinic_appointments[[#This Row],[booking_date]],messy_clinic_appointments[[#This Row],[appointment_date]],"d")</f>
        <v>337</v>
      </c>
      <c r="M443" s="14" t="str">
        <f>IF(messy_clinic_appointments[[#This Row],[days_to_appointment]]&gt;365, "Review", "OK")</f>
        <v>OK</v>
      </c>
    </row>
    <row r="444" spans="1:13" x14ac:dyDescent="0.25">
      <c r="A444">
        <v>1065</v>
      </c>
      <c r="B444" s="14" t="s">
        <v>887</v>
      </c>
      <c r="C444">
        <v>28</v>
      </c>
      <c r="D444" s="14" t="s">
        <v>2022</v>
      </c>
      <c r="E444" s="1">
        <v>45893</v>
      </c>
      <c r="F444" s="1">
        <v>45867</v>
      </c>
      <c r="G444" s="14" t="s">
        <v>888</v>
      </c>
      <c r="H444" s="14" t="s">
        <v>18</v>
      </c>
      <c r="I444" s="14" t="s">
        <v>2432</v>
      </c>
      <c r="J444" s="14" t="str">
        <f>IF(messy_clinic_appointments[[#This Row],[billing_amount]] &lt; 200, "Low", IF(messy_clinic_appointments[[#This Row],[billing_amount]]&lt;= 400, "Medium", "High"))</f>
        <v>High</v>
      </c>
      <c r="K444" s="14" t="s">
        <v>2010</v>
      </c>
      <c r="L444" s="2">
        <f>DATEDIF(messy_clinic_appointments[[#This Row],[booking_date]],messy_clinic_appointments[[#This Row],[appointment_date]],"d")</f>
        <v>26</v>
      </c>
      <c r="M444" s="14" t="str">
        <f>IF(messy_clinic_appointments[[#This Row],[days_to_appointment]]&gt;365, "Review", "OK")</f>
        <v>OK</v>
      </c>
    </row>
    <row r="445" spans="1:13" x14ac:dyDescent="0.25">
      <c r="A445">
        <v>1016</v>
      </c>
      <c r="B445" s="14" t="s">
        <v>889</v>
      </c>
      <c r="C445">
        <v>42</v>
      </c>
      <c r="D445" s="14" t="s">
        <v>2010</v>
      </c>
      <c r="E445" s="1">
        <v>45966</v>
      </c>
      <c r="F445" s="1">
        <v>45507</v>
      </c>
      <c r="G445" s="14" t="s">
        <v>890</v>
      </c>
      <c r="H445" s="14" t="s">
        <v>21</v>
      </c>
      <c r="I445" s="14" t="s">
        <v>24</v>
      </c>
      <c r="J445" s="14" t="str">
        <f>IF(messy_clinic_appointments[[#This Row],[billing_amount]] &lt; 200, "Low", IF(messy_clinic_appointments[[#This Row],[billing_amount]]&lt;= 400, "Medium", "High"))</f>
        <v>High</v>
      </c>
      <c r="K445" s="14" t="s">
        <v>2013</v>
      </c>
      <c r="L445" s="2">
        <f>DATEDIF(messy_clinic_appointments[[#This Row],[booking_date]],messy_clinic_appointments[[#This Row],[appointment_date]],"d")</f>
        <v>459</v>
      </c>
      <c r="M445" s="14" t="str">
        <f>IF(messy_clinic_appointments[[#This Row],[days_to_appointment]]&gt;365, "Review", "OK")</f>
        <v>Review</v>
      </c>
    </row>
    <row r="446" spans="1:13" x14ac:dyDescent="0.25">
      <c r="A446">
        <v>1064</v>
      </c>
      <c r="B446" s="14" t="s">
        <v>891</v>
      </c>
      <c r="C446">
        <v>27</v>
      </c>
      <c r="D446" s="14" t="s">
        <v>30</v>
      </c>
      <c r="E446" s="1">
        <v>46073</v>
      </c>
      <c r="F446" s="1">
        <v>45844</v>
      </c>
      <c r="G446" s="14" t="s">
        <v>892</v>
      </c>
      <c r="H446" s="14" t="s">
        <v>21</v>
      </c>
      <c r="I446" s="14" t="s">
        <v>2433</v>
      </c>
      <c r="J446" s="14" t="str">
        <f>IF(messy_clinic_appointments[[#This Row],[billing_amount]] &lt; 200, "Low", IF(messy_clinic_appointments[[#This Row],[billing_amount]]&lt;= 400, "Medium", "High"))</f>
        <v>High</v>
      </c>
      <c r="K446" s="14" t="s">
        <v>28</v>
      </c>
      <c r="L446" s="2">
        <f>DATEDIF(messy_clinic_appointments[[#This Row],[booking_date]],messy_clinic_appointments[[#This Row],[appointment_date]],"d")</f>
        <v>229</v>
      </c>
      <c r="M446" s="14" t="str">
        <f>IF(messy_clinic_appointments[[#This Row],[days_to_appointment]]&gt;365, "Review", "OK")</f>
        <v>OK</v>
      </c>
    </row>
    <row r="447" spans="1:13" x14ac:dyDescent="0.25">
      <c r="A447">
        <v>1036</v>
      </c>
      <c r="B447" s="14" t="s">
        <v>893</v>
      </c>
      <c r="C447">
        <v>59</v>
      </c>
      <c r="D447" s="14" t="s">
        <v>2010</v>
      </c>
      <c r="E447" s="1">
        <v>45946</v>
      </c>
      <c r="F447" s="1">
        <v>45411</v>
      </c>
      <c r="G447" s="14" t="s">
        <v>894</v>
      </c>
      <c r="H447" s="14" t="s">
        <v>12</v>
      </c>
      <c r="I447" s="14" t="s">
        <v>2434</v>
      </c>
      <c r="J447" s="14" t="str">
        <f>IF(messy_clinic_appointments[[#This Row],[billing_amount]] &lt; 200, "Low", IF(messy_clinic_appointments[[#This Row],[billing_amount]]&lt;= 400, "Medium", "High"))</f>
        <v>High</v>
      </c>
      <c r="K447" s="14" t="s">
        <v>28</v>
      </c>
      <c r="L447" s="2">
        <f>DATEDIF(messy_clinic_appointments[[#This Row],[booking_date]],messy_clinic_appointments[[#This Row],[appointment_date]],"d")</f>
        <v>535</v>
      </c>
      <c r="M447" s="14" t="str">
        <f>IF(messy_clinic_appointments[[#This Row],[days_to_appointment]]&gt;365, "Review", "OK")</f>
        <v>Review</v>
      </c>
    </row>
    <row r="448" spans="1:13" x14ac:dyDescent="0.25">
      <c r="A448">
        <v>1017</v>
      </c>
      <c r="B448" s="14" t="s">
        <v>895</v>
      </c>
      <c r="C448">
        <v>34</v>
      </c>
      <c r="D448" s="14" t="s">
        <v>30</v>
      </c>
      <c r="E448" s="1">
        <v>45858</v>
      </c>
      <c r="F448" s="1">
        <v>45791</v>
      </c>
      <c r="G448" s="14" t="s">
        <v>896</v>
      </c>
      <c r="H448" s="14" t="s">
        <v>21</v>
      </c>
      <c r="I448" s="14" t="s">
        <v>2435</v>
      </c>
      <c r="J448" s="14" t="str">
        <f>IF(messy_clinic_appointments[[#This Row],[billing_amount]] &lt; 200, "Low", IF(messy_clinic_appointments[[#This Row],[billing_amount]]&lt;= 400, "Medium", "High"))</f>
        <v>High</v>
      </c>
      <c r="K448" s="14" t="s">
        <v>2026</v>
      </c>
      <c r="L448" s="2">
        <f>DATEDIF(messy_clinic_appointments[[#This Row],[booking_date]],messy_clinic_appointments[[#This Row],[appointment_date]],"d")</f>
        <v>67</v>
      </c>
      <c r="M448" s="14" t="str">
        <f>IF(messy_clinic_appointments[[#This Row],[days_to_appointment]]&gt;365, "Review", "OK")</f>
        <v>OK</v>
      </c>
    </row>
    <row r="449" spans="1:13" x14ac:dyDescent="0.25">
      <c r="A449">
        <v>1005</v>
      </c>
      <c r="B449" s="14" t="s">
        <v>897</v>
      </c>
      <c r="C449">
        <v>69</v>
      </c>
      <c r="D449" s="14" t="s">
        <v>50</v>
      </c>
      <c r="E449" s="1">
        <v>45936</v>
      </c>
      <c r="F449" s="1">
        <v>45625</v>
      </c>
      <c r="G449" s="14" t="s">
        <v>898</v>
      </c>
      <c r="H449" s="14" t="s">
        <v>18</v>
      </c>
      <c r="I449" s="14" t="s">
        <v>2436</v>
      </c>
      <c r="J449" s="14" t="str">
        <f>IF(messy_clinic_appointments[[#This Row],[billing_amount]] &lt; 200, "Low", IF(messy_clinic_appointments[[#This Row],[billing_amount]]&lt;= 400, "Medium", "High"))</f>
        <v>High</v>
      </c>
      <c r="K449" s="14" t="s">
        <v>28</v>
      </c>
      <c r="L449" s="2">
        <f>DATEDIF(messy_clinic_appointments[[#This Row],[booking_date]],messy_clinic_appointments[[#This Row],[appointment_date]],"d")</f>
        <v>311</v>
      </c>
      <c r="M449" s="14" t="str">
        <f>IF(messy_clinic_appointments[[#This Row],[days_to_appointment]]&gt;365, "Review", "OK")</f>
        <v>OK</v>
      </c>
    </row>
    <row r="450" spans="1:13" x14ac:dyDescent="0.25">
      <c r="A450">
        <v>1086</v>
      </c>
      <c r="B450" s="14" t="s">
        <v>899</v>
      </c>
      <c r="C450">
        <v>84</v>
      </c>
      <c r="D450" s="14" t="s">
        <v>2010</v>
      </c>
      <c r="E450" s="1">
        <v>46015</v>
      </c>
      <c r="F450" s="1">
        <v>45534</v>
      </c>
      <c r="G450" s="14" t="s">
        <v>900</v>
      </c>
      <c r="H450" s="14" t="s">
        <v>21</v>
      </c>
      <c r="I450" s="14" t="s">
        <v>2437</v>
      </c>
      <c r="J450" s="14" t="str">
        <f>IF(messy_clinic_appointments[[#This Row],[billing_amount]] &lt; 200, "Low", IF(messy_clinic_appointments[[#This Row],[billing_amount]]&lt;= 400, "Medium", "High"))</f>
        <v>High</v>
      </c>
      <c r="K450" s="14" t="s">
        <v>2013</v>
      </c>
      <c r="L450" s="2">
        <f>DATEDIF(messy_clinic_appointments[[#This Row],[booking_date]],messy_clinic_appointments[[#This Row],[appointment_date]],"d")</f>
        <v>481</v>
      </c>
      <c r="M450" s="14" t="str">
        <f>IF(messy_clinic_appointments[[#This Row],[days_to_appointment]]&gt;365, "Review", "OK")</f>
        <v>Review</v>
      </c>
    </row>
    <row r="451" spans="1:13" x14ac:dyDescent="0.25">
      <c r="A451">
        <v>1095</v>
      </c>
      <c r="B451" s="14" t="s">
        <v>901</v>
      </c>
      <c r="C451">
        <v>37</v>
      </c>
      <c r="D451" s="14" t="s">
        <v>2010</v>
      </c>
      <c r="E451" s="1">
        <v>45914</v>
      </c>
      <c r="F451" s="1">
        <v>45432</v>
      </c>
      <c r="G451" s="14" t="s">
        <v>902</v>
      </c>
      <c r="H451" s="14" t="s">
        <v>15</v>
      </c>
      <c r="I451" s="14" t="s">
        <v>2438</v>
      </c>
      <c r="J451" s="14" t="str">
        <f>IF(messy_clinic_appointments[[#This Row],[billing_amount]] &lt; 200, "Low", IF(messy_clinic_appointments[[#This Row],[billing_amount]]&lt;= 400, "Medium", "High"))</f>
        <v>High</v>
      </c>
      <c r="K451" s="14" t="s">
        <v>28</v>
      </c>
      <c r="L451" s="2">
        <f>DATEDIF(messy_clinic_appointments[[#This Row],[booking_date]],messy_clinic_appointments[[#This Row],[appointment_date]],"d")</f>
        <v>482</v>
      </c>
      <c r="M451" s="14" t="str">
        <f>IF(messy_clinic_appointments[[#This Row],[days_to_appointment]]&gt;365, "Review", "OK")</f>
        <v>Review</v>
      </c>
    </row>
    <row r="452" spans="1:13" x14ac:dyDescent="0.25">
      <c r="A452">
        <v>1030</v>
      </c>
      <c r="B452" s="14" t="s">
        <v>903</v>
      </c>
      <c r="C452">
        <v>25</v>
      </c>
      <c r="D452" s="14" t="s">
        <v>2011</v>
      </c>
      <c r="E452" s="1">
        <v>45771</v>
      </c>
      <c r="F452" s="1">
        <v>45396</v>
      </c>
      <c r="G452" s="14" t="s">
        <v>904</v>
      </c>
      <c r="H452" s="14" t="s">
        <v>15</v>
      </c>
      <c r="I452" s="14" t="s">
        <v>2439</v>
      </c>
      <c r="J452" s="14" t="str">
        <f>IF(messy_clinic_appointments[[#This Row],[billing_amount]] &lt; 200, "Low", IF(messy_clinic_appointments[[#This Row],[billing_amount]]&lt;= 400, "Medium", "High"))</f>
        <v>High</v>
      </c>
      <c r="K452" s="14" t="s">
        <v>22</v>
      </c>
      <c r="L452" s="2">
        <f>DATEDIF(messy_clinic_appointments[[#This Row],[booking_date]],messy_clinic_appointments[[#This Row],[appointment_date]],"d")</f>
        <v>375</v>
      </c>
      <c r="M452" s="14" t="str">
        <f>IF(messy_clinic_appointments[[#This Row],[days_to_appointment]]&gt;365, "Review", "OK")</f>
        <v>Review</v>
      </c>
    </row>
    <row r="453" spans="1:13" x14ac:dyDescent="0.25">
      <c r="A453">
        <v>1059</v>
      </c>
      <c r="B453" s="14" t="s">
        <v>905</v>
      </c>
      <c r="C453">
        <v>84</v>
      </c>
      <c r="D453" s="14" t="s">
        <v>2008</v>
      </c>
      <c r="E453" s="1">
        <v>46097</v>
      </c>
      <c r="F453" s="1">
        <v>45630</v>
      </c>
      <c r="G453" s="14" t="s">
        <v>906</v>
      </c>
      <c r="H453" s="14" t="s">
        <v>18</v>
      </c>
      <c r="I453" s="14" t="s">
        <v>2440</v>
      </c>
      <c r="J453" s="14" t="str">
        <f>IF(messy_clinic_appointments[[#This Row],[billing_amount]] &lt; 200, "Low", IF(messy_clinic_appointments[[#This Row],[billing_amount]]&lt;= 400, "Medium", "High"))</f>
        <v>High</v>
      </c>
      <c r="K453" s="14" t="s">
        <v>28</v>
      </c>
      <c r="L453" s="2">
        <f>DATEDIF(messy_clinic_appointments[[#This Row],[booking_date]],messy_clinic_appointments[[#This Row],[appointment_date]],"d")</f>
        <v>467</v>
      </c>
      <c r="M453" s="14" t="str">
        <f>IF(messy_clinic_appointments[[#This Row],[days_to_appointment]]&gt;365, "Review", "OK")</f>
        <v>Review</v>
      </c>
    </row>
    <row r="454" spans="1:13" x14ac:dyDescent="0.25">
      <c r="A454">
        <v>1012</v>
      </c>
      <c r="B454" s="14" t="s">
        <v>907</v>
      </c>
      <c r="C454">
        <v>30</v>
      </c>
      <c r="D454" s="14" t="s">
        <v>2039</v>
      </c>
      <c r="E454" s="1">
        <v>46030</v>
      </c>
      <c r="F454" s="1">
        <v>45888</v>
      </c>
      <c r="G454" s="14" t="s">
        <v>908</v>
      </c>
      <c r="H454" s="14" t="s">
        <v>12</v>
      </c>
      <c r="I454" s="14" t="s">
        <v>2441</v>
      </c>
      <c r="J454" s="14" t="str">
        <f>IF(messy_clinic_appointments[[#This Row],[billing_amount]] &lt; 200, "Low", IF(messy_clinic_appointments[[#This Row],[billing_amount]]&lt;= 400, "Medium", "High"))</f>
        <v>High</v>
      </c>
      <c r="K454" s="14" t="s">
        <v>2013</v>
      </c>
      <c r="L454" s="2">
        <f>DATEDIF(messy_clinic_appointments[[#This Row],[booking_date]],messy_clinic_appointments[[#This Row],[appointment_date]],"d")</f>
        <v>142</v>
      </c>
      <c r="M454" s="14" t="str">
        <f>IF(messy_clinic_appointments[[#This Row],[days_to_appointment]]&gt;365, "Review", "OK")</f>
        <v>OK</v>
      </c>
    </row>
    <row r="455" spans="1:13" x14ac:dyDescent="0.25">
      <c r="A455">
        <v>1074</v>
      </c>
      <c r="B455" s="14" t="s">
        <v>909</v>
      </c>
      <c r="C455">
        <v>64</v>
      </c>
      <c r="D455" s="14" t="s">
        <v>2022</v>
      </c>
      <c r="E455" s="1">
        <v>45832</v>
      </c>
      <c r="F455" s="1">
        <v>45571</v>
      </c>
      <c r="G455" s="14" t="s">
        <v>910</v>
      </c>
      <c r="H455" s="14" t="s">
        <v>21</v>
      </c>
      <c r="I455" s="14" t="s">
        <v>2442</v>
      </c>
      <c r="J455" s="14" t="str">
        <f>IF(messy_clinic_appointments[[#This Row],[billing_amount]] &lt; 200, "Low", IF(messy_clinic_appointments[[#This Row],[billing_amount]]&lt;= 400, "Medium", "High"))</f>
        <v>High</v>
      </c>
      <c r="K455" s="14" t="s">
        <v>22</v>
      </c>
      <c r="L455" s="2">
        <f>DATEDIF(messy_clinic_appointments[[#This Row],[booking_date]],messy_clinic_appointments[[#This Row],[appointment_date]],"d")</f>
        <v>261</v>
      </c>
      <c r="M455" s="14" t="str">
        <f>IF(messy_clinic_appointments[[#This Row],[days_to_appointment]]&gt;365, "Review", "OK")</f>
        <v>OK</v>
      </c>
    </row>
    <row r="456" spans="1:13" x14ac:dyDescent="0.25">
      <c r="A456">
        <v>1082</v>
      </c>
      <c r="B456" s="14" t="s">
        <v>911</v>
      </c>
      <c r="C456">
        <v>33</v>
      </c>
      <c r="D456" s="14" t="s">
        <v>50</v>
      </c>
      <c r="E456" s="1">
        <v>45819</v>
      </c>
      <c r="F456" s="1">
        <v>45707</v>
      </c>
      <c r="G456" s="14" t="s">
        <v>912</v>
      </c>
      <c r="H456" s="14" t="s">
        <v>18</v>
      </c>
      <c r="I456" s="14" t="s">
        <v>2443</v>
      </c>
      <c r="J456" s="14" t="str">
        <f>IF(messy_clinic_appointments[[#This Row],[billing_amount]] &lt; 200, "Low", IF(messy_clinic_appointments[[#This Row],[billing_amount]]&lt;= 400, "Medium", "High"))</f>
        <v>High</v>
      </c>
      <c r="K456" s="14" t="s">
        <v>28</v>
      </c>
      <c r="L456" s="2">
        <f>DATEDIF(messy_clinic_appointments[[#This Row],[booking_date]],messy_clinic_appointments[[#This Row],[appointment_date]],"d")</f>
        <v>112</v>
      </c>
      <c r="M456" s="14" t="str">
        <f>IF(messy_clinic_appointments[[#This Row],[days_to_appointment]]&gt;365, "Review", "OK")</f>
        <v>OK</v>
      </c>
    </row>
    <row r="457" spans="1:13" x14ac:dyDescent="0.25">
      <c r="A457">
        <v>1009</v>
      </c>
      <c r="B457" s="14" t="s">
        <v>913</v>
      </c>
      <c r="C457">
        <v>63</v>
      </c>
      <c r="D457" s="14" t="s">
        <v>50</v>
      </c>
      <c r="E457" s="1">
        <v>46070</v>
      </c>
      <c r="F457" s="1">
        <v>46033</v>
      </c>
      <c r="G457" s="14" t="s">
        <v>914</v>
      </c>
      <c r="H457" s="14" t="s">
        <v>12</v>
      </c>
      <c r="I457" s="14" t="s">
        <v>2444</v>
      </c>
      <c r="J457" s="14" t="str">
        <f>IF(messy_clinic_appointments[[#This Row],[billing_amount]] &lt; 200, "Low", IF(messy_clinic_appointments[[#This Row],[billing_amount]]&lt;= 400, "Medium", "High"))</f>
        <v>High</v>
      </c>
      <c r="K457" s="14" t="s">
        <v>2026</v>
      </c>
      <c r="L457" s="2">
        <f>DATEDIF(messy_clinic_appointments[[#This Row],[booking_date]],messy_clinic_appointments[[#This Row],[appointment_date]],"d")</f>
        <v>37</v>
      </c>
      <c r="M457" s="14" t="str">
        <f>IF(messy_clinic_appointments[[#This Row],[days_to_appointment]]&gt;365, "Review", "OK")</f>
        <v>OK</v>
      </c>
    </row>
    <row r="458" spans="1:13" x14ac:dyDescent="0.25">
      <c r="A458">
        <v>1091</v>
      </c>
      <c r="B458" s="14" t="s">
        <v>915</v>
      </c>
      <c r="C458">
        <v>86</v>
      </c>
      <c r="D458" s="14" t="s">
        <v>2022</v>
      </c>
      <c r="E458" s="1">
        <v>46014</v>
      </c>
      <c r="F458" s="1">
        <v>45620</v>
      </c>
      <c r="G458" s="14" t="s">
        <v>916</v>
      </c>
      <c r="H458" s="14" t="s">
        <v>21</v>
      </c>
      <c r="I458" s="14" t="s">
        <v>2445</v>
      </c>
      <c r="J458" s="14" t="str">
        <f>IF(messy_clinic_appointments[[#This Row],[billing_amount]] &lt; 200, "Low", IF(messy_clinic_appointments[[#This Row],[billing_amount]]&lt;= 400, "Medium", "High"))</f>
        <v>High</v>
      </c>
      <c r="K458" s="14" t="s">
        <v>2039</v>
      </c>
      <c r="L458" s="2">
        <f>DATEDIF(messy_clinic_appointments[[#This Row],[booking_date]],messy_clinic_appointments[[#This Row],[appointment_date]],"d")</f>
        <v>394</v>
      </c>
      <c r="M458" s="14" t="str">
        <f>IF(messy_clinic_appointments[[#This Row],[days_to_appointment]]&gt;365, "Review", "OK")</f>
        <v>Review</v>
      </c>
    </row>
    <row r="459" spans="1:13" x14ac:dyDescent="0.25">
      <c r="A459">
        <v>1038</v>
      </c>
      <c r="B459" s="14" t="s">
        <v>917</v>
      </c>
      <c r="C459">
        <v>54</v>
      </c>
      <c r="D459" s="14" t="s">
        <v>2039</v>
      </c>
      <c r="E459" s="1">
        <v>45824</v>
      </c>
      <c r="F459" s="1">
        <v>45771</v>
      </c>
      <c r="G459" s="14" t="s">
        <v>918</v>
      </c>
      <c r="H459" s="14" t="s">
        <v>21</v>
      </c>
      <c r="I459" s="14" t="s">
        <v>2446</v>
      </c>
      <c r="J459" s="14" t="str">
        <f>IF(messy_clinic_appointments[[#This Row],[billing_amount]] &lt; 200, "Low", IF(messy_clinic_appointments[[#This Row],[billing_amount]]&lt;= 400, "Medium", "High"))</f>
        <v>High</v>
      </c>
      <c r="K459" s="14" t="s">
        <v>2039</v>
      </c>
      <c r="L459" s="2">
        <f>DATEDIF(messy_clinic_appointments[[#This Row],[booking_date]],messy_clinic_appointments[[#This Row],[appointment_date]],"d")</f>
        <v>53</v>
      </c>
      <c r="M459" s="14" t="str">
        <f>IF(messy_clinic_appointments[[#This Row],[days_to_appointment]]&gt;365, "Review", "OK")</f>
        <v>OK</v>
      </c>
    </row>
    <row r="460" spans="1:13" x14ac:dyDescent="0.25">
      <c r="A460">
        <v>1037</v>
      </c>
      <c r="B460" s="14" t="s">
        <v>919</v>
      </c>
      <c r="C460">
        <v>52</v>
      </c>
      <c r="D460" s="14" t="s">
        <v>2010</v>
      </c>
      <c r="E460" s="1">
        <v>45997</v>
      </c>
      <c r="F460" s="1">
        <v>45676</v>
      </c>
      <c r="G460" s="14" t="s">
        <v>920</v>
      </c>
      <c r="H460" s="14" t="s">
        <v>21</v>
      </c>
      <c r="I460" s="14" t="s">
        <v>24</v>
      </c>
      <c r="J460" s="14" t="str">
        <f>IF(messy_clinic_appointments[[#This Row],[billing_amount]] &lt; 200, "Low", IF(messy_clinic_appointments[[#This Row],[billing_amount]]&lt;= 400, "Medium", "High"))</f>
        <v>High</v>
      </c>
      <c r="K460" s="14" t="s">
        <v>2026</v>
      </c>
      <c r="L460" s="2">
        <f>DATEDIF(messy_clinic_appointments[[#This Row],[booking_date]],messy_clinic_appointments[[#This Row],[appointment_date]],"d")</f>
        <v>321</v>
      </c>
      <c r="M460" s="14" t="str">
        <f>IF(messy_clinic_appointments[[#This Row],[days_to_appointment]]&gt;365, "Review", "OK")</f>
        <v>OK</v>
      </c>
    </row>
    <row r="461" spans="1:13" x14ac:dyDescent="0.25">
      <c r="A461">
        <v>1053</v>
      </c>
      <c r="B461" s="14" t="s">
        <v>698</v>
      </c>
      <c r="C461">
        <v>30</v>
      </c>
      <c r="D461" s="14" t="s">
        <v>30</v>
      </c>
      <c r="E461" s="1">
        <v>46022</v>
      </c>
      <c r="F461" s="1">
        <v>45975</v>
      </c>
      <c r="G461" s="14" t="s">
        <v>921</v>
      </c>
      <c r="H461" s="14" t="s">
        <v>12</v>
      </c>
      <c r="I461" s="14" t="s">
        <v>2447</v>
      </c>
      <c r="J461" s="14" t="str">
        <f>IF(messy_clinic_appointments[[#This Row],[billing_amount]] &lt; 200, "Low", IF(messy_clinic_appointments[[#This Row],[billing_amount]]&lt;= 400, "Medium", "High"))</f>
        <v>High</v>
      </c>
      <c r="K461" s="14" t="s">
        <v>2013</v>
      </c>
      <c r="L461" s="2">
        <f>DATEDIF(messy_clinic_appointments[[#This Row],[booking_date]],messy_clinic_appointments[[#This Row],[appointment_date]],"d")</f>
        <v>47</v>
      </c>
      <c r="M461" s="14" t="str">
        <f>IF(messy_clinic_appointments[[#This Row],[days_to_appointment]]&gt;365, "Review", "OK")</f>
        <v>OK</v>
      </c>
    </row>
    <row r="462" spans="1:13" x14ac:dyDescent="0.25">
      <c r="A462">
        <v>1043</v>
      </c>
      <c r="B462" s="14" t="s">
        <v>922</v>
      </c>
      <c r="C462">
        <v>28</v>
      </c>
      <c r="D462" s="14" t="s">
        <v>2039</v>
      </c>
      <c r="E462" s="1">
        <v>45927</v>
      </c>
      <c r="F462" s="1">
        <v>45827</v>
      </c>
      <c r="G462" s="14" t="s">
        <v>923</v>
      </c>
      <c r="H462" s="14" t="s">
        <v>21</v>
      </c>
      <c r="I462" s="14" t="s">
        <v>2448</v>
      </c>
      <c r="J462" s="14" t="str">
        <f>IF(messy_clinic_appointments[[#This Row],[billing_amount]] &lt; 200, "Low", IF(messy_clinic_appointments[[#This Row],[billing_amount]]&lt;= 400, "Medium", "High"))</f>
        <v>High</v>
      </c>
      <c r="K462" s="14" t="s">
        <v>2039</v>
      </c>
      <c r="L462" s="2">
        <f>DATEDIF(messy_clinic_appointments[[#This Row],[booking_date]],messy_clinic_appointments[[#This Row],[appointment_date]],"d")</f>
        <v>100</v>
      </c>
      <c r="M462" s="14" t="str">
        <f>IF(messy_clinic_appointments[[#This Row],[days_to_appointment]]&gt;365, "Review", "OK")</f>
        <v>OK</v>
      </c>
    </row>
    <row r="463" spans="1:13" x14ac:dyDescent="0.25">
      <c r="A463">
        <v>1021</v>
      </c>
      <c r="B463" s="14" t="s">
        <v>924</v>
      </c>
      <c r="C463">
        <v>53</v>
      </c>
      <c r="D463" s="14" t="s">
        <v>50</v>
      </c>
      <c r="E463" s="1">
        <v>46069</v>
      </c>
      <c r="F463" s="1">
        <v>45751</v>
      </c>
      <c r="G463" s="14" t="s">
        <v>925</v>
      </c>
      <c r="H463" s="14" t="s">
        <v>18</v>
      </c>
      <c r="I463" s="14" t="s">
        <v>2449</v>
      </c>
      <c r="J463" s="14" t="str">
        <f>IF(messy_clinic_appointments[[#This Row],[billing_amount]] &lt; 200, "Low", IF(messy_clinic_appointments[[#This Row],[billing_amount]]&lt;= 400, "Medium", "High"))</f>
        <v>High</v>
      </c>
      <c r="K463" s="14" t="s">
        <v>2013</v>
      </c>
      <c r="L463" s="2">
        <f>DATEDIF(messy_clinic_appointments[[#This Row],[booking_date]],messy_clinic_appointments[[#This Row],[appointment_date]],"d")</f>
        <v>318</v>
      </c>
      <c r="M463" s="14" t="str">
        <f>IF(messy_clinic_appointments[[#This Row],[days_to_appointment]]&gt;365, "Review", "OK")</f>
        <v>OK</v>
      </c>
    </row>
    <row r="464" spans="1:13" x14ac:dyDescent="0.25">
      <c r="A464">
        <v>1059</v>
      </c>
      <c r="B464" s="14" t="s">
        <v>926</v>
      </c>
      <c r="C464">
        <v>57</v>
      </c>
      <c r="D464" s="14" t="s">
        <v>2014</v>
      </c>
      <c r="E464" s="1">
        <v>45896</v>
      </c>
      <c r="F464" s="1">
        <v>45387</v>
      </c>
      <c r="G464" s="14" t="s">
        <v>927</v>
      </c>
      <c r="H464" s="14" t="s">
        <v>12</v>
      </c>
      <c r="I464" s="14" t="s">
        <v>2450</v>
      </c>
      <c r="J464" s="14" t="str">
        <f>IF(messy_clinic_appointments[[#This Row],[billing_amount]] &lt; 200, "Low", IF(messy_clinic_appointments[[#This Row],[billing_amount]]&lt;= 400, "Medium", "High"))</f>
        <v>High</v>
      </c>
      <c r="K464" s="14" t="s">
        <v>28</v>
      </c>
      <c r="L464" s="2">
        <f>DATEDIF(messy_clinic_appointments[[#This Row],[booking_date]],messy_clinic_appointments[[#This Row],[appointment_date]],"d")</f>
        <v>509</v>
      </c>
      <c r="M464" s="14" t="str">
        <f>IF(messy_clinic_appointments[[#This Row],[days_to_appointment]]&gt;365, "Review", "OK")</f>
        <v>Review</v>
      </c>
    </row>
    <row r="465" spans="1:13" x14ac:dyDescent="0.25">
      <c r="A465">
        <v>1038</v>
      </c>
      <c r="B465" s="14" t="s">
        <v>928</v>
      </c>
      <c r="C465">
        <v>19</v>
      </c>
      <c r="D465" s="14" t="s">
        <v>30</v>
      </c>
      <c r="E465" s="1">
        <v>45790</v>
      </c>
      <c r="F465" s="1">
        <v>45491</v>
      </c>
      <c r="G465" s="14" t="s">
        <v>929</v>
      </c>
      <c r="H465" s="14" t="s">
        <v>12</v>
      </c>
      <c r="I465" s="14" t="s">
        <v>2451</v>
      </c>
      <c r="J465" s="14" t="str">
        <f>IF(messy_clinic_appointments[[#This Row],[billing_amount]] &lt; 200, "Low", IF(messy_clinic_appointments[[#This Row],[billing_amount]]&lt;= 400, "Medium", "High"))</f>
        <v>High</v>
      </c>
      <c r="K465" s="14" t="s">
        <v>2013</v>
      </c>
      <c r="L465" s="2">
        <f>DATEDIF(messy_clinic_appointments[[#This Row],[booking_date]],messy_clinic_appointments[[#This Row],[appointment_date]],"d")</f>
        <v>299</v>
      </c>
      <c r="M465" s="14" t="str">
        <f>IF(messy_clinic_appointments[[#This Row],[days_to_appointment]]&gt;365, "Review", "OK")</f>
        <v>OK</v>
      </c>
    </row>
    <row r="466" spans="1:13" x14ac:dyDescent="0.25">
      <c r="A466">
        <v>1065</v>
      </c>
      <c r="B466" s="14" t="s">
        <v>930</v>
      </c>
      <c r="C466">
        <v>75</v>
      </c>
      <c r="D466" s="14" t="s">
        <v>2014</v>
      </c>
      <c r="E466" s="1">
        <v>46005</v>
      </c>
      <c r="F466" s="1">
        <v>45442</v>
      </c>
      <c r="G466" s="14" t="s">
        <v>931</v>
      </c>
      <c r="H466" s="14" t="s">
        <v>15</v>
      </c>
      <c r="I466" s="14" t="s">
        <v>2452</v>
      </c>
      <c r="J466" s="14" t="str">
        <f>IF(messy_clinic_appointments[[#This Row],[billing_amount]] &lt; 200, "Low", IF(messy_clinic_appointments[[#This Row],[billing_amount]]&lt;= 400, "Medium", "High"))</f>
        <v>High</v>
      </c>
      <c r="K466" s="14" t="s">
        <v>2010</v>
      </c>
      <c r="L466" s="2">
        <f>DATEDIF(messy_clinic_appointments[[#This Row],[booking_date]],messy_clinic_appointments[[#This Row],[appointment_date]],"d")</f>
        <v>563</v>
      </c>
      <c r="M466" s="14" t="str">
        <f>IF(messy_clinic_appointments[[#This Row],[days_to_appointment]]&gt;365, "Review", "OK")</f>
        <v>Review</v>
      </c>
    </row>
    <row r="467" spans="1:13" x14ac:dyDescent="0.25">
      <c r="A467">
        <v>1031</v>
      </c>
      <c r="B467" s="14" t="s">
        <v>932</v>
      </c>
      <c r="C467">
        <v>33</v>
      </c>
      <c r="D467" s="14" t="s">
        <v>2010</v>
      </c>
      <c r="E467" s="1">
        <v>45913</v>
      </c>
      <c r="F467" s="1">
        <v>45475</v>
      </c>
      <c r="G467" s="14" t="s">
        <v>933</v>
      </c>
      <c r="H467" s="14" t="s">
        <v>15</v>
      </c>
      <c r="I467" s="14" t="s">
        <v>2453</v>
      </c>
      <c r="J467" s="14" t="str">
        <f>IF(messy_clinic_appointments[[#This Row],[billing_amount]] &lt; 200, "Low", IF(messy_clinic_appointments[[#This Row],[billing_amount]]&lt;= 400, "Medium", "High"))</f>
        <v>High</v>
      </c>
      <c r="K467" s="14" t="s">
        <v>2010</v>
      </c>
      <c r="L467" s="2">
        <f>DATEDIF(messy_clinic_appointments[[#This Row],[booking_date]],messy_clinic_appointments[[#This Row],[appointment_date]],"d")</f>
        <v>438</v>
      </c>
      <c r="M467" s="14" t="str">
        <f>IF(messy_clinic_appointments[[#This Row],[days_to_appointment]]&gt;365, "Review", "OK")</f>
        <v>Review</v>
      </c>
    </row>
    <row r="468" spans="1:13" x14ac:dyDescent="0.25">
      <c r="A468">
        <v>1018</v>
      </c>
      <c r="B468" s="14" t="s">
        <v>934</v>
      </c>
      <c r="C468">
        <v>20</v>
      </c>
      <c r="D468" s="14" t="s">
        <v>30</v>
      </c>
      <c r="E468" s="1">
        <v>45861</v>
      </c>
      <c r="F468" s="1">
        <v>45830</v>
      </c>
      <c r="G468" s="14" t="s">
        <v>935</v>
      </c>
      <c r="H468" s="14" t="s">
        <v>18</v>
      </c>
      <c r="I468" s="14" t="s">
        <v>2454</v>
      </c>
      <c r="J468" s="14" t="str">
        <f>IF(messy_clinic_appointments[[#This Row],[billing_amount]] &lt; 200, "Low", IF(messy_clinic_appointments[[#This Row],[billing_amount]]&lt;= 400, "Medium", "High"))</f>
        <v>High</v>
      </c>
      <c r="K468" s="14" t="s">
        <v>2026</v>
      </c>
      <c r="L468" s="2">
        <f>DATEDIF(messy_clinic_appointments[[#This Row],[booking_date]],messy_clinic_appointments[[#This Row],[appointment_date]],"d")</f>
        <v>31</v>
      </c>
      <c r="M468" s="14" t="str">
        <f>IF(messy_clinic_appointments[[#This Row],[days_to_appointment]]&gt;365, "Review", "OK")</f>
        <v>OK</v>
      </c>
    </row>
    <row r="469" spans="1:13" x14ac:dyDescent="0.25">
      <c r="A469">
        <v>1081</v>
      </c>
      <c r="B469" s="14" t="s">
        <v>936</v>
      </c>
      <c r="C469">
        <v>42</v>
      </c>
      <c r="D469" s="14" t="s">
        <v>30</v>
      </c>
      <c r="E469" s="1">
        <v>46096</v>
      </c>
      <c r="F469" s="1">
        <v>45435</v>
      </c>
      <c r="G469" s="14" t="s">
        <v>937</v>
      </c>
      <c r="H469" s="14" t="s">
        <v>12</v>
      </c>
      <c r="I469" s="14" t="s">
        <v>2455</v>
      </c>
      <c r="J469" s="14" t="str">
        <f>IF(messy_clinic_appointments[[#This Row],[billing_amount]] &lt; 200, "Low", IF(messy_clinic_appointments[[#This Row],[billing_amount]]&lt;= 400, "Medium", "High"))</f>
        <v>High</v>
      </c>
      <c r="K469" s="14" t="s">
        <v>28</v>
      </c>
      <c r="L469" s="2">
        <f>DATEDIF(messy_clinic_appointments[[#This Row],[booking_date]],messy_clinic_appointments[[#This Row],[appointment_date]],"d")</f>
        <v>661</v>
      </c>
      <c r="M469" s="14" t="str">
        <f>IF(messy_clinic_appointments[[#This Row],[days_to_appointment]]&gt;365, "Review", "OK")</f>
        <v>Review</v>
      </c>
    </row>
    <row r="470" spans="1:13" x14ac:dyDescent="0.25">
      <c r="A470">
        <v>1098</v>
      </c>
      <c r="B470" s="14" t="s">
        <v>938</v>
      </c>
      <c r="C470">
        <v>27</v>
      </c>
      <c r="D470" s="14" t="s">
        <v>2039</v>
      </c>
      <c r="E470" s="1">
        <v>45883</v>
      </c>
      <c r="F470" s="1">
        <v>45628</v>
      </c>
      <c r="G470" s="14" t="s">
        <v>939</v>
      </c>
      <c r="H470" s="14" t="s">
        <v>15</v>
      </c>
      <c r="I470" s="14" t="s">
        <v>2456</v>
      </c>
      <c r="J470" s="14" t="str">
        <f>IF(messy_clinic_appointments[[#This Row],[billing_amount]] &lt; 200, "Low", IF(messy_clinic_appointments[[#This Row],[billing_amount]]&lt;= 400, "Medium", "High"))</f>
        <v>High</v>
      </c>
      <c r="K470" s="14" t="s">
        <v>22</v>
      </c>
      <c r="L470" s="2">
        <f>DATEDIF(messy_clinic_appointments[[#This Row],[booking_date]],messy_clinic_appointments[[#This Row],[appointment_date]],"d")</f>
        <v>255</v>
      </c>
      <c r="M470" s="14" t="str">
        <f>IF(messy_clinic_appointments[[#This Row],[days_to_appointment]]&gt;365, "Review", "OK")</f>
        <v>OK</v>
      </c>
    </row>
    <row r="471" spans="1:13" x14ac:dyDescent="0.25">
      <c r="A471">
        <v>1070</v>
      </c>
      <c r="B471" s="14" t="s">
        <v>940</v>
      </c>
      <c r="C471">
        <v>56</v>
      </c>
      <c r="D471" s="14" t="s">
        <v>50</v>
      </c>
      <c r="E471" s="1">
        <v>45919</v>
      </c>
      <c r="F471" s="1">
        <v>45563</v>
      </c>
      <c r="G471" s="14" t="s">
        <v>941</v>
      </c>
      <c r="H471" s="14" t="s">
        <v>12</v>
      </c>
      <c r="I471" s="14" t="s">
        <v>2457</v>
      </c>
      <c r="J471" s="14" t="str">
        <f>IF(messy_clinic_appointments[[#This Row],[billing_amount]] &lt; 200, "Low", IF(messy_clinic_appointments[[#This Row],[billing_amount]]&lt;= 400, "Medium", "High"))</f>
        <v>High</v>
      </c>
      <c r="K471" s="14" t="s">
        <v>2013</v>
      </c>
      <c r="L471" s="2">
        <f>DATEDIF(messy_clinic_appointments[[#This Row],[booking_date]],messy_clinic_appointments[[#This Row],[appointment_date]],"d")</f>
        <v>356</v>
      </c>
      <c r="M471" s="14" t="str">
        <f>IF(messy_clinic_appointments[[#This Row],[days_to_appointment]]&gt;365, "Review", "OK")</f>
        <v>OK</v>
      </c>
    </row>
    <row r="472" spans="1:13" x14ac:dyDescent="0.25">
      <c r="A472">
        <v>1093</v>
      </c>
      <c r="B472" s="14" t="s">
        <v>942</v>
      </c>
      <c r="C472">
        <v>81</v>
      </c>
      <c r="D472" s="14" t="s">
        <v>2039</v>
      </c>
      <c r="E472" s="1">
        <v>46060</v>
      </c>
      <c r="F472" s="1">
        <v>45470</v>
      </c>
      <c r="G472" s="14" t="s">
        <v>943</v>
      </c>
      <c r="H472" s="14" t="s">
        <v>21</v>
      </c>
      <c r="I472" s="14" t="s">
        <v>2458</v>
      </c>
      <c r="J472" s="14" t="str">
        <f>IF(messy_clinic_appointments[[#This Row],[billing_amount]] &lt; 200, "Low", IF(messy_clinic_appointments[[#This Row],[billing_amount]]&lt;= 400, "Medium", "High"))</f>
        <v>High</v>
      </c>
      <c r="K472" s="14" t="s">
        <v>28</v>
      </c>
      <c r="L472" s="2">
        <f>DATEDIF(messy_clinic_appointments[[#This Row],[booking_date]],messy_clinic_appointments[[#This Row],[appointment_date]],"d")</f>
        <v>590</v>
      </c>
      <c r="M472" s="14" t="str">
        <f>IF(messy_clinic_appointments[[#This Row],[days_to_appointment]]&gt;365, "Review", "OK")</f>
        <v>Review</v>
      </c>
    </row>
    <row r="473" spans="1:13" x14ac:dyDescent="0.25">
      <c r="A473">
        <v>1032</v>
      </c>
      <c r="B473" s="14" t="s">
        <v>944</v>
      </c>
      <c r="C473">
        <v>56</v>
      </c>
      <c r="D473" s="14" t="s">
        <v>2010</v>
      </c>
      <c r="E473" s="1">
        <v>45927</v>
      </c>
      <c r="F473" s="1">
        <v>45693</v>
      </c>
      <c r="G473" s="14" t="s">
        <v>945</v>
      </c>
      <c r="H473" s="14" t="s">
        <v>12</v>
      </c>
      <c r="I473" s="14" t="s">
        <v>2459</v>
      </c>
      <c r="J473" s="14" t="str">
        <f>IF(messy_clinic_appointments[[#This Row],[billing_amount]] &lt; 200, "Low", IF(messy_clinic_appointments[[#This Row],[billing_amount]]&lt;= 400, "Medium", "High"))</f>
        <v>High</v>
      </c>
      <c r="K473" s="14" t="s">
        <v>22</v>
      </c>
      <c r="L473" s="2">
        <f>DATEDIF(messy_clinic_appointments[[#This Row],[booking_date]],messy_clinic_appointments[[#This Row],[appointment_date]],"d")</f>
        <v>234</v>
      </c>
      <c r="M473" s="14" t="str">
        <f>IF(messy_clinic_appointments[[#This Row],[days_to_appointment]]&gt;365, "Review", "OK")</f>
        <v>OK</v>
      </c>
    </row>
    <row r="474" spans="1:13" x14ac:dyDescent="0.25">
      <c r="A474">
        <v>1071</v>
      </c>
      <c r="B474" s="14" t="s">
        <v>946</v>
      </c>
      <c r="C474">
        <v>80</v>
      </c>
      <c r="D474" s="14" t="s">
        <v>2039</v>
      </c>
      <c r="E474" s="1">
        <v>45867</v>
      </c>
      <c r="F474" s="1">
        <v>45396</v>
      </c>
      <c r="G474" s="14" t="s">
        <v>947</v>
      </c>
      <c r="H474" s="14" t="s">
        <v>18</v>
      </c>
      <c r="I474" s="14" t="s">
        <v>2460</v>
      </c>
      <c r="J474" s="14" t="str">
        <f>IF(messy_clinic_appointments[[#This Row],[billing_amount]] &lt; 200, "Low", IF(messy_clinic_appointments[[#This Row],[billing_amount]]&lt;= 400, "Medium", "High"))</f>
        <v>High</v>
      </c>
      <c r="K474" s="14" t="s">
        <v>22</v>
      </c>
      <c r="L474" s="2">
        <f>DATEDIF(messy_clinic_appointments[[#This Row],[booking_date]],messy_clinic_appointments[[#This Row],[appointment_date]],"d")</f>
        <v>471</v>
      </c>
      <c r="M474" s="14" t="str">
        <f>IF(messy_clinic_appointments[[#This Row],[days_to_appointment]]&gt;365, "Review", "OK")</f>
        <v>Review</v>
      </c>
    </row>
    <row r="475" spans="1:13" x14ac:dyDescent="0.25">
      <c r="A475">
        <v>1067</v>
      </c>
      <c r="B475" s="14" t="s">
        <v>948</v>
      </c>
      <c r="C475">
        <v>72</v>
      </c>
      <c r="D475" s="14" t="s">
        <v>2039</v>
      </c>
      <c r="E475" s="1">
        <v>46101</v>
      </c>
      <c r="F475" s="1">
        <v>45486</v>
      </c>
      <c r="G475" s="14" t="s">
        <v>949</v>
      </c>
      <c r="H475" s="14" t="s">
        <v>15</v>
      </c>
      <c r="I475" s="14" t="s">
        <v>2461</v>
      </c>
      <c r="J475" s="14" t="str">
        <f>IF(messy_clinic_appointments[[#This Row],[billing_amount]] &lt; 200, "Low", IF(messy_clinic_appointments[[#This Row],[billing_amount]]&lt;= 400, "Medium", "High"))</f>
        <v>High</v>
      </c>
      <c r="K475" s="14" t="s">
        <v>2026</v>
      </c>
      <c r="L475" s="2">
        <f>DATEDIF(messy_clinic_appointments[[#This Row],[booking_date]],messy_clinic_appointments[[#This Row],[appointment_date]],"d")</f>
        <v>615</v>
      </c>
      <c r="M475" s="14" t="str">
        <f>IF(messy_clinic_appointments[[#This Row],[days_to_appointment]]&gt;365, "Review", "OK")</f>
        <v>Review</v>
      </c>
    </row>
    <row r="476" spans="1:13" x14ac:dyDescent="0.25">
      <c r="A476">
        <v>1090</v>
      </c>
      <c r="B476" s="14" t="s">
        <v>950</v>
      </c>
      <c r="C476">
        <v>37</v>
      </c>
      <c r="D476" s="14" t="s">
        <v>2014</v>
      </c>
      <c r="E476" s="1">
        <v>46081</v>
      </c>
      <c r="F476" s="1">
        <v>45400</v>
      </c>
      <c r="G476" s="14" t="s">
        <v>951</v>
      </c>
      <c r="H476" s="14" t="s">
        <v>21</v>
      </c>
      <c r="I476" s="14" t="s">
        <v>2462</v>
      </c>
      <c r="J476" s="14" t="str">
        <f>IF(messy_clinic_appointments[[#This Row],[billing_amount]] &lt; 200, "Low", IF(messy_clinic_appointments[[#This Row],[billing_amount]]&lt;= 400, "Medium", "High"))</f>
        <v>High</v>
      </c>
      <c r="K476" s="14" t="s">
        <v>2039</v>
      </c>
      <c r="L476" s="2">
        <f>DATEDIF(messy_clinic_appointments[[#This Row],[booking_date]],messy_clinic_appointments[[#This Row],[appointment_date]],"d")</f>
        <v>681</v>
      </c>
      <c r="M476" s="14" t="str">
        <f>IF(messy_clinic_appointments[[#This Row],[days_to_appointment]]&gt;365, "Review", "OK")</f>
        <v>Review</v>
      </c>
    </row>
    <row r="477" spans="1:13" x14ac:dyDescent="0.25">
      <c r="A477">
        <v>1027</v>
      </c>
      <c r="B477" s="14" t="s">
        <v>952</v>
      </c>
      <c r="C477">
        <v>81</v>
      </c>
      <c r="D477" s="14" t="s">
        <v>30</v>
      </c>
      <c r="E477" s="1">
        <v>46021</v>
      </c>
      <c r="F477" s="1">
        <v>45666</v>
      </c>
      <c r="G477" s="14" t="s">
        <v>953</v>
      </c>
      <c r="H477" s="14" t="s">
        <v>21</v>
      </c>
      <c r="I477" s="14" t="s">
        <v>2463</v>
      </c>
      <c r="J477" s="14" t="str">
        <f>IF(messy_clinic_appointments[[#This Row],[billing_amount]] &lt; 200, "Low", IF(messy_clinic_appointments[[#This Row],[billing_amount]]&lt;= 400, "Medium", "High"))</f>
        <v>High</v>
      </c>
      <c r="K477" s="14" t="s">
        <v>2039</v>
      </c>
      <c r="L477" s="2">
        <f>DATEDIF(messy_clinic_appointments[[#This Row],[booking_date]],messy_clinic_appointments[[#This Row],[appointment_date]],"d")</f>
        <v>355</v>
      </c>
      <c r="M477" s="14" t="str">
        <f>IF(messy_clinic_appointments[[#This Row],[days_to_appointment]]&gt;365, "Review", "OK")</f>
        <v>OK</v>
      </c>
    </row>
    <row r="478" spans="1:13" x14ac:dyDescent="0.25">
      <c r="A478">
        <v>1073</v>
      </c>
      <c r="B478" s="14" t="s">
        <v>954</v>
      </c>
      <c r="C478">
        <v>52</v>
      </c>
      <c r="D478" s="14" t="s">
        <v>2022</v>
      </c>
      <c r="E478" s="1">
        <v>46098</v>
      </c>
      <c r="F478" s="1">
        <v>45950</v>
      </c>
      <c r="G478" s="14" t="s">
        <v>955</v>
      </c>
      <c r="H478" s="14" t="s">
        <v>18</v>
      </c>
      <c r="I478" s="14" t="s">
        <v>2464</v>
      </c>
      <c r="J478" s="14" t="str">
        <f>IF(messy_clinic_appointments[[#This Row],[billing_amount]] &lt; 200, "Low", IF(messy_clinic_appointments[[#This Row],[billing_amount]]&lt;= 400, "Medium", "High"))</f>
        <v>High</v>
      </c>
      <c r="K478" s="14" t="s">
        <v>2013</v>
      </c>
      <c r="L478" s="2">
        <f>DATEDIF(messy_clinic_appointments[[#This Row],[booking_date]],messy_clinic_appointments[[#This Row],[appointment_date]],"d")</f>
        <v>148</v>
      </c>
      <c r="M478" s="14" t="str">
        <f>IF(messy_clinic_appointments[[#This Row],[days_to_appointment]]&gt;365, "Review", "OK")</f>
        <v>OK</v>
      </c>
    </row>
    <row r="479" spans="1:13" x14ac:dyDescent="0.25">
      <c r="A479">
        <v>1092</v>
      </c>
      <c r="B479" s="14" t="s">
        <v>956</v>
      </c>
      <c r="C479">
        <v>79</v>
      </c>
      <c r="D479" s="14" t="s">
        <v>2010</v>
      </c>
      <c r="E479" s="1">
        <v>45909</v>
      </c>
      <c r="F479" s="1">
        <v>45690</v>
      </c>
      <c r="G479" s="14" t="s">
        <v>957</v>
      </c>
      <c r="H479" s="14" t="s">
        <v>18</v>
      </c>
      <c r="I479" s="14" t="s">
        <v>2465</v>
      </c>
      <c r="J479" s="14" t="str">
        <f>IF(messy_clinic_appointments[[#This Row],[billing_amount]] &lt; 200, "Low", IF(messy_clinic_appointments[[#This Row],[billing_amount]]&lt;= 400, "Medium", "High"))</f>
        <v>High</v>
      </c>
      <c r="K479" s="14" t="s">
        <v>2026</v>
      </c>
      <c r="L479" s="2">
        <f>DATEDIF(messy_clinic_appointments[[#This Row],[booking_date]],messy_clinic_appointments[[#This Row],[appointment_date]],"d")</f>
        <v>219</v>
      </c>
      <c r="M479" s="14" t="str">
        <f>IF(messy_clinic_appointments[[#This Row],[days_to_appointment]]&gt;365, "Review", "OK")</f>
        <v>OK</v>
      </c>
    </row>
    <row r="480" spans="1:13" x14ac:dyDescent="0.25">
      <c r="A480">
        <v>1083</v>
      </c>
      <c r="B480" s="14" t="s">
        <v>958</v>
      </c>
      <c r="C480">
        <v>56</v>
      </c>
      <c r="D480" s="14" t="s">
        <v>2011</v>
      </c>
      <c r="E480" s="1">
        <v>45979</v>
      </c>
      <c r="F480" s="1">
        <v>45695</v>
      </c>
      <c r="G480" s="14" t="s">
        <v>959</v>
      </c>
      <c r="H480" s="14" t="s">
        <v>12</v>
      </c>
      <c r="I480" s="14" t="s">
        <v>2466</v>
      </c>
      <c r="J480" s="14" t="str">
        <f>IF(messy_clinic_appointments[[#This Row],[billing_amount]] &lt; 200, "Low", IF(messy_clinic_appointments[[#This Row],[billing_amount]]&lt;= 400, "Medium", "High"))</f>
        <v>High</v>
      </c>
      <c r="K480" s="14" t="s">
        <v>2039</v>
      </c>
      <c r="L480" s="2">
        <f>DATEDIF(messy_clinic_appointments[[#This Row],[booking_date]],messy_clinic_appointments[[#This Row],[appointment_date]],"d")</f>
        <v>284</v>
      </c>
      <c r="M480" s="14" t="str">
        <f>IF(messy_clinic_appointments[[#This Row],[days_to_appointment]]&gt;365, "Review", "OK")</f>
        <v>OK</v>
      </c>
    </row>
    <row r="481" spans="1:13" x14ac:dyDescent="0.25">
      <c r="A481">
        <v>1091</v>
      </c>
      <c r="B481" s="14" t="s">
        <v>960</v>
      </c>
      <c r="C481">
        <v>74</v>
      </c>
      <c r="D481" s="14" t="s">
        <v>50</v>
      </c>
      <c r="E481" s="1">
        <v>46002</v>
      </c>
      <c r="F481" s="1">
        <v>45770</v>
      </c>
      <c r="G481" s="14" t="s">
        <v>961</v>
      </c>
      <c r="H481" s="14" t="s">
        <v>12</v>
      </c>
      <c r="I481" s="14" t="s">
        <v>2467</v>
      </c>
      <c r="J481" s="14" t="str">
        <f>IF(messy_clinic_appointments[[#This Row],[billing_amount]] &lt; 200, "Low", IF(messy_clinic_appointments[[#This Row],[billing_amount]]&lt;= 400, "Medium", "High"))</f>
        <v>High</v>
      </c>
      <c r="K481" s="14" t="s">
        <v>2013</v>
      </c>
      <c r="L481" s="2">
        <f>DATEDIF(messy_clinic_appointments[[#This Row],[booking_date]],messy_clinic_appointments[[#This Row],[appointment_date]],"d")</f>
        <v>232</v>
      </c>
      <c r="M481" s="14" t="str">
        <f>IF(messy_clinic_appointments[[#This Row],[days_to_appointment]]&gt;365, "Review", "OK")</f>
        <v>OK</v>
      </c>
    </row>
    <row r="482" spans="1:13" x14ac:dyDescent="0.25">
      <c r="A482">
        <v>1057</v>
      </c>
      <c r="B482" s="14" t="s">
        <v>962</v>
      </c>
      <c r="C482">
        <v>60</v>
      </c>
      <c r="D482" s="14" t="s">
        <v>30</v>
      </c>
      <c r="E482" s="1">
        <v>46048</v>
      </c>
      <c r="F482" s="1">
        <v>45565</v>
      </c>
      <c r="G482" s="14" t="s">
        <v>963</v>
      </c>
      <c r="H482" s="14" t="s">
        <v>21</v>
      </c>
      <c r="I482" s="14" t="s">
        <v>2468</v>
      </c>
      <c r="J482" s="14" t="str">
        <f>IF(messy_clinic_appointments[[#This Row],[billing_amount]] &lt; 200, "Low", IF(messy_clinic_appointments[[#This Row],[billing_amount]]&lt;= 400, "Medium", "High"))</f>
        <v>High</v>
      </c>
      <c r="K482" s="14" t="s">
        <v>28</v>
      </c>
      <c r="L482" s="2">
        <f>DATEDIF(messy_clinic_appointments[[#This Row],[booking_date]],messy_clinic_appointments[[#This Row],[appointment_date]],"d")</f>
        <v>483</v>
      </c>
      <c r="M482" s="14" t="str">
        <f>IF(messy_clinic_appointments[[#This Row],[days_to_appointment]]&gt;365, "Review", "OK")</f>
        <v>Review</v>
      </c>
    </row>
    <row r="483" spans="1:13" x14ac:dyDescent="0.25">
      <c r="A483">
        <v>1018</v>
      </c>
      <c r="B483" s="14" t="s">
        <v>964</v>
      </c>
      <c r="C483">
        <v>54</v>
      </c>
      <c r="D483" s="14" t="s">
        <v>2014</v>
      </c>
      <c r="E483" s="1">
        <v>45951</v>
      </c>
      <c r="F483" s="1">
        <v>45758</v>
      </c>
      <c r="G483" s="14" t="s">
        <v>965</v>
      </c>
      <c r="H483" s="14" t="s">
        <v>21</v>
      </c>
      <c r="I483" s="14" t="s">
        <v>2469</v>
      </c>
      <c r="J483" s="14" t="str">
        <f>IF(messy_clinic_appointments[[#This Row],[billing_amount]] &lt; 200, "Low", IF(messy_clinic_appointments[[#This Row],[billing_amount]]&lt;= 400, "Medium", "High"))</f>
        <v>High</v>
      </c>
      <c r="K483" s="14" t="s">
        <v>2013</v>
      </c>
      <c r="L483" s="2">
        <f>DATEDIF(messy_clinic_appointments[[#This Row],[booking_date]],messy_clinic_appointments[[#This Row],[appointment_date]],"d")</f>
        <v>193</v>
      </c>
      <c r="M483" s="14" t="str">
        <f>IF(messy_clinic_appointments[[#This Row],[days_to_appointment]]&gt;365, "Review", "OK")</f>
        <v>OK</v>
      </c>
    </row>
    <row r="484" spans="1:13" x14ac:dyDescent="0.25">
      <c r="A484">
        <v>1002</v>
      </c>
      <c r="B484" s="14" t="s">
        <v>966</v>
      </c>
      <c r="C484">
        <v>89</v>
      </c>
      <c r="D484" s="14" t="s">
        <v>2011</v>
      </c>
      <c r="E484" s="1">
        <v>45847</v>
      </c>
      <c r="F484" s="1">
        <v>45660</v>
      </c>
      <c r="G484" s="14" t="s">
        <v>967</v>
      </c>
      <c r="H484" s="14" t="s">
        <v>18</v>
      </c>
      <c r="I484" s="14" t="s">
        <v>2470</v>
      </c>
      <c r="J484" s="14" t="str">
        <f>IF(messy_clinic_appointments[[#This Row],[billing_amount]] &lt; 200, "Low", IF(messy_clinic_appointments[[#This Row],[billing_amount]]&lt;= 400, "Medium", "High"))</f>
        <v>High</v>
      </c>
      <c r="K484" s="14" t="s">
        <v>28</v>
      </c>
      <c r="L484" s="2">
        <f>DATEDIF(messy_clinic_appointments[[#This Row],[booking_date]],messy_clinic_appointments[[#This Row],[appointment_date]],"d")</f>
        <v>187</v>
      </c>
      <c r="M484" s="14" t="str">
        <f>IF(messy_clinic_appointments[[#This Row],[days_to_appointment]]&gt;365, "Review", "OK")</f>
        <v>OK</v>
      </c>
    </row>
    <row r="485" spans="1:13" x14ac:dyDescent="0.25">
      <c r="A485">
        <v>1084</v>
      </c>
      <c r="B485" s="14" t="s">
        <v>968</v>
      </c>
      <c r="C485">
        <v>84</v>
      </c>
      <c r="D485" s="14" t="s">
        <v>2039</v>
      </c>
      <c r="E485" s="1">
        <v>45801</v>
      </c>
      <c r="F485" s="1">
        <v>45422</v>
      </c>
      <c r="G485" s="14" t="s">
        <v>969</v>
      </c>
      <c r="H485" s="14" t="s">
        <v>21</v>
      </c>
      <c r="I485" s="14" t="s">
        <v>2471</v>
      </c>
      <c r="J485" s="14" t="str">
        <f>IF(messy_clinic_appointments[[#This Row],[billing_amount]] &lt; 200, "Low", IF(messy_clinic_appointments[[#This Row],[billing_amount]]&lt;= 400, "Medium", "High"))</f>
        <v>High</v>
      </c>
      <c r="K485" s="14" t="s">
        <v>2010</v>
      </c>
      <c r="L485" s="2">
        <f>DATEDIF(messy_clinic_appointments[[#This Row],[booking_date]],messy_clinic_appointments[[#This Row],[appointment_date]],"d")</f>
        <v>379</v>
      </c>
      <c r="M485" s="14" t="str">
        <f>IF(messy_clinic_appointments[[#This Row],[days_to_appointment]]&gt;365, "Review", "OK")</f>
        <v>Review</v>
      </c>
    </row>
    <row r="486" spans="1:13" x14ac:dyDescent="0.25">
      <c r="A486">
        <v>1005</v>
      </c>
      <c r="B486" s="14" t="s">
        <v>970</v>
      </c>
      <c r="C486">
        <v>80</v>
      </c>
      <c r="D486" s="14" t="s">
        <v>2039</v>
      </c>
      <c r="E486" s="1">
        <v>45793</v>
      </c>
      <c r="F486" s="1">
        <v>45609</v>
      </c>
      <c r="G486" s="14" t="s">
        <v>971</v>
      </c>
      <c r="H486" s="14" t="s">
        <v>18</v>
      </c>
      <c r="I486" s="14" t="s">
        <v>2472</v>
      </c>
      <c r="J486" s="14" t="str">
        <f>IF(messy_clinic_appointments[[#This Row],[billing_amount]] &lt; 200, "Low", IF(messy_clinic_appointments[[#This Row],[billing_amount]]&lt;= 400, "Medium", "High"))</f>
        <v>High</v>
      </c>
      <c r="K486" s="14" t="s">
        <v>2013</v>
      </c>
      <c r="L486" s="2">
        <f>DATEDIF(messy_clinic_appointments[[#This Row],[booking_date]],messy_clinic_appointments[[#This Row],[appointment_date]],"d")</f>
        <v>184</v>
      </c>
      <c r="M486" s="14" t="str">
        <f>IF(messy_clinic_appointments[[#This Row],[days_to_appointment]]&gt;365, "Review", "OK")</f>
        <v>OK</v>
      </c>
    </row>
    <row r="487" spans="1:13" x14ac:dyDescent="0.25">
      <c r="A487">
        <v>1094</v>
      </c>
      <c r="B487" s="14" t="s">
        <v>972</v>
      </c>
      <c r="C487">
        <v>59</v>
      </c>
      <c r="D487" s="14" t="s">
        <v>2008</v>
      </c>
      <c r="E487" s="1">
        <v>46079</v>
      </c>
      <c r="F487" s="1">
        <v>45529</v>
      </c>
      <c r="G487" s="14" t="s">
        <v>973</v>
      </c>
      <c r="H487" s="14" t="s">
        <v>18</v>
      </c>
      <c r="I487" s="14" t="s">
        <v>2473</v>
      </c>
      <c r="J487" s="14" t="str">
        <f>IF(messy_clinic_appointments[[#This Row],[billing_amount]] &lt; 200, "Low", IF(messy_clinic_appointments[[#This Row],[billing_amount]]&lt;= 400, "Medium", "High"))</f>
        <v>High</v>
      </c>
      <c r="K487" s="14" t="s">
        <v>22</v>
      </c>
      <c r="L487" s="2">
        <f>DATEDIF(messy_clinic_appointments[[#This Row],[booking_date]],messy_clinic_appointments[[#This Row],[appointment_date]],"d")</f>
        <v>550</v>
      </c>
      <c r="M487" s="14" t="str">
        <f>IF(messy_clinic_appointments[[#This Row],[days_to_appointment]]&gt;365, "Review", "OK")</f>
        <v>Review</v>
      </c>
    </row>
    <row r="488" spans="1:13" x14ac:dyDescent="0.25">
      <c r="A488">
        <v>1084</v>
      </c>
      <c r="B488" s="14" t="s">
        <v>974</v>
      </c>
      <c r="C488">
        <v>55</v>
      </c>
      <c r="D488" s="14" t="s">
        <v>30</v>
      </c>
      <c r="E488" s="1">
        <v>45776</v>
      </c>
      <c r="F488" s="1">
        <v>45632</v>
      </c>
      <c r="G488" s="14" t="s">
        <v>975</v>
      </c>
      <c r="H488" s="14" t="s">
        <v>18</v>
      </c>
      <c r="I488" s="14" t="s">
        <v>2474</v>
      </c>
      <c r="J488" s="14" t="str">
        <f>IF(messy_clinic_appointments[[#This Row],[billing_amount]] &lt; 200, "Low", IF(messy_clinic_appointments[[#This Row],[billing_amount]]&lt;= 400, "Medium", "High"))</f>
        <v>High</v>
      </c>
      <c r="K488" s="14" t="s">
        <v>2026</v>
      </c>
      <c r="L488" s="2">
        <f>DATEDIF(messy_clinic_appointments[[#This Row],[booking_date]],messy_clinic_appointments[[#This Row],[appointment_date]],"d")</f>
        <v>144</v>
      </c>
      <c r="M488" s="14" t="str">
        <f>IF(messy_clinic_appointments[[#This Row],[days_to_appointment]]&gt;365, "Review", "OK")</f>
        <v>OK</v>
      </c>
    </row>
    <row r="489" spans="1:13" x14ac:dyDescent="0.25">
      <c r="A489">
        <v>1044</v>
      </c>
      <c r="B489" s="14" t="s">
        <v>976</v>
      </c>
      <c r="C489">
        <v>68</v>
      </c>
      <c r="D489" s="14" t="s">
        <v>2022</v>
      </c>
      <c r="E489" s="1">
        <v>45888</v>
      </c>
      <c r="F489" s="1">
        <v>45688</v>
      </c>
      <c r="G489" s="14" t="s">
        <v>977</v>
      </c>
      <c r="H489" s="14" t="s">
        <v>15</v>
      </c>
      <c r="I489" s="14" t="s">
        <v>2475</v>
      </c>
      <c r="J489" s="14" t="str">
        <f>IF(messy_clinic_appointments[[#This Row],[billing_amount]] &lt; 200, "Low", IF(messy_clinic_appointments[[#This Row],[billing_amount]]&lt;= 400, "Medium", "High"))</f>
        <v>High</v>
      </c>
      <c r="K489" s="14" t="s">
        <v>28</v>
      </c>
      <c r="L489" s="2">
        <f>DATEDIF(messy_clinic_appointments[[#This Row],[booking_date]],messy_clinic_appointments[[#This Row],[appointment_date]],"d")</f>
        <v>200</v>
      </c>
      <c r="M489" s="14" t="str">
        <f>IF(messy_clinic_appointments[[#This Row],[days_to_appointment]]&gt;365, "Review", "OK")</f>
        <v>OK</v>
      </c>
    </row>
    <row r="490" spans="1:13" x14ac:dyDescent="0.25">
      <c r="A490">
        <v>1067</v>
      </c>
      <c r="B490" s="14" t="s">
        <v>978</v>
      </c>
      <c r="C490">
        <v>60</v>
      </c>
      <c r="D490" s="14" t="s">
        <v>50</v>
      </c>
      <c r="E490" s="1">
        <v>45969</v>
      </c>
      <c r="F490" s="1">
        <v>45746</v>
      </c>
      <c r="G490" s="14" t="s">
        <v>979</v>
      </c>
      <c r="H490" s="14" t="s">
        <v>12</v>
      </c>
      <c r="I490" s="14" t="s">
        <v>2476</v>
      </c>
      <c r="J490" s="14" t="str">
        <f>IF(messy_clinic_appointments[[#This Row],[billing_amount]] &lt; 200, "Low", IF(messy_clinic_appointments[[#This Row],[billing_amount]]&lt;= 400, "Medium", "High"))</f>
        <v>High</v>
      </c>
      <c r="K490" s="14" t="s">
        <v>2026</v>
      </c>
      <c r="L490" s="2">
        <f>DATEDIF(messy_clinic_appointments[[#This Row],[booking_date]],messy_clinic_appointments[[#This Row],[appointment_date]],"d")</f>
        <v>223</v>
      </c>
      <c r="M490" s="14" t="str">
        <f>IF(messy_clinic_appointments[[#This Row],[days_to_appointment]]&gt;365, "Review", "OK")</f>
        <v>OK</v>
      </c>
    </row>
    <row r="491" spans="1:13" x14ac:dyDescent="0.25">
      <c r="A491">
        <v>1083</v>
      </c>
      <c r="B491" s="14" t="s">
        <v>980</v>
      </c>
      <c r="C491">
        <v>59</v>
      </c>
      <c r="D491" s="14" t="s">
        <v>50</v>
      </c>
      <c r="E491" s="1">
        <v>45918</v>
      </c>
      <c r="F491" s="1">
        <v>45458</v>
      </c>
      <c r="G491" s="14" t="s">
        <v>981</v>
      </c>
      <c r="H491" s="14" t="s">
        <v>18</v>
      </c>
      <c r="I491" s="14" t="s">
        <v>2477</v>
      </c>
      <c r="J491" s="14" t="str">
        <f>IF(messy_clinic_appointments[[#This Row],[billing_amount]] &lt; 200, "Low", IF(messy_clinic_appointments[[#This Row],[billing_amount]]&lt;= 400, "Medium", "High"))</f>
        <v>High</v>
      </c>
      <c r="K491" s="14" t="s">
        <v>2013</v>
      </c>
      <c r="L491" s="2">
        <f>DATEDIF(messy_clinic_appointments[[#This Row],[booking_date]],messy_clinic_appointments[[#This Row],[appointment_date]],"d")</f>
        <v>460</v>
      </c>
      <c r="M491" s="14" t="str">
        <f>IF(messy_clinic_appointments[[#This Row],[days_to_appointment]]&gt;365, "Review", "OK")</f>
        <v>Review</v>
      </c>
    </row>
    <row r="492" spans="1:13" x14ac:dyDescent="0.25">
      <c r="A492">
        <v>1017</v>
      </c>
      <c r="B492" s="14" t="s">
        <v>982</v>
      </c>
      <c r="C492">
        <v>84</v>
      </c>
      <c r="D492" s="14" t="s">
        <v>2011</v>
      </c>
      <c r="E492" s="1">
        <v>46058</v>
      </c>
      <c r="F492" s="1">
        <v>45440</v>
      </c>
      <c r="G492" s="14" t="s">
        <v>983</v>
      </c>
      <c r="H492" s="14" t="s">
        <v>15</v>
      </c>
      <c r="I492" s="14" t="s">
        <v>2478</v>
      </c>
      <c r="J492" s="14" t="str">
        <f>IF(messy_clinic_appointments[[#This Row],[billing_amount]] &lt; 200, "Low", IF(messy_clinic_appointments[[#This Row],[billing_amount]]&lt;= 400, "Medium", "High"))</f>
        <v>High</v>
      </c>
      <c r="K492" s="14" t="s">
        <v>2026</v>
      </c>
      <c r="L492" s="2">
        <f>DATEDIF(messy_clinic_appointments[[#This Row],[booking_date]],messy_clinic_appointments[[#This Row],[appointment_date]],"d")</f>
        <v>618</v>
      </c>
      <c r="M492" s="14" t="str">
        <f>IF(messy_clinic_appointments[[#This Row],[days_to_appointment]]&gt;365, "Review", "OK")</f>
        <v>Review</v>
      </c>
    </row>
    <row r="493" spans="1:13" x14ac:dyDescent="0.25">
      <c r="A493">
        <v>1080</v>
      </c>
      <c r="B493" s="14" t="s">
        <v>984</v>
      </c>
      <c r="C493">
        <v>38</v>
      </c>
      <c r="D493" s="14" t="s">
        <v>2010</v>
      </c>
      <c r="E493" s="1">
        <v>45808</v>
      </c>
      <c r="F493" s="1">
        <v>45438</v>
      </c>
      <c r="G493" s="14" t="s">
        <v>985</v>
      </c>
      <c r="H493" s="14" t="s">
        <v>15</v>
      </c>
      <c r="I493" s="14" t="s">
        <v>2479</v>
      </c>
      <c r="J493" s="14" t="str">
        <f>IF(messy_clinic_appointments[[#This Row],[billing_amount]] &lt; 200, "Low", IF(messy_clinic_appointments[[#This Row],[billing_amount]]&lt;= 400, "Medium", "High"))</f>
        <v>High</v>
      </c>
      <c r="K493" s="14" t="s">
        <v>2010</v>
      </c>
      <c r="L493" s="2">
        <f>DATEDIF(messy_clinic_appointments[[#This Row],[booking_date]],messy_clinic_appointments[[#This Row],[appointment_date]],"d")</f>
        <v>370</v>
      </c>
      <c r="M493" s="14" t="str">
        <f>IF(messy_clinic_appointments[[#This Row],[days_to_appointment]]&gt;365, "Review", "OK")</f>
        <v>Review</v>
      </c>
    </row>
    <row r="494" spans="1:13" x14ac:dyDescent="0.25">
      <c r="A494">
        <v>1089</v>
      </c>
      <c r="B494" s="14" t="s">
        <v>986</v>
      </c>
      <c r="C494">
        <v>23</v>
      </c>
      <c r="D494" s="14" t="s">
        <v>2011</v>
      </c>
      <c r="E494" s="1">
        <v>45879</v>
      </c>
      <c r="F494" s="1">
        <v>45769</v>
      </c>
      <c r="G494" s="14" t="s">
        <v>987</v>
      </c>
      <c r="H494" s="14" t="s">
        <v>21</v>
      </c>
      <c r="I494" s="14" t="s">
        <v>2480</v>
      </c>
      <c r="J494" s="14" t="str">
        <f>IF(messy_clinic_appointments[[#This Row],[billing_amount]] &lt; 200, "Low", IF(messy_clinic_appointments[[#This Row],[billing_amount]]&lt;= 400, "Medium", "High"))</f>
        <v>High</v>
      </c>
      <c r="K494" s="14" t="s">
        <v>2039</v>
      </c>
      <c r="L494" s="2">
        <f>DATEDIF(messy_clinic_appointments[[#This Row],[booking_date]],messy_clinic_appointments[[#This Row],[appointment_date]],"d")</f>
        <v>110</v>
      </c>
      <c r="M494" s="14" t="str">
        <f>IF(messy_clinic_appointments[[#This Row],[days_to_appointment]]&gt;365, "Review", "OK")</f>
        <v>OK</v>
      </c>
    </row>
    <row r="495" spans="1:13" x14ac:dyDescent="0.25">
      <c r="A495">
        <v>1070</v>
      </c>
      <c r="B495" s="14" t="s">
        <v>988</v>
      </c>
      <c r="C495">
        <v>62</v>
      </c>
      <c r="D495" s="14" t="s">
        <v>2008</v>
      </c>
      <c r="E495" s="1">
        <v>45909</v>
      </c>
      <c r="F495" s="1">
        <v>45621</v>
      </c>
      <c r="G495" s="14" t="s">
        <v>989</v>
      </c>
      <c r="H495" s="14" t="s">
        <v>12</v>
      </c>
      <c r="I495" s="14" t="s">
        <v>2481</v>
      </c>
      <c r="J495" s="14" t="str">
        <f>IF(messy_clinic_appointments[[#This Row],[billing_amount]] &lt; 200, "Low", IF(messy_clinic_appointments[[#This Row],[billing_amount]]&lt;= 400, "Medium", "High"))</f>
        <v>High</v>
      </c>
      <c r="K495" s="14" t="s">
        <v>28</v>
      </c>
      <c r="L495" s="2">
        <f>DATEDIF(messy_clinic_appointments[[#This Row],[booking_date]],messy_clinic_appointments[[#This Row],[appointment_date]],"d")</f>
        <v>288</v>
      </c>
      <c r="M495" s="14" t="str">
        <f>IF(messy_clinic_appointments[[#This Row],[days_to_appointment]]&gt;365, "Review", "OK")</f>
        <v>OK</v>
      </c>
    </row>
    <row r="496" spans="1:13" x14ac:dyDescent="0.25">
      <c r="A496">
        <v>1093</v>
      </c>
      <c r="B496" s="14" t="s">
        <v>990</v>
      </c>
      <c r="C496">
        <v>34</v>
      </c>
      <c r="D496" s="14" t="s">
        <v>2039</v>
      </c>
      <c r="E496" s="1">
        <v>46085</v>
      </c>
      <c r="F496" s="1">
        <v>45546</v>
      </c>
      <c r="G496" s="14" t="s">
        <v>991</v>
      </c>
      <c r="H496" s="14" t="s">
        <v>15</v>
      </c>
      <c r="I496" s="14" t="s">
        <v>2482</v>
      </c>
      <c r="J496" s="14" t="str">
        <f>IF(messy_clinic_appointments[[#This Row],[billing_amount]] &lt; 200, "Low", IF(messy_clinic_appointments[[#This Row],[billing_amount]]&lt;= 400, "Medium", "High"))</f>
        <v>High</v>
      </c>
      <c r="K496" s="14" t="s">
        <v>2013</v>
      </c>
      <c r="L496" s="2">
        <f>DATEDIF(messy_clinic_appointments[[#This Row],[booking_date]],messy_clinic_appointments[[#This Row],[appointment_date]],"d")</f>
        <v>539</v>
      </c>
      <c r="M496" s="14" t="str">
        <f>IF(messy_clinic_appointments[[#This Row],[days_to_appointment]]&gt;365, "Review", "OK")</f>
        <v>Review</v>
      </c>
    </row>
    <row r="497" spans="1:13" x14ac:dyDescent="0.25">
      <c r="A497">
        <v>1088</v>
      </c>
      <c r="B497" s="14" t="s">
        <v>992</v>
      </c>
      <c r="C497">
        <v>35</v>
      </c>
      <c r="D497" s="14" t="s">
        <v>2014</v>
      </c>
      <c r="E497" s="1">
        <v>45957</v>
      </c>
      <c r="F497" s="1">
        <v>45849</v>
      </c>
      <c r="G497" s="14" t="s">
        <v>993</v>
      </c>
      <c r="H497" s="14" t="s">
        <v>12</v>
      </c>
      <c r="I497" s="14" t="s">
        <v>2483</v>
      </c>
      <c r="J497" s="14" t="str">
        <f>IF(messy_clinic_appointments[[#This Row],[billing_amount]] &lt; 200, "Low", IF(messy_clinic_appointments[[#This Row],[billing_amount]]&lt;= 400, "Medium", "High"))</f>
        <v>High</v>
      </c>
      <c r="K497" s="14" t="s">
        <v>2010</v>
      </c>
      <c r="L497" s="2">
        <f>DATEDIF(messy_clinic_appointments[[#This Row],[booking_date]],messy_clinic_appointments[[#This Row],[appointment_date]],"d")</f>
        <v>108</v>
      </c>
      <c r="M497" s="14" t="str">
        <f>IF(messy_clinic_appointments[[#This Row],[days_to_appointment]]&gt;365, "Review", "OK")</f>
        <v>OK</v>
      </c>
    </row>
    <row r="498" spans="1:13" x14ac:dyDescent="0.25">
      <c r="A498">
        <v>1086</v>
      </c>
      <c r="B498" s="14" t="s">
        <v>994</v>
      </c>
      <c r="C498">
        <v>36</v>
      </c>
      <c r="D498" s="14" t="s">
        <v>50</v>
      </c>
      <c r="E498" s="1">
        <v>46098</v>
      </c>
      <c r="F498" s="1">
        <v>45529</v>
      </c>
      <c r="G498" s="14" t="s">
        <v>995</v>
      </c>
      <c r="H498" s="14" t="s">
        <v>15</v>
      </c>
      <c r="I498" s="14" t="s">
        <v>2484</v>
      </c>
      <c r="J498" s="14" t="str">
        <f>IF(messy_clinic_appointments[[#This Row],[billing_amount]] &lt; 200, "Low", IF(messy_clinic_appointments[[#This Row],[billing_amount]]&lt;= 400, "Medium", "High"))</f>
        <v>High</v>
      </c>
      <c r="K498" s="14" t="s">
        <v>2039</v>
      </c>
      <c r="L498" s="2">
        <f>DATEDIF(messy_clinic_appointments[[#This Row],[booking_date]],messy_clinic_appointments[[#This Row],[appointment_date]],"d")</f>
        <v>569</v>
      </c>
      <c r="M498" s="14" t="str">
        <f>IF(messy_clinic_appointments[[#This Row],[days_to_appointment]]&gt;365, "Review", "OK")</f>
        <v>Review</v>
      </c>
    </row>
    <row r="499" spans="1:13" x14ac:dyDescent="0.25">
      <c r="A499">
        <v>1033</v>
      </c>
      <c r="B499" s="14" t="s">
        <v>996</v>
      </c>
      <c r="C499">
        <v>47</v>
      </c>
      <c r="D499" s="14" t="s">
        <v>2039</v>
      </c>
      <c r="E499" s="1">
        <v>45994</v>
      </c>
      <c r="F499" s="1">
        <v>45893</v>
      </c>
      <c r="G499" s="14" t="s">
        <v>997</v>
      </c>
      <c r="H499" s="14" t="s">
        <v>12</v>
      </c>
      <c r="I499" s="14" t="s">
        <v>2485</v>
      </c>
      <c r="J499" s="14" t="str">
        <f>IF(messy_clinic_appointments[[#This Row],[billing_amount]] &lt; 200, "Low", IF(messy_clinic_appointments[[#This Row],[billing_amount]]&lt;= 400, "Medium", "High"))</f>
        <v>High</v>
      </c>
      <c r="K499" s="14" t="s">
        <v>2026</v>
      </c>
      <c r="L499" s="2">
        <f>DATEDIF(messy_clinic_appointments[[#This Row],[booking_date]],messy_clinic_appointments[[#This Row],[appointment_date]],"d")</f>
        <v>101</v>
      </c>
      <c r="M499" s="14" t="str">
        <f>IF(messy_clinic_appointments[[#This Row],[days_to_appointment]]&gt;365, "Review", "OK")</f>
        <v>OK</v>
      </c>
    </row>
    <row r="500" spans="1:13" x14ac:dyDescent="0.25">
      <c r="A500">
        <v>1023</v>
      </c>
      <c r="B500" s="14" t="s">
        <v>998</v>
      </c>
      <c r="C500">
        <v>36</v>
      </c>
      <c r="D500" s="14" t="s">
        <v>2010</v>
      </c>
      <c r="E500" s="1">
        <v>45943</v>
      </c>
      <c r="F500" s="1">
        <v>45665</v>
      </c>
      <c r="G500" s="14" t="s">
        <v>999</v>
      </c>
      <c r="H500" s="14" t="s">
        <v>12</v>
      </c>
      <c r="I500" s="14" t="s">
        <v>2486</v>
      </c>
      <c r="J500" s="14" t="str">
        <f>IF(messy_clinic_appointments[[#This Row],[billing_amount]] &lt; 200, "Low", IF(messy_clinic_appointments[[#This Row],[billing_amount]]&lt;= 400, "Medium", "High"))</f>
        <v>High</v>
      </c>
      <c r="K500" s="14" t="s">
        <v>2026</v>
      </c>
      <c r="L500" s="2">
        <f>DATEDIF(messy_clinic_appointments[[#This Row],[booking_date]],messy_clinic_appointments[[#This Row],[appointment_date]],"d")</f>
        <v>278</v>
      </c>
      <c r="M500" s="14" t="str">
        <f>IF(messy_clinic_appointments[[#This Row],[days_to_appointment]]&gt;365, "Review", "OK")</f>
        <v>OK</v>
      </c>
    </row>
    <row r="501" spans="1:13" x14ac:dyDescent="0.25">
      <c r="A501">
        <v>1053</v>
      </c>
      <c r="B501" s="14" t="s">
        <v>1000</v>
      </c>
      <c r="C501">
        <v>57</v>
      </c>
      <c r="D501" s="14" t="s">
        <v>2039</v>
      </c>
      <c r="E501" s="1">
        <v>45836</v>
      </c>
      <c r="F501" s="1">
        <v>45598</v>
      </c>
      <c r="G501" s="14" t="s">
        <v>1001</v>
      </c>
      <c r="H501" s="14" t="s">
        <v>12</v>
      </c>
      <c r="I501" s="14" t="s">
        <v>2487</v>
      </c>
      <c r="J501" s="14" t="str">
        <f>IF(messy_clinic_appointments[[#This Row],[billing_amount]] &lt; 200, "Low", IF(messy_clinic_appointments[[#This Row],[billing_amount]]&lt;= 400, "Medium", "High"))</f>
        <v>High</v>
      </c>
      <c r="K501" s="14" t="s">
        <v>28</v>
      </c>
      <c r="L501" s="2">
        <f>DATEDIF(messy_clinic_appointments[[#This Row],[booking_date]],messy_clinic_appointments[[#This Row],[appointment_date]],"d")</f>
        <v>238</v>
      </c>
      <c r="M501" s="14" t="str">
        <f>IF(messy_clinic_appointments[[#This Row],[days_to_appointment]]&gt;365, "Review", "OK")</f>
        <v>OK</v>
      </c>
    </row>
    <row r="502" spans="1:13" x14ac:dyDescent="0.25">
      <c r="A502">
        <v>1040</v>
      </c>
      <c r="B502" s="14" t="s">
        <v>1002</v>
      </c>
      <c r="C502">
        <v>20</v>
      </c>
      <c r="D502" s="14" t="s">
        <v>30</v>
      </c>
      <c r="E502" s="1">
        <v>45983</v>
      </c>
      <c r="F502" s="1">
        <v>45753</v>
      </c>
      <c r="G502" s="14" t="s">
        <v>1003</v>
      </c>
      <c r="H502" s="14" t="s">
        <v>12</v>
      </c>
      <c r="I502" s="14" t="s">
        <v>2488</v>
      </c>
      <c r="J502" s="14" t="str">
        <f>IF(messy_clinic_appointments[[#This Row],[billing_amount]] &lt; 200, "Low", IF(messy_clinic_appointments[[#This Row],[billing_amount]]&lt;= 400, "Medium", "High"))</f>
        <v>High</v>
      </c>
      <c r="K502" s="14" t="s">
        <v>22</v>
      </c>
      <c r="L502" s="2">
        <f>DATEDIF(messy_clinic_appointments[[#This Row],[booking_date]],messy_clinic_appointments[[#This Row],[appointment_date]],"d")</f>
        <v>230</v>
      </c>
      <c r="M502" s="14" t="str">
        <f>IF(messy_clinic_appointments[[#This Row],[days_to_appointment]]&gt;365, "Review", "OK")</f>
        <v>OK</v>
      </c>
    </row>
    <row r="503" spans="1:13" x14ac:dyDescent="0.25">
      <c r="A503">
        <v>1073</v>
      </c>
      <c r="B503" s="14" t="s">
        <v>1004</v>
      </c>
      <c r="C503">
        <v>50</v>
      </c>
      <c r="D503" s="14" t="s">
        <v>2039</v>
      </c>
      <c r="E503" s="1">
        <v>45911</v>
      </c>
      <c r="F503" s="1">
        <v>45730</v>
      </c>
      <c r="G503" s="14" t="s">
        <v>1005</v>
      </c>
      <c r="H503" s="14" t="s">
        <v>18</v>
      </c>
      <c r="I503" s="14" t="s">
        <v>2489</v>
      </c>
      <c r="J503" s="14" t="str">
        <f>IF(messy_clinic_appointments[[#This Row],[billing_amount]] &lt; 200, "Low", IF(messy_clinic_appointments[[#This Row],[billing_amount]]&lt;= 400, "Medium", "High"))</f>
        <v>High</v>
      </c>
      <c r="K503" s="14" t="s">
        <v>28</v>
      </c>
      <c r="L503" s="2">
        <f>DATEDIF(messy_clinic_appointments[[#This Row],[booking_date]],messy_clinic_appointments[[#This Row],[appointment_date]],"d")</f>
        <v>181</v>
      </c>
      <c r="M503" s="14" t="str">
        <f>IF(messy_clinic_appointments[[#This Row],[days_to_appointment]]&gt;365, "Review", "OK")</f>
        <v>OK</v>
      </c>
    </row>
    <row r="504" spans="1:13" x14ac:dyDescent="0.25">
      <c r="A504">
        <v>1031</v>
      </c>
      <c r="B504" s="14" t="s">
        <v>1006</v>
      </c>
      <c r="C504">
        <v>50</v>
      </c>
      <c r="D504" s="14" t="s">
        <v>2011</v>
      </c>
      <c r="E504" s="1">
        <v>45980</v>
      </c>
      <c r="F504" s="1">
        <v>45672</v>
      </c>
      <c r="G504" s="14" t="s">
        <v>1007</v>
      </c>
      <c r="H504" s="14" t="s">
        <v>15</v>
      </c>
      <c r="I504" s="14" t="s">
        <v>2490</v>
      </c>
      <c r="J504" s="14" t="str">
        <f>IF(messy_clinic_appointments[[#This Row],[billing_amount]] &lt; 200, "Low", IF(messy_clinic_appointments[[#This Row],[billing_amount]]&lt;= 400, "Medium", "High"))</f>
        <v>High</v>
      </c>
      <c r="K504" s="14" t="s">
        <v>2010</v>
      </c>
      <c r="L504" s="2">
        <f>DATEDIF(messy_clinic_appointments[[#This Row],[booking_date]],messy_clinic_appointments[[#This Row],[appointment_date]],"d")</f>
        <v>308</v>
      </c>
      <c r="M504" s="14" t="str">
        <f>IF(messy_clinic_appointments[[#This Row],[days_to_appointment]]&gt;365, "Review", "OK")</f>
        <v>OK</v>
      </c>
    </row>
    <row r="505" spans="1:13" x14ac:dyDescent="0.25">
      <c r="A505">
        <v>1093</v>
      </c>
      <c r="B505" s="14" t="s">
        <v>1008</v>
      </c>
      <c r="C505">
        <v>66</v>
      </c>
      <c r="D505" s="14" t="s">
        <v>2011</v>
      </c>
      <c r="E505" s="1">
        <v>46055</v>
      </c>
      <c r="F505" s="1">
        <v>45702</v>
      </c>
      <c r="G505" s="14" t="s">
        <v>1009</v>
      </c>
      <c r="H505" s="14" t="s">
        <v>18</v>
      </c>
      <c r="I505" s="14" t="s">
        <v>2491</v>
      </c>
      <c r="J505" s="14" t="str">
        <f>IF(messy_clinic_appointments[[#This Row],[billing_amount]] &lt; 200, "Low", IF(messy_clinic_appointments[[#This Row],[billing_amount]]&lt;= 400, "Medium", "High"))</f>
        <v>High</v>
      </c>
      <c r="K505" s="14" t="s">
        <v>2010</v>
      </c>
      <c r="L505" s="2">
        <f>DATEDIF(messy_clinic_appointments[[#This Row],[booking_date]],messy_clinic_appointments[[#This Row],[appointment_date]],"d")</f>
        <v>353</v>
      </c>
      <c r="M505" s="14" t="str">
        <f>IF(messy_clinic_appointments[[#This Row],[days_to_appointment]]&gt;365, "Review", "OK")</f>
        <v>OK</v>
      </c>
    </row>
    <row r="506" spans="1:13" x14ac:dyDescent="0.25">
      <c r="A506">
        <v>1029</v>
      </c>
      <c r="B506" s="14" t="s">
        <v>1010</v>
      </c>
      <c r="C506">
        <v>24</v>
      </c>
      <c r="D506" s="14" t="s">
        <v>50</v>
      </c>
      <c r="E506" s="1">
        <v>45865</v>
      </c>
      <c r="F506" s="1">
        <v>45857</v>
      </c>
      <c r="G506" s="14" t="s">
        <v>1011</v>
      </c>
      <c r="H506" s="14" t="s">
        <v>15</v>
      </c>
      <c r="I506" s="14" t="s">
        <v>2492</v>
      </c>
      <c r="J506" s="14" t="str">
        <f>IF(messy_clinic_appointments[[#This Row],[billing_amount]] &lt; 200, "Low", IF(messy_clinic_appointments[[#This Row],[billing_amount]]&lt;= 400, "Medium", "High"))</f>
        <v>High</v>
      </c>
      <c r="K506" s="14" t="s">
        <v>28</v>
      </c>
      <c r="L506" s="2">
        <f>DATEDIF(messy_clinic_appointments[[#This Row],[booking_date]],messy_clinic_appointments[[#This Row],[appointment_date]],"d")</f>
        <v>8</v>
      </c>
      <c r="M506" s="14" t="str">
        <f>IF(messy_clinic_appointments[[#This Row],[days_to_appointment]]&gt;365, "Review", "OK")</f>
        <v>OK</v>
      </c>
    </row>
    <row r="507" spans="1:13" x14ac:dyDescent="0.25">
      <c r="A507">
        <v>1082</v>
      </c>
      <c r="B507" s="14" t="s">
        <v>1012</v>
      </c>
      <c r="C507">
        <v>72</v>
      </c>
      <c r="D507" s="14" t="s">
        <v>2022</v>
      </c>
      <c r="E507" s="1">
        <v>46002</v>
      </c>
      <c r="F507" s="1">
        <v>45681</v>
      </c>
      <c r="G507" s="14" t="s">
        <v>1013</v>
      </c>
      <c r="H507" s="14" t="s">
        <v>12</v>
      </c>
      <c r="I507" s="14" t="s">
        <v>2493</v>
      </c>
      <c r="J507" s="14" t="str">
        <f>IF(messy_clinic_appointments[[#This Row],[billing_amount]] &lt; 200, "Low", IF(messy_clinic_appointments[[#This Row],[billing_amount]]&lt;= 400, "Medium", "High"))</f>
        <v>High</v>
      </c>
      <c r="K507" s="14" t="s">
        <v>22</v>
      </c>
      <c r="L507" s="2">
        <f>DATEDIF(messy_clinic_appointments[[#This Row],[booking_date]],messy_clinic_appointments[[#This Row],[appointment_date]],"d")</f>
        <v>321</v>
      </c>
      <c r="M507" s="14" t="str">
        <f>IF(messy_clinic_appointments[[#This Row],[days_to_appointment]]&gt;365, "Review", "OK")</f>
        <v>OK</v>
      </c>
    </row>
    <row r="508" spans="1:13" x14ac:dyDescent="0.25">
      <c r="A508">
        <v>1099</v>
      </c>
      <c r="B508" s="14" t="s">
        <v>1014</v>
      </c>
      <c r="C508">
        <v>85</v>
      </c>
      <c r="D508" s="14" t="s">
        <v>2014</v>
      </c>
      <c r="E508" s="1">
        <v>45950</v>
      </c>
      <c r="F508" s="1">
        <v>45879</v>
      </c>
      <c r="G508" s="14" t="s">
        <v>450</v>
      </c>
      <c r="H508" s="14" t="s">
        <v>18</v>
      </c>
      <c r="I508" s="14" t="s">
        <v>2494</v>
      </c>
      <c r="J508" s="14" t="str">
        <f>IF(messy_clinic_appointments[[#This Row],[billing_amount]] &lt; 200, "Low", IF(messy_clinic_appointments[[#This Row],[billing_amount]]&lt;= 400, "Medium", "High"))</f>
        <v>High</v>
      </c>
      <c r="K508" s="14" t="s">
        <v>28</v>
      </c>
      <c r="L508" s="2">
        <f>DATEDIF(messy_clinic_appointments[[#This Row],[booking_date]],messy_clinic_appointments[[#This Row],[appointment_date]],"d")</f>
        <v>71</v>
      </c>
      <c r="M508" s="14" t="str">
        <f>IF(messy_clinic_appointments[[#This Row],[days_to_appointment]]&gt;365, "Review", "OK")</f>
        <v>OK</v>
      </c>
    </row>
    <row r="509" spans="1:13" x14ac:dyDescent="0.25">
      <c r="A509">
        <v>1065</v>
      </c>
      <c r="B509" s="14" t="s">
        <v>1015</v>
      </c>
      <c r="C509">
        <v>38</v>
      </c>
      <c r="D509" s="14" t="s">
        <v>2014</v>
      </c>
      <c r="E509" s="1">
        <v>45806</v>
      </c>
      <c r="F509" s="1">
        <v>45790</v>
      </c>
      <c r="G509" s="14" t="s">
        <v>1016</v>
      </c>
      <c r="H509" s="14" t="s">
        <v>12</v>
      </c>
      <c r="I509" s="14" t="s">
        <v>2495</v>
      </c>
      <c r="J509" s="14" t="str">
        <f>IF(messy_clinic_appointments[[#This Row],[billing_amount]] &lt; 200, "Low", IF(messy_clinic_appointments[[#This Row],[billing_amount]]&lt;= 400, "Medium", "High"))</f>
        <v>High</v>
      </c>
      <c r="K509" s="14" t="s">
        <v>2039</v>
      </c>
      <c r="L509" s="2">
        <f>DATEDIF(messy_clinic_appointments[[#This Row],[booking_date]],messy_clinic_appointments[[#This Row],[appointment_date]],"d")</f>
        <v>16</v>
      </c>
      <c r="M509" s="14" t="str">
        <f>IF(messy_clinic_appointments[[#This Row],[days_to_appointment]]&gt;365, "Review", "OK")</f>
        <v>OK</v>
      </c>
    </row>
    <row r="510" spans="1:13" x14ac:dyDescent="0.25">
      <c r="A510">
        <v>1041</v>
      </c>
      <c r="B510" s="14" t="s">
        <v>1017</v>
      </c>
      <c r="C510">
        <v>67</v>
      </c>
      <c r="D510" s="14" t="s">
        <v>30</v>
      </c>
      <c r="E510" s="1">
        <v>45764</v>
      </c>
      <c r="F510" s="1">
        <v>45550</v>
      </c>
      <c r="G510" s="14" t="s">
        <v>1018</v>
      </c>
      <c r="H510" s="14" t="s">
        <v>15</v>
      </c>
      <c r="I510" s="14" t="s">
        <v>2496</v>
      </c>
      <c r="J510" s="14" t="str">
        <f>IF(messy_clinic_appointments[[#This Row],[billing_amount]] &lt; 200, "Low", IF(messy_clinic_appointments[[#This Row],[billing_amount]]&lt;= 400, "Medium", "High"))</f>
        <v>High</v>
      </c>
      <c r="K510" s="14" t="s">
        <v>2039</v>
      </c>
      <c r="L510" s="2">
        <f>DATEDIF(messy_clinic_appointments[[#This Row],[booking_date]],messy_clinic_appointments[[#This Row],[appointment_date]],"d")</f>
        <v>214</v>
      </c>
      <c r="M510" s="14" t="str">
        <f>IF(messy_clinic_appointments[[#This Row],[days_to_appointment]]&gt;365, "Review", "OK")</f>
        <v>OK</v>
      </c>
    </row>
    <row r="511" spans="1:13" x14ac:dyDescent="0.25">
      <c r="A511">
        <v>1003</v>
      </c>
      <c r="B511" s="14" t="s">
        <v>1019</v>
      </c>
      <c r="C511">
        <v>27</v>
      </c>
      <c r="D511" s="14" t="s">
        <v>2039</v>
      </c>
      <c r="E511" s="1">
        <v>45813</v>
      </c>
      <c r="F511" s="1">
        <v>45729</v>
      </c>
      <c r="G511" s="14" t="s">
        <v>1020</v>
      </c>
      <c r="H511" s="14" t="s">
        <v>15</v>
      </c>
      <c r="I511" s="14" t="s">
        <v>2497</v>
      </c>
      <c r="J511" s="14" t="str">
        <f>IF(messy_clinic_appointments[[#This Row],[billing_amount]] &lt; 200, "Low", IF(messy_clinic_appointments[[#This Row],[billing_amount]]&lt;= 400, "Medium", "High"))</f>
        <v>High</v>
      </c>
      <c r="K511" s="14" t="s">
        <v>28</v>
      </c>
      <c r="L511" s="2">
        <f>DATEDIF(messy_clinic_appointments[[#This Row],[booking_date]],messy_clinic_appointments[[#This Row],[appointment_date]],"d")</f>
        <v>84</v>
      </c>
      <c r="M511" s="14" t="str">
        <f>IF(messy_clinic_appointments[[#This Row],[days_to_appointment]]&gt;365, "Review", "OK")</f>
        <v>OK</v>
      </c>
    </row>
    <row r="512" spans="1:13" x14ac:dyDescent="0.25">
      <c r="A512">
        <v>1038</v>
      </c>
      <c r="B512" s="14" t="s">
        <v>1021</v>
      </c>
      <c r="C512">
        <v>45</v>
      </c>
      <c r="D512" s="14" t="s">
        <v>30</v>
      </c>
      <c r="E512" s="1">
        <v>46079</v>
      </c>
      <c r="F512" s="1">
        <v>45811</v>
      </c>
      <c r="G512" s="14" t="s">
        <v>1022</v>
      </c>
      <c r="H512" s="14" t="s">
        <v>21</v>
      </c>
      <c r="I512" s="14" t="s">
        <v>2498</v>
      </c>
      <c r="J512" s="14" t="str">
        <f>IF(messy_clinic_appointments[[#This Row],[billing_amount]] &lt; 200, "Low", IF(messy_clinic_appointments[[#This Row],[billing_amount]]&lt;= 400, "Medium", "High"))</f>
        <v>High</v>
      </c>
      <c r="K512" s="14" t="s">
        <v>28</v>
      </c>
      <c r="L512" s="2">
        <f>DATEDIF(messy_clinic_appointments[[#This Row],[booking_date]],messy_clinic_appointments[[#This Row],[appointment_date]],"d")</f>
        <v>268</v>
      </c>
      <c r="M512" s="14" t="str">
        <f>IF(messy_clinic_appointments[[#This Row],[days_to_appointment]]&gt;365, "Review", "OK")</f>
        <v>OK</v>
      </c>
    </row>
    <row r="513" spans="1:13" x14ac:dyDescent="0.25">
      <c r="A513">
        <v>1061</v>
      </c>
      <c r="B513" s="14" t="s">
        <v>1023</v>
      </c>
      <c r="C513">
        <v>37</v>
      </c>
      <c r="D513" s="14" t="s">
        <v>2039</v>
      </c>
      <c r="E513" s="1">
        <v>45947</v>
      </c>
      <c r="F513" s="1">
        <v>45754</v>
      </c>
      <c r="G513" s="14" t="s">
        <v>1024</v>
      </c>
      <c r="H513" s="14" t="s">
        <v>15</v>
      </c>
      <c r="I513" s="14" t="s">
        <v>2499</v>
      </c>
      <c r="J513" s="14" t="str">
        <f>IF(messy_clinic_appointments[[#This Row],[billing_amount]] &lt; 200, "Low", IF(messy_clinic_appointments[[#This Row],[billing_amount]]&lt;= 400, "Medium", "High"))</f>
        <v>High</v>
      </c>
      <c r="K513" s="14" t="s">
        <v>22</v>
      </c>
      <c r="L513" s="2">
        <f>DATEDIF(messy_clinic_appointments[[#This Row],[booking_date]],messy_clinic_appointments[[#This Row],[appointment_date]],"d")</f>
        <v>193</v>
      </c>
      <c r="M513" s="14" t="str">
        <f>IF(messy_clinic_appointments[[#This Row],[days_to_appointment]]&gt;365, "Review", "OK")</f>
        <v>OK</v>
      </c>
    </row>
    <row r="514" spans="1:13" x14ac:dyDescent="0.25">
      <c r="A514">
        <v>1024</v>
      </c>
      <c r="B514" s="14" t="s">
        <v>1025</v>
      </c>
      <c r="C514">
        <v>26</v>
      </c>
      <c r="D514" s="14" t="s">
        <v>2014</v>
      </c>
      <c r="E514" s="1">
        <v>45950</v>
      </c>
      <c r="F514" s="1">
        <v>45544</v>
      </c>
      <c r="G514" s="14" t="s">
        <v>1026</v>
      </c>
      <c r="H514" s="14" t="s">
        <v>15</v>
      </c>
      <c r="I514" s="14" t="s">
        <v>2500</v>
      </c>
      <c r="J514" s="14" t="str">
        <f>IF(messy_clinic_appointments[[#This Row],[billing_amount]] &lt; 200, "Low", IF(messy_clinic_appointments[[#This Row],[billing_amount]]&lt;= 400, "Medium", "High"))</f>
        <v>High</v>
      </c>
      <c r="K514" s="14" t="s">
        <v>2026</v>
      </c>
      <c r="L514" s="2">
        <f>DATEDIF(messy_clinic_appointments[[#This Row],[booking_date]],messy_clinic_appointments[[#This Row],[appointment_date]],"d")</f>
        <v>406</v>
      </c>
      <c r="M514" s="14" t="str">
        <f>IF(messy_clinic_appointments[[#This Row],[days_to_appointment]]&gt;365, "Review", "OK")</f>
        <v>Review</v>
      </c>
    </row>
    <row r="515" spans="1:13" x14ac:dyDescent="0.25">
      <c r="A515">
        <v>1017</v>
      </c>
      <c r="B515" s="14" t="s">
        <v>1027</v>
      </c>
      <c r="C515">
        <v>86</v>
      </c>
      <c r="D515" s="14" t="s">
        <v>2039</v>
      </c>
      <c r="E515" s="1">
        <v>46062</v>
      </c>
      <c r="F515" s="1">
        <v>46043</v>
      </c>
      <c r="G515" s="14" t="s">
        <v>1028</v>
      </c>
      <c r="H515" s="14" t="s">
        <v>18</v>
      </c>
      <c r="I515" s="14" t="s">
        <v>2501</v>
      </c>
      <c r="J515" s="14" t="str">
        <f>IF(messy_clinic_appointments[[#This Row],[billing_amount]] &lt; 200, "Low", IF(messy_clinic_appointments[[#This Row],[billing_amount]]&lt;= 400, "Medium", "High"))</f>
        <v>High</v>
      </c>
      <c r="K515" s="14" t="s">
        <v>2039</v>
      </c>
      <c r="L515" s="2">
        <f>DATEDIF(messy_clinic_appointments[[#This Row],[booking_date]],messy_clinic_appointments[[#This Row],[appointment_date]],"d")</f>
        <v>19</v>
      </c>
      <c r="M515" s="14" t="str">
        <f>IF(messy_clinic_appointments[[#This Row],[days_to_appointment]]&gt;365, "Review", "OK")</f>
        <v>OK</v>
      </c>
    </row>
    <row r="516" spans="1:13" x14ac:dyDescent="0.25">
      <c r="A516">
        <v>1010</v>
      </c>
      <c r="B516" s="14" t="s">
        <v>1029</v>
      </c>
      <c r="C516">
        <v>82</v>
      </c>
      <c r="D516" s="14" t="s">
        <v>2022</v>
      </c>
      <c r="E516" s="1">
        <v>45853</v>
      </c>
      <c r="F516" s="1">
        <v>45796</v>
      </c>
      <c r="G516" s="14" t="s">
        <v>1030</v>
      </c>
      <c r="H516" s="14" t="s">
        <v>15</v>
      </c>
      <c r="I516" s="14" t="s">
        <v>2502</v>
      </c>
      <c r="J516" s="14" t="str">
        <f>IF(messy_clinic_appointments[[#This Row],[billing_amount]] &lt; 200, "Low", IF(messy_clinic_appointments[[#This Row],[billing_amount]]&lt;= 400, "Medium", "High"))</f>
        <v>High</v>
      </c>
      <c r="K516" s="14" t="s">
        <v>2013</v>
      </c>
      <c r="L516" s="2">
        <f>DATEDIF(messy_clinic_appointments[[#This Row],[booking_date]],messy_clinic_appointments[[#This Row],[appointment_date]],"d")</f>
        <v>57</v>
      </c>
      <c r="M516" s="14" t="str">
        <f>IF(messy_clinic_appointments[[#This Row],[days_to_appointment]]&gt;365, "Review", "OK")</f>
        <v>OK</v>
      </c>
    </row>
    <row r="517" spans="1:13" x14ac:dyDescent="0.25">
      <c r="A517">
        <v>1096</v>
      </c>
      <c r="B517" s="14" t="s">
        <v>1031</v>
      </c>
      <c r="C517">
        <v>82</v>
      </c>
      <c r="D517" s="14" t="s">
        <v>50</v>
      </c>
      <c r="E517" s="1">
        <v>45792</v>
      </c>
      <c r="F517" s="1">
        <v>45790</v>
      </c>
      <c r="G517" s="14" t="s">
        <v>1032</v>
      </c>
      <c r="H517" s="14" t="s">
        <v>21</v>
      </c>
      <c r="I517" s="14" t="s">
        <v>2503</v>
      </c>
      <c r="J517" s="14" t="str">
        <f>IF(messy_clinic_appointments[[#This Row],[billing_amount]] &lt; 200, "Low", IF(messy_clinic_appointments[[#This Row],[billing_amount]]&lt;= 400, "Medium", "High"))</f>
        <v>High</v>
      </c>
      <c r="K517" s="14" t="s">
        <v>22</v>
      </c>
      <c r="L517" s="2">
        <f>DATEDIF(messy_clinic_appointments[[#This Row],[booking_date]],messy_clinic_appointments[[#This Row],[appointment_date]],"d")</f>
        <v>2</v>
      </c>
      <c r="M517" s="14" t="str">
        <f>IF(messy_clinic_appointments[[#This Row],[days_to_appointment]]&gt;365, "Review", "OK")</f>
        <v>OK</v>
      </c>
    </row>
    <row r="518" spans="1:13" x14ac:dyDescent="0.25">
      <c r="A518">
        <v>1024</v>
      </c>
      <c r="B518" s="14" t="s">
        <v>1033</v>
      </c>
      <c r="C518">
        <v>18</v>
      </c>
      <c r="D518" s="14" t="s">
        <v>2014</v>
      </c>
      <c r="E518" s="1">
        <v>45936</v>
      </c>
      <c r="F518" s="1">
        <v>45624</v>
      </c>
      <c r="G518" s="14" t="s">
        <v>1034</v>
      </c>
      <c r="H518" s="14" t="s">
        <v>15</v>
      </c>
      <c r="I518" s="14" t="s">
        <v>2504</v>
      </c>
      <c r="J518" s="14" t="str">
        <f>IF(messy_clinic_appointments[[#This Row],[billing_amount]] &lt; 200, "Low", IF(messy_clinic_appointments[[#This Row],[billing_amount]]&lt;= 400, "Medium", "High"))</f>
        <v>High</v>
      </c>
      <c r="K518" s="14" t="s">
        <v>2039</v>
      </c>
      <c r="L518" s="2">
        <f>DATEDIF(messy_clinic_appointments[[#This Row],[booking_date]],messy_clinic_appointments[[#This Row],[appointment_date]],"d")</f>
        <v>312</v>
      </c>
      <c r="M518" s="14" t="str">
        <f>IF(messy_clinic_appointments[[#This Row],[days_to_appointment]]&gt;365, "Review", "OK")</f>
        <v>OK</v>
      </c>
    </row>
    <row r="519" spans="1:13" x14ac:dyDescent="0.25">
      <c r="A519">
        <v>1058</v>
      </c>
      <c r="B519" s="14" t="s">
        <v>1035</v>
      </c>
      <c r="C519">
        <v>59</v>
      </c>
      <c r="D519" s="14" t="s">
        <v>2008</v>
      </c>
      <c r="E519" s="1">
        <v>46096</v>
      </c>
      <c r="F519" s="1">
        <v>45663</v>
      </c>
      <c r="G519" s="14" t="s">
        <v>1036</v>
      </c>
      <c r="H519" s="14" t="s">
        <v>15</v>
      </c>
      <c r="I519" s="14" t="s">
        <v>2505</v>
      </c>
      <c r="J519" s="14" t="str">
        <f>IF(messy_clinic_appointments[[#This Row],[billing_amount]] &lt; 200, "Low", IF(messy_clinic_appointments[[#This Row],[billing_amount]]&lt;= 400, "Medium", "High"))</f>
        <v>High</v>
      </c>
      <c r="K519" s="14" t="s">
        <v>2026</v>
      </c>
      <c r="L519" s="2">
        <f>DATEDIF(messy_clinic_appointments[[#This Row],[booking_date]],messy_clinic_appointments[[#This Row],[appointment_date]],"d")</f>
        <v>433</v>
      </c>
      <c r="M519" s="14" t="str">
        <f>IF(messy_clinic_appointments[[#This Row],[days_to_appointment]]&gt;365, "Review", "OK")</f>
        <v>Review</v>
      </c>
    </row>
    <row r="520" spans="1:13" x14ac:dyDescent="0.25">
      <c r="A520">
        <v>1068</v>
      </c>
      <c r="B520" s="14" t="s">
        <v>1037</v>
      </c>
      <c r="C520">
        <v>37</v>
      </c>
      <c r="D520" s="14" t="s">
        <v>2022</v>
      </c>
      <c r="E520" s="1">
        <v>45979</v>
      </c>
      <c r="F520" s="1">
        <v>45614</v>
      </c>
      <c r="G520" s="14" t="s">
        <v>1038</v>
      </c>
      <c r="H520" s="14" t="s">
        <v>12</v>
      </c>
      <c r="I520" s="14" t="s">
        <v>2506</v>
      </c>
      <c r="J520" s="14" t="str">
        <f>IF(messy_clinic_appointments[[#This Row],[billing_amount]] &lt; 200, "Low", IF(messy_clinic_appointments[[#This Row],[billing_amount]]&lt;= 400, "Medium", "High"))</f>
        <v>High</v>
      </c>
      <c r="K520" s="14" t="s">
        <v>28</v>
      </c>
      <c r="L520" s="2">
        <f>DATEDIF(messy_clinic_appointments[[#This Row],[booking_date]],messy_clinic_appointments[[#This Row],[appointment_date]],"d")</f>
        <v>365</v>
      </c>
      <c r="M520" s="14" t="str">
        <f>IF(messy_clinic_appointments[[#This Row],[days_to_appointment]]&gt;365, "Review", "OK")</f>
        <v>OK</v>
      </c>
    </row>
    <row r="521" spans="1:13" x14ac:dyDescent="0.25">
      <c r="A521">
        <v>1013</v>
      </c>
      <c r="B521" s="14" t="s">
        <v>1039</v>
      </c>
      <c r="C521">
        <v>71</v>
      </c>
      <c r="D521" s="14" t="s">
        <v>2039</v>
      </c>
      <c r="E521" s="1">
        <v>45874</v>
      </c>
      <c r="F521" s="1">
        <v>45845</v>
      </c>
      <c r="G521" s="14" t="s">
        <v>1040</v>
      </c>
      <c r="H521" s="14" t="s">
        <v>15</v>
      </c>
      <c r="I521" s="14" t="s">
        <v>2507</v>
      </c>
      <c r="J521" s="14" t="str">
        <f>IF(messy_clinic_appointments[[#This Row],[billing_amount]] &lt; 200, "Low", IF(messy_clinic_appointments[[#This Row],[billing_amount]]&lt;= 400, "Medium", "High"))</f>
        <v>High</v>
      </c>
      <c r="K521" s="14" t="s">
        <v>2039</v>
      </c>
      <c r="L521" s="2">
        <f>DATEDIF(messy_clinic_appointments[[#This Row],[booking_date]],messy_clinic_appointments[[#This Row],[appointment_date]],"d")</f>
        <v>29</v>
      </c>
      <c r="M521" s="14" t="str">
        <f>IF(messy_clinic_appointments[[#This Row],[days_to_appointment]]&gt;365, "Review", "OK")</f>
        <v>OK</v>
      </c>
    </row>
    <row r="522" spans="1:13" x14ac:dyDescent="0.25">
      <c r="A522">
        <v>1009</v>
      </c>
      <c r="B522" s="14" t="s">
        <v>1041</v>
      </c>
      <c r="C522">
        <v>49</v>
      </c>
      <c r="D522" s="14" t="s">
        <v>2039</v>
      </c>
      <c r="E522" s="1">
        <v>46070</v>
      </c>
      <c r="F522" s="1">
        <v>46038</v>
      </c>
      <c r="G522" s="14" t="s">
        <v>1042</v>
      </c>
      <c r="H522" s="14" t="s">
        <v>12</v>
      </c>
      <c r="I522" s="14" t="s">
        <v>2508</v>
      </c>
      <c r="J522" s="14" t="str">
        <f>IF(messy_clinic_appointments[[#This Row],[billing_amount]] &lt; 200, "Low", IF(messy_clinic_appointments[[#This Row],[billing_amount]]&lt;= 400, "Medium", "High"))</f>
        <v>High</v>
      </c>
      <c r="K522" s="14" t="s">
        <v>2026</v>
      </c>
      <c r="L522" s="2">
        <f>DATEDIF(messy_clinic_appointments[[#This Row],[booking_date]],messy_clinic_appointments[[#This Row],[appointment_date]],"d")</f>
        <v>32</v>
      </c>
      <c r="M522" s="14" t="str">
        <f>IF(messy_clinic_appointments[[#This Row],[days_to_appointment]]&gt;365, "Review", "OK")</f>
        <v>OK</v>
      </c>
    </row>
    <row r="523" spans="1:13" x14ac:dyDescent="0.25">
      <c r="A523">
        <v>1031</v>
      </c>
      <c r="B523" s="14" t="s">
        <v>1043</v>
      </c>
      <c r="C523">
        <v>35</v>
      </c>
      <c r="D523" s="14" t="s">
        <v>2014</v>
      </c>
      <c r="E523" s="1">
        <v>45844</v>
      </c>
      <c r="F523" s="1">
        <v>45721</v>
      </c>
      <c r="G523" s="14" t="s">
        <v>1044</v>
      </c>
      <c r="H523" s="14" t="s">
        <v>21</v>
      </c>
      <c r="I523" s="14" t="s">
        <v>2509</v>
      </c>
      <c r="J523" s="14" t="str">
        <f>IF(messy_clinic_appointments[[#This Row],[billing_amount]] &lt; 200, "Low", IF(messy_clinic_appointments[[#This Row],[billing_amount]]&lt;= 400, "Medium", "High"))</f>
        <v>High</v>
      </c>
      <c r="K523" s="14" t="s">
        <v>2013</v>
      </c>
      <c r="L523" s="2">
        <f>DATEDIF(messy_clinic_appointments[[#This Row],[booking_date]],messy_clinic_appointments[[#This Row],[appointment_date]],"d")</f>
        <v>123</v>
      </c>
      <c r="M523" s="14" t="str">
        <f>IF(messy_clinic_appointments[[#This Row],[days_to_appointment]]&gt;365, "Review", "OK")</f>
        <v>OK</v>
      </c>
    </row>
    <row r="524" spans="1:13" x14ac:dyDescent="0.25">
      <c r="A524">
        <v>1043</v>
      </c>
      <c r="B524" s="14" t="s">
        <v>1045</v>
      </c>
      <c r="C524">
        <v>38</v>
      </c>
      <c r="D524" s="14" t="s">
        <v>2014</v>
      </c>
      <c r="E524" s="1">
        <v>46050</v>
      </c>
      <c r="F524" s="1">
        <v>45809</v>
      </c>
      <c r="G524" s="14" t="s">
        <v>1046</v>
      </c>
      <c r="H524" s="14" t="s">
        <v>18</v>
      </c>
      <c r="I524" s="14" t="s">
        <v>2510</v>
      </c>
      <c r="J524" s="14" t="str">
        <f>IF(messy_clinic_appointments[[#This Row],[billing_amount]] &lt; 200, "Low", IF(messy_clinic_appointments[[#This Row],[billing_amount]]&lt;= 400, "Medium", "High"))</f>
        <v>High</v>
      </c>
      <c r="K524" s="14" t="s">
        <v>2039</v>
      </c>
      <c r="L524" s="2">
        <f>DATEDIF(messy_clinic_appointments[[#This Row],[booking_date]],messy_clinic_appointments[[#This Row],[appointment_date]],"d")</f>
        <v>241</v>
      </c>
      <c r="M524" s="14" t="str">
        <f>IF(messy_clinic_appointments[[#This Row],[days_to_appointment]]&gt;365, "Review", "OK")</f>
        <v>OK</v>
      </c>
    </row>
    <row r="525" spans="1:13" x14ac:dyDescent="0.25">
      <c r="A525">
        <v>1072</v>
      </c>
      <c r="B525" s="14" t="s">
        <v>1047</v>
      </c>
      <c r="C525">
        <v>30</v>
      </c>
      <c r="D525" s="14" t="s">
        <v>30</v>
      </c>
      <c r="E525" s="1">
        <v>46047</v>
      </c>
      <c r="F525" s="1">
        <v>45931</v>
      </c>
      <c r="G525" s="14" t="s">
        <v>1048</v>
      </c>
      <c r="H525" s="14" t="s">
        <v>21</v>
      </c>
      <c r="I525" s="14" t="s">
        <v>2511</v>
      </c>
      <c r="J525" s="14" t="str">
        <f>IF(messy_clinic_appointments[[#This Row],[billing_amount]] &lt; 200, "Low", IF(messy_clinic_appointments[[#This Row],[billing_amount]]&lt;= 400, "Medium", "High"))</f>
        <v>High</v>
      </c>
      <c r="K525" s="14" t="s">
        <v>2010</v>
      </c>
      <c r="L525" s="2">
        <f>DATEDIF(messy_clinic_appointments[[#This Row],[booking_date]],messy_clinic_appointments[[#This Row],[appointment_date]],"d")</f>
        <v>116</v>
      </c>
      <c r="M525" s="14" t="str">
        <f>IF(messy_clinic_appointments[[#This Row],[days_to_appointment]]&gt;365, "Review", "OK")</f>
        <v>OK</v>
      </c>
    </row>
    <row r="526" spans="1:13" x14ac:dyDescent="0.25">
      <c r="A526">
        <v>1055</v>
      </c>
      <c r="B526" s="14" t="s">
        <v>1049</v>
      </c>
      <c r="C526">
        <v>80</v>
      </c>
      <c r="D526" s="14" t="s">
        <v>2008</v>
      </c>
      <c r="E526" s="1">
        <v>45775</v>
      </c>
      <c r="F526" s="1">
        <v>45381</v>
      </c>
      <c r="G526" s="14" t="s">
        <v>1050</v>
      </c>
      <c r="H526" s="14" t="s">
        <v>18</v>
      </c>
      <c r="I526" s="14" t="s">
        <v>2512</v>
      </c>
      <c r="J526" s="14" t="str">
        <f>IF(messy_clinic_appointments[[#This Row],[billing_amount]] &lt; 200, "Low", IF(messy_clinic_appointments[[#This Row],[billing_amount]]&lt;= 400, "Medium", "High"))</f>
        <v>High</v>
      </c>
      <c r="K526" s="14" t="s">
        <v>2026</v>
      </c>
      <c r="L526" s="2">
        <f>DATEDIF(messy_clinic_appointments[[#This Row],[booking_date]],messy_clinic_appointments[[#This Row],[appointment_date]],"d")</f>
        <v>394</v>
      </c>
      <c r="M526" s="14" t="str">
        <f>IF(messy_clinic_appointments[[#This Row],[days_to_appointment]]&gt;365, "Review", "OK")</f>
        <v>Review</v>
      </c>
    </row>
    <row r="527" spans="1:13" x14ac:dyDescent="0.25">
      <c r="A527">
        <v>1098</v>
      </c>
      <c r="B527" s="14" t="s">
        <v>1051</v>
      </c>
      <c r="C527">
        <v>75</v>
      </c>
      <c r="D527" s="14" t="s">
        <v>30</v>
      </c>
      <c r="E527" s="1">
        <v>46019</v>
      </c>
      <c r="F527" s="1">
        <v>45642</v>
      </c>
      <c r="G527" s="14" t="s">
        <v>1052</v>
      </c>
      <c r="H527" s="14" t="s">
        <v>18</v>
      </c>
      <c r="I527" s="14" t="s">
        <v>2513</v>
      </c>
      <c r="J527" s="14" t="str">
        <f>IF(messy_clinic_appointments[[#This Row],[billing_amount]] &lt; 200, "Low", IF(messy_clinic_appointments[[#This Row],[billing_amount]]&lt;= 400, "Medium", "High"))</f>
        <v>High</v>
      </c>
      <c r="K527" s="14" t="s">
        <v>2010</v>
      </c>
      <c r="L527" s="2">
        <f>DATEDIF(messy_clinic_appointments[[#This Row],[booking_date]],messy_clinic_appointments[[#This Row],[appointment_date]],"d")</f>
        <v>377</v>
      </c>
      <c r="M527" s="14" t="str">
        <f>IF(messy_clinic_appointments[[#This Row],[days_to_appointment]]&gt;365, "Review", "OK")</f>
        <v>Review</v>
      </c>
    </row>
    <row r="528" spans="1:13" x14ac:dyDescent="0.25">
      <c r="A528">
        <v>1072</v>
      </c>
      <c r="B528" s="14" t="s">
        <v>1053</v>
      </c>
      <c r="C528">
        <v>49</v>
      </c>
      <c r="D528" s="14" t="s">
        <v>2011</v>
      </c>
      <c r="E528" s="1">
        <v>45742</v>
      </c>
      <c r="F528" s="1">
        <v>45659</v>
      </c>
      <c r="G528" s="14" t="s">
        <v>1054</v>
      </c>
      <c r="H528" s="14" t="s">
        <v>12</v>
      </c>
      <c r="I528" s="14" t="s">
        <v>2514</v>
      </c>
      <c r="J528" s="14" t="str">
        <f>IF(messy_clinic_appointments[[#This Row],[billing_amount]] &lt; 200, "Low", IF(messy_clinic_appointments[[#This Row],[billing_amount]]&lt;= 400, "Medium", "High"))</f>
        <v>High</v>
      </c>
      <c r="K528" s="14" t="s">
        <v>2026</v>
      </c>
      <c r="L528" s="2">
        <f>DATEDIF(messy_clinic_appointments[[#This Row],[booking_date]],messy_clinic_appointments[[#This Row],[appointment_date]],"d")</f>
        <v>83</v>
      </c>
      <c r="M528" s="14" t="str">
        <f>IF(messy_clinic_appointments[[#This Row],[days_to_appointment]]&gt;365, "Review", "OK")</f>
        <v>OK</v>
      </c>
    </row>
    <row r="529" spans="1:13" x14ac:dyDescent="0.25">
      <c r="A529">
        <v>1070</v>
      </c>
      <c r="B529" s="14" t="s">
        <v>1055</v>
      </c>
      <c r="C529">
        <v>24</v>
      </c>
      <c r="D529" s="14" t="s">
        <v>2014</v>
      </c>
      <c r="E529" s="1">
        <v>46052</v>
      </c>
      <c r="F529" s="1">
        <v>45642</v>
      </c>
      <c r="G529" s="14" t="s">
        <v>1056</v>
      </c>
      <c r="H529" s="14" t="s">
        <v>21</v>
      </c>
      <c r="I529" s="14" t="s">
        <v>2515</v>
      </c>
      <c r="J529" s="14" t="str">
        <f>IF(messy_clinic_appointments[[#This Row],[billing_amount]] &lt; 200, "Low", IF(messy_clinic_appointments[[#This Row],[billing_amount]]&lt;= 400, "Medium", "High"))</f>
        <v>High</v>
      </c>
      <c r="K529" s="14" t="s">
        <v>2026</v>
      </c>
      <c r="L529" s="2">
        <f>DATEDIF(messy_clinic_appointments[[#This Row],[booking_date]],messy_clinic_appointments[[#This Row],[appointment_date]],"d")</f>
        <v>410</v>
      </c>
      <c r="M529" s="14" t="str">
        <f>IF(messy_clinic_appointments[[#This Row],[days_to_appointment]]&gt;365, "Review", "OK")</f>
        <v>Review</v>
      </c>
    </row>
    <row r="530" spans="1:13" x14ac:dyDescent="0.25">
      <c r="A530">
        <v>1061</v>
      </c>
      <c r="B530" s="14" t="s">
        <v>1057</v>
      </c>
      <c r="C530">
        <v>74</v>
      </c>
      <c r="D530" s="14" t="s">
        <v>2008</v>
      </c>
      <c r="E530" s="1">
        <v>45901</v>
      </c>
      <c r="F530" s="1">
        <v>45803</v>
      </c>
      <c r="G530" s="14" t="s">
        <v>1058</v>
      </c>
      <c r="H530" s="14" t="s">
        <v>21</v>
      </c>
      <c r="I530" s="14" t="s">
        <v>2516</v>
      </c>
      <c r="J530" s="14" t="str">
        <f>IF(messy_clinic_appointments[[#This Row],[billing_amount]] &lt; 200, "Low", IF(messy_clinic_appointments[[#This Row],[billing_amount]]&lt;= 400, "Medium", "High"))</f>
        <v>High</v>
      </c>
      <c r="K530" s="14" t="s">
        <v>28</v>
      </c>
      <c r="L530" s="2">
        <f>DATEDIF(messy_clinic_appointments[[#This Row],[booking_date]],messy_clinic_appointments[[#This Row],[appointment_date]],"d")</f>
        <v>98</v>
      </c>
      <c r="M530" s="14" t="str">
        <f>IF(messy_clinic_appointments[[#This Row],[days_to_appointment]]&gt;365, "Review", "OK")</f>
        <v>OK</v>
      </c>
    </row>
    <row r="531" spans="1:13" x14ac:dyDescent="0.25">
      <c r="A531">
        <v>1059</v>
      </c>
      <c r="B531" s="14" t="s">
        <v>1059</v>
      </c>
      <c r="C531">
        <v>35</v>
      </c>
      <c r="D531" s="14" t="s">
        <v>2010</v>
      </c>
      <c r="E531" s="1">
        <v>45972</v>
      </c>
      <c r="F531" s="1">
        <v>45491</v>
      </c>
      <c r="G531" s="14" t="s">
        <v>1060</v>
      </c>
      <c r="H531" s="14" t="s">
        <v>15</v>
      </c>
      <c r="I531" s="14" t="s">
        <v>24</v>
      </c>
      <c r="J531" s="14" t="str">
        <f>IF(messy_clinic_appointments[[#This Row],[billing_amount]] &lt; 200, "Low", IF(messy_clinic_appointments[[#This Row],[billing_amount]]&lt;= 400, "Medium", "High"))</f>
        <v>High</v>
      </c>
      <c r="K531" s="14" t="s">
        <v>2039</v>
      </c>
      <c r="L531" s="2">
        <f>DATEDIF(messy_clinic_appointments[[#This Row],[booking_date]],messy_clinic_appointments[[#This Row],[appointment_date]],"d")</f>
        <v>481</v>
      </c>
      <c r="M531" s="14" t="str">
        <f>IF(messy_clinic_appointments[[#This Row],[days_to_appointment]]&gt;365, "Review", "OK")</f>
        <v>Review</v>
      </c>
    </row>
    <row r="532" spans="1:13" x14ac:dyDescent="0.25">
      <c r="A532">
        <v>1091</v>
      </c>
      <c r="B532" s="14" t="s">
        <v>1061</v>
      </c>
      <c r="C532">
        <v>85</v>
      </c>
      <c r="D532" s="14" t="s">
        <v>2010</v>
      </c>
      <c r="E532" s="1">
        <v>45745</v>
      </c>
      <c r="F532" s="1">
        <v>45723</v>
      </c>
      <c r="G532" s="14" t="s">
        <v>1062</v>
      </c>
      <c r="H532" s="14" t="s">
        <v>12</v>
      </c>
      <c r="I532" s="14" t="s">
        <v>2517</v>
      </c>
      <c r="J532" s="14" t="str">
        <f>IF(messy_clinic_appointments[[#This Row],[billing_amount]] &lt; 200, "Low", IF(messy_clinic_appointments[[#This Row],[billing_amount]]&lt;= 400, "Medium", "High"))</f>
        <v>High</v>
      </c>
      <c r="K532" s="14" t="s">
        <v>22</v>
      </c>
      <c r="L532" s="2">
        <f>DATEDIF(messy_clinic_appointments[[#This Row],[booking_date]],messy_clinic_appointments[[#This Row],[appointment_date]],"d")</f>
        <v>22</v>
      </c>
      <c r="M532" s="14" t="str">
        <f>IF(messy_clinic_appointments[[#This Row],[days_to_appointment]]&gt;365, "Review", "OK")</f>
        <v>OK</v>
      </c>
    </row>
    <row r="533" spans="1:13" x14ac:dyDescent="0.25">
      <c r="A533">
        <v>1003</v>
      </c>
      <c r="B533" s="14" t="s">
        <v>1063</v>
      </c>
      <c r="C533">
        <v>64</v>
      </c>
      <c r="D533" s="14" t="s">
        <v>2008</v>
      </c>
      <c r="E533" s="1">
        <v>46046</v>
      </c>
      <c r="F533" s="1">
        <v>45696</v>
      </c>
      <c r="G533" s="14" t="s">
        <v>1064</v>
      </c>
      <c r="H533" s="14" t="s">
        <v>12</v>
      </c>
      <c r="I533" s="14" t="s">
        <v>2518</v>
      </c>
      <c r="J533" s="14" t="str">
        <f>IF(messy_clinic_appointments[[#This Row],[billing_amount]] &lt; 200, "Low", IF(messy_clinic_appointments[[#This Row],[billing_amount]]&lt;= 400, "Medium", "High"))</f>
        <v>High</v>
      </c>
      <c r="K533" s="14" t="s">
        <v>2039</v>
      </c>
      <c r="L533" s="2">
        <f>DATEDIF(messy_clinic_appointments[[#This Row],[booking_date]],messy_clinic_appointments[[#This Row],[appointment_date]],"d")</f>
        <v>350</v>
      </c>
      <c r="M533" s="14" t="str">
        <f>IF(messy_clinic_appointments[[#This Row],[days_to_appointment]]&gt;365, "Review", "OK")</f>
        <v>OK</v>
      </c>
    </row>
    <row r="534" spans="1:13" x14ac:dyDescent="0.25">
      <c r="A534">
        <v>1087</v>
      </c>
      <c r="B534" s="14" t="s">
        <v>1065</v>
      </c>
      <c r="C534">
        <v>70</v>
      </c>
      <c r="D534" s="14" t="s">
        <v>2008</v>
      </c>
      <c r="E534" s="1">
        <v>45912</v>
      </c>
      <c r="F534" s="1">
        <v>45446</v>
      </c>
      <c r="G534" s="14" t="s">
        <v>1066</v>
      </c>
      <c r="H534" s="14" t="s">
        <v>18</v>
      </c>
      <c r="I534" s="14" t="s">
        <v>2519</v>
      </c>
      <c r="J534" s="14" t="str">
        <f>IF(messy_clinic_appointments[[#This Row],[billing_amount]] &lt; 200, "Low", IF(messy_clinic_appointments[[#This Row],[billing_amount]]&lt;= 400, "Medium", "High"))</f>
        <v>High</v>
      </c>
      <c r="K534" s="14" t="s">
        <v>2013</v>
      </c>
      <c r="L534" s="2">
        <f>DATEDIF(messy_clinic_appointments[[#This Row],[booking_date]],messy_clinic_appointments[[#This Row],[appointment_date]],"d")</f>
        <v>466</v>
      </c>
      <c r="M534" s="14" t="str">
        <f>IF(messy_clinic_appointments[[#This Row],[days_to_appointment]]&gt;365, "Review", "OK")</f>
        <v>Review</v>
      </c>
    </row>
    <row r="535" spans="1:13" x14ac:dyDescent="0.25">
      <c r="A535">
        <v>1049</v>
      </c>
      <c r="B535" s="14" t="s">
        <v>1067</v>
      </c>
      <c r="C535">
        <v>37</v>
      </c>
      <c r="D535" s="14" t="s">
        <v>24</v>
      </c>
      <c r="E535" s="1">
        <v>45787</v>
      </c>
      <c r="F535" s="1">
        <v>45530</v>
      </c>
      <c r="G535" s="14" t="s">
        <v>1068</v>
      </c>
      <c r="H535" s="14" t="s">
        <v>18</v>
      </c>
      <c r="I535" s="14" t="s">
        <v>2520</v>
      </c>
      <c r="J535" s="14" t="str">
        <f>IF(messy_clinic_appointments[[#This Row],[billing_amount]] &lt; 200, "Low", IF(messy_clinic_appointments[[#This Row],[billing_amount]]&lt;= 400, "Medium", "High"))</f>
        <v>High</v>
      </c>
      <c r="K535" s="14" t="s">
        <v>2039</v>
      </c>
      <c r="L535" s="2">
        <f>DATEDIF(messy_clinic_appointments[[#This Row],[booking_date]],messy_clinic_appointments[[#This Row],[appointment_date]],"d")</f>
        <v>257</v>
      </c>
      <c r="M535" s="14" t="str">
        <f>IF(messy_clinic_appointments[[#This Row],[days_to_appointment]]&gt;365, "Review", "OK")</f>
        <v>OK</v>
      </c>
    </row>
    <row r="536" spans="1:13" x14ac:dyDescent="0.25">
      <c r="A536">
        <v>1056</v>
      </c>
      <c r="B536" s="14" t="s">
        <v>1069</v>
      </c>
      <c r="C536">
        <v>24</v>
      </c>
      <c r="D536" s="14" t="s">
        <v>2022</v>
      </c>
      <c r="E536" s="1">
        <v>45958</v>
      </c>
      <c r="F536" s="1">
        <v>45672</v>
      </c>
      <c r="G536" s="14" t="s">
        <v>1070</v>
      </c>
      <c r="H536" s="14" t="s">
        <v>12</v>
      </c>
      <c r="I536" s="14" t="s">
        <v>2521</v>
      </c>
      <c r="J536" s="14" t="str">
        <f>IF(messy_clinic_appointments[[#This Row],[billing_amount]] &lt; 200, "Low", IF(messy_clinic_appointments[[#This Row],[billing_amount]]&lt;= 400, "Medium", "High"))</f>
        <v>High</v>
      </c>
      <c r="K536" s="14" t="s">
        <v>28</v>
      </c>
      <c r="L536" s="2">
        <f>DATEDIF(messy_clinic_appointments[[#This Row],[booking_date]],messy_clinic_appointments[[#This Row],[appointment_date]],"d")</f>
        <v>286</v>
      </c>
      <c r="M536" s="14" t="str">
        <f>IF(messy_clinic_appointments[[#This Row],[days_to_appointment]]&gt;365, "Review", "OK")</f>
        <v>OK</v>
      </c>
    </row>
    <row r="537" spans="1:13" x14ac:dyDescent="0.25">
      <c r="A537">
        <v>1057</v>
      </c>
      <c r="B537" s="14" t="s">
        <v>1071</v>
      </c>
      <c r="C537">
        <v>86</v>
      </c>
      <c r="D537" s="14" t="s">
        <v>2039</v>
      </c>
      <c r="E537" s="1">
        <v>45819</v>
      </c>
      <c r="F537" s="1">
        <v>45563</v>
      </c>
      <c r="G537" s="14" t="s">
        <v>1072</v>
      </c>
      <c r="H537" s="14" t="s">
        <v>15</v>
      </c>
      <c r="I537" s="14" t="s">
        <v>2522</v>
      </c>
      <c r="J537" s="14" t="str">
        <f>IF(messy_clinic_appointments[[#This Row],[billing_amount]] &lt; 200, "Low", IF(messy_clinic_appointments[[#This Row],[billing_amount]]&lt;= 400, "Medium", "High"))</f>
        <v>High</v>
      </c>
      <c r="K537" s="14" t="s">
        <v>22</v>
      </c>
      <c r="L537" s="2">
        <f>DATEDIF(messy_clinic_appointments[[#This Row],[booking_date]],messy_clinic_appointments[[#This Row],[appointment_date]],"d")</f>
        <v>256</v>
      </c>
      <c r="M537" s="14" t="str">
        <f>IF(messy_clinic_appointments[[#This Row],[days_to_appointment]]&gt;365, "Review", "OK")</f>
        <v>OK</v>
      </c>
    </row>
    <row r="538" spans="1:13" x14ac:dyDescent="0.25">
      <c r="A538">
        <v>1054</v>
      </c>
      <c r="B538" s="14" t="s">
        <v>1073</v>
      </c>
      <c r="C538">
        <v>57</v>
      </c>
      <c r="D538" s="14" t="s">
        <v>2014</v>
      </c>
      <c r="E538" s="1">
        <v>45939</v>
      </c>
      <c r="F538" s="1">
        <v>45733</v>
      </c>
      <c r="G538" s="14" t="s">
        <v>1074</v>
      </c>
      <c r="H538" s="14" t="s">
        <v>18</v>
      </c>
      <c r="I538" s="14" t="s">
        <v>2523</v>
      </c>
      <c r="J538" s="14" t="str">
        <f>IF(messy_clinic_appointments[[#This Row],[billing_amount]] &lt; 200, "Low", IF(messy_clinic_appointments[[#This Row],[billing_amount]]&lt;= 400, "Medium", "High"))</f>
        <v>High</v>
      </c>
      <c r="K538" s="14" t="s">
        <v>22</v>
      </c>
      <c r="L538" s="2">
        <f>DATEDIF(messy_clinic_appointments[[#This Row],[booking_date]],messy_clinic_appointments[[#This Row],[appointment_date]],"d")</f>
        <v>206</v>
      </c>
      <c r="M538" s="14" t="str">
        <f>IF(messy_clinic_appointments[[#This Row],[days_to_appointment]]&gt;365, "Review", "OK")</f>
        <v>OK</v>
      </c>
    </row>
    <row r="539" spans="1:13" x14ac:dyDescent="0.25">
      <c r="A539">
        <v>1040</v>
      </c>
      <c r="B539" s="14" t="s">
        <v>1075</v>
      </c>
      <c r="C539">
        <v>20</v>
      </c>
      <c r="D539" s="14" t="s">
        <v>2010</v>
      </c>
      <c r="E539" s="1">
        <v>45890</v>
      </c>
      <c r="F539" s="1">
        <v>45397</v>
      </c>
      <c r="G539" s="14" t="s">
        <v>1076</v>
      </c>
      <c r="H539" s="14" t="s">
        <v>12</v>
      </c>
      <c r="I539" s="14" t="s">
        <v>24</v>
      </c>
      <c r="J539" s="14" t="str">
        <f>IF(messy_clinic_appointments[[#This Row],[billing_amount]] &lt; 200, "Low", IF(messy_clinic_appointments[[#This Row],[billing_amount]]&lt;= 400, "Medium", "High"))</f>
        <v>High</v>
      </c>
      <c r="K539" s="14" t="s">
        <v>2039</v>
      </c>
      <c r="L539" s="2">
        <f>DATEDIF(messy_clinic_appointments[[#This Row],[booking_date]],messy_clinic_appointments[[#This Row],[appointment_date]],"d")</f>
        <v>493</v>
      </c>
      <c r="M539" s="14" t="str">
        <f>IF(messy_clinic_appointments[[#This Row],[days_to_appointment]]&gt;365, "Review", "OK")</f>
        <v>Review</v>
      </c>
    </row>
    <row r="540" spans="1:13" x14ac:dyDescent="0.25">
      <c r="A540">
        <v>1059</v>
      </c>
      <c r="B540" s="14" t="s">
        <v>1077</v>
      </c>
      <c r="C540">
        <v>88</v>
      </c>
      <c r="D540" s="14" t="s">
        <v>50</v>
      </c>
      <c r="E540" s="1">
        <v>45868</v>
      </c>
      <c r="F540" s="1">
        <v>45838</v>
      </c>
      <c r="G540" s="14" t="s">
        <v>1078</v>
      </c>
      <c r="H540" s="14" t="s">
        <v>21</v>
      </c>
      <c r="I540" s="14" t="s">
        <v>2524</v>
      </c>
      <c r="J540" s="14" t="str">
        <f>IF(messy_clinic_appointments[[#This Row],[billing_amount]] &lt; 200, "Low", IF(messy_clinic_appointments[[#This Row],[billing_amount]]&lt;= 400, "Medium", "High"))</f>
        <v>High</v>
      </c>
      <c r="K540" s="14" t="s">
        <v>2013</v>
      </c>
      <c r="L540" s="2">
        <f>DATEDIF(messy_clinic_appointments[[#This Row],[booking_date]],messy_clinic_appointments[[#This Row],[appointment_date]],"d")</f>
        <v>30</v>
      </c>
      <c r="M540" s="14" t="str">
        <f>IF(messy_clinic_appointments[[#This Row],[days_to_appointment]]&gt;365, "Review", "OK")</f>
        <v>OK</v>
      </c>
    </row>
    <row r="541" spans="1:13" x14ac:dyDescent="0.25">
      <c r="A541">
        <v>1035</v>
      </c>
      <c r="B541" s="14" t="s">
        <v>1079</v>
      </c>
      <c r="C541">
        <v>84</v>
      </c>
      <c r="D541" s="14" t="s">
        <v>2039</v>
      </c>
      <c r="E541" s="1">
        <v>45939</v>
      </c>
      <c r="F541" s="1">
        <v>45787</v>
      </c>
      <c r="G541" s="14" t="s">
        <v>1080</v>
      </c>
      <c r="H541" s="14" t="s">
        <v>15</v>
      </c>
      <c r="I541" s="14" t="s">
        <v>2525</v>
      </c>
      <c r="J541" s="14" t="str">
        <f>IF(messy_clinic_appointments[[#This Row],[billing_amount]] &lt; 200, "Low", IF(messy_clinic_appointments[[#This Row],[billing_amount]]&lt;= 400, "Medium", "High"))</f>
        <v>High</v>
      </c>
      <c r="K541" s="14" t="s">
        <v>22</v>
      </c>
      <c r="L541" s="2">
        <f>DATEDIF(messy_clinic_appointments[[#This Row],[booking_date]],messy_clinic_appointments[[#This Row],[appointment_date]],"d")</f>
        <v>152</v>
      </c>
      <c r="M541" s="14" t="str">
        <f>IF(messy_clinic_appointments[[#This Row],[days_to_appointment]]&gt;365, "Review", "OK")</f>
        <v>OK</v>
      </c>
    </row>
    <row r="542" spans="1:13" x14ac:dyDescent="0.25">
      <c r="A542">
        <v>1086</v>
      </c>
      <c r="B542" s="14" t="s">
        <v>1081</v>
      </c>
      <c r="C542">
        <v>86</v>
      </c>
      <c r="D542" s="14" t="s">
        <v>30</v>
      </c>
      <c r="E542" s="1">
        <v>45872</v>
      </c>
      <c r="F542" s="1">
        <v>45707</v>
      </c>
      <c r="G542" s="14" t="s">
        <v>1082</v>
      </c>
      <c r="H542" s="14" t="s">
        <v>15</v>
      </c>
      <c r="I542" s="14" t="s">
        <v>2526</v>
      </c>
      <c r="J542" s="14" t="str">
        <f>IF(messy_clinic_appointments[[#This Row],[billing_amount]] &lt; 200, "Low", IF(messy_clinic_appointments[[#This Row],[billing_amount]]&lt;= 400, "Medium", "High"))</f>
        <v>High</v>
      </c>
      <c r="K542" s="14" t="s">
        <v>2013</v>
      </c>
      <c r="L542" s="2">
        <f>DATEDIF(messy_clinic_appointments[[#This Row],[booking_date]],messy_clinic_appointments[[#This Row],[appointment_date]],"d")</f>
        <v>165</v>
      </c>
      <c r="M542" s="14" t="str">
        <f>IF(messy_clinic_appointments[[#This Row],[days_to_appointment]]&gt;365, "Review", "OK")</f>
        <v>OK</v>
      </c>
    </row>
    <row r="543" spans="1:13" x14ac:dyDescent="0.25">
      <c r="A543">
        <v>1050</v>
      </c>
      <c r="B543" s="14" t="s">
        <v>1083</v>
      </c>
      <c r="C543">
        <v>60</v>
      </c>
      <c r="D543" s="14" t="s">
        <v>2011</v>
      </c>
      <c r="E543" s="1">
        <v>45783</v>
      </c>
      <c r="F543" s="1">
        <v>45576</v>
      </c>
      <c r="G543" s="14" t="s">
        <v>1084</v>
      </c>
      <c r="H543" s="14" t="s">
        <v>21</v>
      </c>
      <c r="I543" s="14" t="s">
        <v>2527</v>
      </c>
      <c r="J543" s="14" t="str">
        <f>IF(messy_clinic_appointments[[#This Row],[billing_amount]] &lt; 200, "Low", IF(messy_clinic_appointments[[#This Row],[billing_amount]]&lt;= 400, "Medium", "High"))</f>
        <v>High</v>
      </c>
      <c r="K543" s="14" t="s">
        <v>2013</v>
      </c>
      <c r="L543" s="2">
        <f>DATEDIF(messy_clinic_appointments[[#This Row],[booking_date]],messy_clinic_appointments[[#This Row],[appointment_date]],"d")</f>
        <v>207</v>
      </c>
      <c r="M543" s="14" t="str">
        <f>IF(messy_clinic_appointments[[#This Row],[days_to_appointment]]&gt;365, "Review", "OK")</f>
        <v>OK</v>
      </c>
    </row>
    <row r="544" spans="1:13" x14ac:dyDescent="0.25">
      <c r="A544">
        <v>1024</v>
      </c>
      <c r="B544" s="14" t="s">
        <v>1085</v>
      </c>
      <c r="C544">
        <v>72</v>
      </c>
      <c r="D544" s="14" t="s">
        <v>24</v>
      </c>
      <c r="E544" s="1">
        <v>45872</v>
      </c>
      <c r="F544" s="1">
        <v>45758</v>
      </c>
      <c r="G544" s="14" t="s">
        <v>1086</v>
      </c>
      <c r="H544" s="14" t="s">
        <v>15</v>
      </c>
      <c r="I544" s="14" t="s">
        <v>24</v>
      </c>
      <c r="J544" s="14" t="str">
        <f>IF(messy_clinic_appointments[[#This Row],[billing_amount]] &lt; 200, "Low", IF(messy_clinic_appointments[[#This Row],[billing_amount]]&lt;= 400, "Medium", "High"))</f>
        <v>High</v>
      </c>
      <c r="K544" s="14" t="s">
        <v>2013</v>
      </c>
      <c r="L544" s="2">
        <f>DATEDIF(messy_clinic_appointments[[#This Row],[booking_date]],messy_clinic_appointments[[#This Row],[appointment_date]],"d")</f>
        <v>114</v>
      </c>
      <c r="M544" s="14" t="str">
        <f>IF(messy_clinic_appointments[[#This Row],[days_to_appointment]]&gt;365, "Review", "OK")</f>
        <v>OK</v>
      </c>
    </row>
    <row r="545" spans="1:13" x14ac:dyDescent="0.25">
      <c r="A545">
        <v>1046</v>
      </c>
      <c r="B545" s="14" t="s">
        <v>1087</v>
      </c>
      <c r="C545">
        <v>76</v>
      </c>
      <c r="D545" s="14" t="s">
        <v>2014</v>
      </c>
      <c r="E545" s="1">
        <v>46028</v>
      </c>
      <c r="F545" s="1">
        <v>45732</v>
      </c>
      <c r="G545" s="14" t="s">
        <v>1088</v>
      </c>
      <c r="H545" s="14" t="s">
        <v>12</v>
      </c>
      <c r="I545" s="14" t="s">
        <v>2528</v>
      </c>
      <c r="J545" s="14" t="str">
        <f>IF(messy_clinic_appointments[[#This Row],[billing_amount]] &lt; 200, "Low", IF(messy_clinic_appointments[[#This Row],[billing_amount]]&lt;= 400, "Medium", "High"))</f>
        <v>High</v>
      </c>
      <c r="K545" s="14" t="s">
        <v>2010</v>
      </c>
      <c r="L545" s="2">
        <f>DATEDIF(messy_clinic_appointments[[#This Row],[booking_date]],messy_clinic_appointments[[#This Row],[appointment_date]],"d")</f>
        <v>296</v>
      </c>
      <c r="M545" s="14" t="str">
        <f>IF(messy_clinic_appointments[[#This Row],[days_to_appointment]]&gt;365, "Review", "OK")</f>
        <v>OK</v>
      </c>
    </row>
    <row r="546" spans="1:13" x14ac:dyDescent="0.25">
      <c r="A546">
        <v>1051</v>
      </c>
      <c r="B546" s="14" t="s">
        <v>1089</v>
      </c>
      <c r="C546">
        <v>81</v>
      </c>
      <c r="D546" s="14" t="s">
        <v>2022</v>
      </c>
      <c r="E546" s="1">
        <v>46056</v>
      </c>
      <c r="F546" s="1">
        <v>45929</v>
      </c>
      <c r="G546" s="14" t="s">
        <v>1090</v>
      </c>
      <c r="H546" s="14" t="s">
        <v>18</v>
      </c>
      <c r="I546" s="14" t="s">
        <v>2529</v>
      </c>
      <c r="J546" s="14" t="str">
        <f>IF(messy_clinic_appointments[[#This Row],[billing_amount]] &lt; 200, "Low", IF(messy_clinic_appointments[[#This Row],[billing_amount]]&lt;= 400, "Medium", "High"))</f>
        <v>High</v>
      </c>
      <c r="K546" s="14" t="s">
        <v>2039</v>
      </c>
      <c r="L546" s="2">
        <f>DATEDIF(messy_clinic_appointments[[#This Row],[booking_date]],messy_clinic_appointments[[#This Row],[appointment_date]],"d")</f>
        <v>127</v>
      </c>
      <c r="M546" s="14" t="str">
        <f>IF(messy_clinic_appointments[[#This Row],[days_to_appointment]]&gt;365, "Review", "OK")</f>
        <v>OK</v>
      </c>
    </row>
    <row r="547" spans="1:13" x14ac:dyDescent="0.25">
      <c r="A547">
        <v>1014</v>
      </c>
      <c r="B547" s="14" t="s">
        <v>1091</v>
      </c>
      <c r="C547">
        <v>81</v>
      </c>
      <c r="D547" s="14" t="s">
        <v>2011</v>
      </c>
      <c r="E547" s="1">
        <v>45806</v>
      </c>
      <c r="F547" s="1">
        <v>45454</v>
      </c>
      <c r="G547" s="14" t="s">
        <v>1092</v>
      </c>
      <c r="H547" s="14" t="s">
        <v>15</v>
      </c>
      <c r="I547" s="14" t="s">
        <v>2530</v>
      </c>
      <c r="J547" s="14" t="str">
        <f>IF(messy_clinic_appointments[[#This Row],[billing_amount]] &lt; 200, "Low", IF(messy_clinic_appointments[[#This Row],[billing_amount]]&lt;= 400, "Medium", "High"))</f>
        <v>High</v>
      </c>
      <c r="K547" s="14" t="s">
        <v>2013</v>
      </c>
      <c r="L547" s="2">
        <f>DATEDIF(messy_clinic_appointments[[#This Row],[booking_date]],messy_clinic_appointments[[#This Row],[appointment_date]],"d")</f>
        <v>352</v>
      </c>
      <c r="M547" s="14" t="str">
        <f>IF(messy_clinic_appointments[[#This Row],[days_to_appointment]]&gt;365, "Review", "OK")</f>
        <v>OK</v>
      </c>
    </row>
    <row r="548" spans="1:13" x14ac:dyDescent="0.25">
      <c r="A548">
        <v>1059</v>
      </c>
      <c r="B548" s="14" t="s">
        <v>1093</v>
      </c>
      <c r="C548">
        <v>75</v>
      </c>
      <c r="D548" s="14" t="s">
        <v>2008</v>
      </c>
      <c r="E548" s="1">
        <v>45762</v>
      </c>
      <c r="F548" s="1">
        <v>45444</v>
      </c>
      <c r="G548" s="14" t="s">
        <v>1094</v>
      </c>
      <c r="H548" s="14" t="s">
        <v>12</v>
      </c>
      <c r="I548" s="14" t="s">
        <v>2531</v>
      </c>
      <c r="J548" s="14" t="str">
        <f>IF(messy_clinic_appointments[[#This Row],[billing_amount]] &lt; 200, "Low", IF(messy_clinic_appointments[[#This Row],[billing_amount]]&lt;= 400, "Medium", "High"))</f>
        <v>High</v>
      </c>
      <c r="K548" s="14" t="s">
        <v>2013</v>
      </c>
      <c r="L548" s="2">
        <f>DATEDIF(messy_clinic_appointments[[#This Row],[booking_date]],messy_clinic_appointments[[#This Row],[appointment_date]],"d")</f>
        <v>318</v>
      </c>
      <c r="M548" s="14" t="str">
        <f>IF(messy_clinic_appointments[[#This Row],[days_to_appointment]]&gt;365, "Review", "OK")</f>
        <v>OK</v>
      </c>
    </row>
    <row r="549" spans="1:13" x14ac:dyDescent="0.25">
      <c r="A549">
        <v>1040</v>
      </c>
      <c r="B549" s="14" t="s">
        <v>1095</v>
      </c>
      <c r="C549">
        <v>77</v>
      </c>
      <c r="D549" s="14" t="s">
        <v>2022</v>
      </c>
      <c r="E549" s="1">
        <v>46006</v>
      </c>
      <c r="F549" s="1">
        <v>45523</v>
      </c>
      <c r="G549" s="14" t="s">
        <v>1096</v>
      </c>
      <c r="H549" s="14" t="s">
        <v>12</v>
      </c>
      <c r="I549" s="14" t="s">
        <v>24</v>
      </c>
      <c r="J549" s="14" t="str">
        <f>IF(messy_clinic_appointments[[#This Row],[billing_amount]] &lt; 200, "Low", IF(messy_clinic_appointments[[#This Row],[billing_amount]]&lt;= 400, "Medium", "High"))</f>
        <v>High</v>
      </c>
      <c r="K549" s="14" t="s">
        <v>2039</v>
      </c>
      <c r="L549" s="2">
        <f>DATEDIF(messy_clinic_appointments[[#This Row],[booking_date]],messy_clinic_appointments[[#This Row],[appointment_date]],"d")</f>
        <v>483</v>
      </c>
      <c r="M549" s="14" t="str">
        <f>IF(messy_clinic_appointments[[#This Row],[days_to_appointment]]&gt;365, "Review", "OK")</f>
        <v>Review</v>
      </c>
    </row>
    <row r="550" spans="1:13" x14ac:dyDescent="0.25">
      <c r="A550">
        <v>1092</v>
      </c>
      <c r="B550" s="14" t="s">
        <v>1097</v>
      </c>
      <c r="C550">
        <v>74</v>
      </c>
      <c r="D550" s="14" t="s">
        <v>2008</v>
      </c>
      <c r="E550" s="1">
        <v>45862</v>
      </c>
      <c r="F550" s="1">
        <v>45771</v>
      </c>
      <c r="G550" s="14" t="s">
        <v>1098</v>
      </c>
      <c r="H550" s="14" t="s">
        <v>21</v>
      </c>
      <c r="I550" s="14" t="s">
        <v>2532</v>
      </c>
      <c r="J550" s="14" t="str">
        <f>IF(messy_clinic_appointments[[#This Row],[billing_amount]] &lt; 200, "Low", IF(messy_clinic_appointments[[#This Row],[billing_amount]]&lt;= 400, "Medium", "High"))</f>
        <v>High</v>
      </c>
      <c r="K550" s="14" t="s">
        <v>2013</v>
      </c>
      <c r="L550" s="2">
        <f>DATEDIF(messy_clinic_appointments[[#This Row],[booking_date]],messy_clinic_appointments[[#This Row],[appointment_date]],"d")</f>
        <v>91</v>
      </c>
      <c r="M550" s="14" t="str">
        <f>IF(messy_clinic_appointments[[#This Row],[days_to_appointment]]&gt;365, "Review", "OK")</f>
        <v>OK</v>
      </c>
    </row>
    <row r="551" spans="1:13" x14ac:dyDescent="0.25">
      <c r="A551">
        <v>1010</v>
      </c>
      <c r="B551" s="14" t="s">
        <v>1099</v>
      </c>
      <c r="C551">
        <v>60</v>
      </c>
      <c r="D551" s="14" t="s">
        <v>2014</v>
      </c>
      <c r="E551" s="1">
        <v>46048</v>
      </c>
      <c r="F551" s="1">
        <v>45421</v>
      </c>
      <c r="G551" s="14" t="s">
        <v>1100</v>
      </c>
      <c r="H551" s="14" t="s">
        <v>12</v>
      </c>
      <c r="I551" s="14" t="s">
        <v>2533</v>
      </c>
      <c r="J551" s="14" t="str">
        <f>IF(messy_clinic_appointments[[#This Row],[billing_amount]] &lt; 200, "Low", IF(messy_clinic_appointments[[#This Row],[billing_amount]]&lt;= 400, "Medium", "High"))</f>
        <v>High</v>
      </c>
      <c r="K551" s="14" t="s">
        <v>2010</v>
      </c>
      <c r="L551" s="2">
        <f>DATEDIF(messy_clinic_appointments[[#This Row],[booking_date]],messy_clinic_appointments[[#This Row],[appointment_date]],"d")</f>
        <v>627</v>
      </c>
      <c r="M551" s="14" t="str">
        <f>IF(messy_clinic_appointments[[#This Row],[days_to_appointment]]&gt;365, "Review", "OK")</f>
        <v>Review</v>
      </c>
    </row>
    <row r="552" spans="1:13" x14ac:dyDescent="0.25">
      <c r="A552">
        <v>1032</v>
      </c>
      <c r="B552" s="14" t="s">
        <v>1101</v>
      </c>
      <c r="C552">
        <v>28</v>
      </c>
      <c r="D552" s="14" t="s">
        <v>2014</v>
      </c>
      <c r="E552" s="1">
        <v>45852</v>
      </c>
      <c r="F552" s="1">
        <v>45520</v>
      </c>
      <c r="G552" s="14" t="s">
        <v>1102</v>
      </c>
      <c r="H552" s="14" t="s">
        <v>18</v>
      </c>
      <c r="I552" s="14" t="s">
        <v>2534</v>
      </c>
      <c r="J552" s="14" t="str">
        <f>IF(messy_clinic_appointments[[#This Row],[billing_amount]] &lt; 200, "Low", IF(messy_clinic_appointments[[#This Row],[billing_amount]]&lt;= 400, "Medium", "High"))</f>
        <v>High</v>
      </c>
      <c r="K552" s="14" t="s">
        <v>28</v>
      </c>
      <c r="L552" s="2">
        <f>DATEDIF(messy_clinic_appointments[[#This Row],[booking_date]],messy_clinic_appointments[[#This Row],[appointment_date]],"d")</f>
        <v>332</v>
      </c>
      <c r="M552" s="14" t="str">
        <f>IF(messy_clinic_appointments[[#This Row],[days_to_appointment]]&gt;365, "Review", "OK")</f>
        <v>OK</v>
      </c>
    </row>
    <row r="553" spans="1:13" x14ac:dyDescent="0.25">
      <c r="A553">
        <v>1020</v>
      </c>
      <c r="B553" s="14" t="s">
        <v>1998</v>
      </c>
      <c r="C553">
        <v>45</v>
      </c>
      <c r="D553" s="14" t="s">
        <v>2011</v>
      </c>
      <c r="E553" s="1">
        <v>45990</v>
      </c>
      <c r="F553" s="1">
        <v>45900</v>
      </c>
      <c r="G553" s="14" t="s">
        <v>1103</v>
      </c>
      <c r="H553" s="14" t="s">
        <v>21</v>
      </c>
      <c r="I553" s="14" t="s">
        <v>2535</v>
      </c>
      <c r="J553" s="14" t="str">
        <f>IF(messy_clinic_appointments[[#This Row],[billing_amount]] &lt; 200, "Low", IF(messy_clinic_appointments[[#This Row],[billing_amount]]&lt;= 400, "Medium", "High"))</f>
        <v>High</v>
      </c>
      <c r="K553" s="14" t="s">
        <v>2039</v>
      </c>
      <c r="L553" s="2">
        <f>DATEDIF(messy_clinic_appointments[[#This Row],[booking_date]],messy_clinic_appointments[[#This Row],[appointment_date]],"d")</f>
        <v>90</v>
      </c>
      <c r="M553" s="14" t="str">
        <f>IF(messy_clinic_appointments[[#This Row],[days_to_appointment]]&gt;365, "Review", "OK")</f>
        <v>OK</v>
      </c>
    </row>
    <row r="554" spans="1:13" x14ac:dyDescent="0.25">
      <c r="A554">
        <v>1020</v>
      </c>
      <c r="B554" s="14" t="s">
        <v>1104</v>
      </c>
      <c r="C554">
        <v>50</v>
      </c>
      <c r="D554" s="14" t="s">
        <v>2014</v>
      </c>
      <c r="E554" s="1">
        <v>45887</v>
      </c>
      <c r="F554" s="1">
        <v>45794</v>
      </c>
      <c r="G554" s="14" t="s">
        <v>1105</v>
      </c>
      <c r="H554" s="14" t="s">
        <v>18</v>
      </c>
      <c r="I554" s="14" t="s">
        <v>2536</v>
      </c>
      <c r="J554" s="14" t="str">
        <f>IF(messy_clinic_appointments[[#This Row],[billing_amount]] &lt; 200, "Low", IF(messy_clinic_appointments[[#This Row],[billing_amount]]&lt;= 400, "Medium", "High"))</f>
        <v>High</v>
      </c>
      <c r="K554" s="14" t="s">
        <v>2010</v>
      </c>
      <c r="L554" s="2">
        <f>DATEDIF(messy_clinic_appointments[[#This Row],[booking_date]],messy_clinic_appointments[[#This Row],[appointment_date]],"d")</f>
        <v>93</v>
      </c>
      <c r="M554" s="14" t="str">
        <f>IF(messy_clinic_appointments[[#This Row],[days_to_appointment]]&gt;365, "Review", "OK")</f>
        <v>OK</v>
      </c>
    </row>
    <row r="555" spans="1:13" x14ac:dyDescent="0.25">
      <c r="A555">
        <v>1017</v>
      </c>
      <c r="B555" s="14" t="s">
        <v>1106</v>
      </c>
      <c r="C555">
        <v>55</v>
      </c>
      <c r="D555" s="14" t="s">
        <v>50</v>
      </c>
      <c r="E555" s="1">
        <v>45856</v>
      </c>
      <c r="F555" s="1">
        <v>45479</v>
      </c>
      <c r="G555" s="14" t="s">
        <v>1107</v>
      </c>
      <c r="H555" s="14" t="s">
        <v>21</v>
      </c>
      <c r="I555" s="14" t="s">
        <v>2537</v>
      </c>
      <c r="J555" s="14" t="str">
        <f>IF(messy_clinic_appointments[[#This Row],[billing_amount]] &lt; 200, "Low", IF(messy_clinic_appointments[[#This Row],[billing_amount]]&lt;= 400, "Medium", "High"))</f>
        <v>High</v>
      </c>
      <c r="K555" s="14" t="s">
        <v>22</v>
      </c>
      <c r="L555" s="2">
        <f>DATEDIF(messy_clinic_appointments[[#This Row],[booking_date]],messy_clinic_appointments[[#This Row],[appointment_date]],"d")</f>
        <v>377</v>
      </c>
      <c r="M555" s="14" t="str">
        <f>IF(messy_clinic_appointments[[#This Row],[days_to_appointment]]&gt;365, "Review", "OK")</f>
        <v>Review</v>
      </c>
    </row>
    <row r="556" spans="1:13" x14ac:dyDescent="0.25">
      <c r="A556">
        <v>1007</v>
      </c>
      <c r="B556" s="14" t="s">
        <v>1108</v>
      </c>
      <c r="C556">
        <v>25</v>
      </c>
      <c r="D556" s="14" t="s">
        <v>2008</v>
      </c>
      <c r="E556" s="1">
        <v>45996</v>
      </c>
      <c r="F556" s="1">
        <v>45563</v>
      </c>
      <c r="G556" s="14" t="s">
        <v>1109</v>
      </c>
      <c r="H556" s="14" t="s">
        <v>18</v>
      </c>
      <c r="I556" s="14" t="s">
        <v>2538</v>
      </c>
      <c r="J556" s="14" t="str">
        <f>IF(messy_clinic_appointments[[#This Row],[billing_amount]] &lt; 200, "Low", IF(messy_clinic_appointments[[#This Row],[billing_amount]]&lt;= 400, "Medium", "High"))</f>
        <v>High</v>
      </c>
      <c r="K556" s="14" t="s">
        <v>2010</v>
      </c>
      <c r="L556" s="2">
        <f>DATEDIF(messy_clinic_appointments[[#This Row],[booking_date]],messy_clinic_appointments[[#This Row],[appointment_date]],"d")</f>
        <v>433</v>
      </c>
      <c r="M556" s="14" t="str">
        <f>IF(messy_clinic_appointments[[#This Row],[days_to_appointment]]&gt;365, "Review", "OK")</f>
        <v>Review</v>
      </c>
    </row>
    <row r="557" spans="1:13" x14ac:dyDescent="0.25">
      <c r="A557">
        <v>1084</v>
      </c>
      <c r="B557" s="14" t="s">
        <v>1110</v>
      </c>
      <c r="C557">
        <v>69</v>
      </c>
      <c r="D557" s="14" t="s">
        <v>2014</v>
      </c>
      <c r="E557" s="1">
        <v>45743</v>
      </c>
      <c r="F557" s="1">
        <v>45508</v>
      </c>
      <c r="G557" s="14" t="s">
        <v>1111</v>
      </c>
      <c r="H557" s="14" t="s">
        <v>21</v>
      </c>
      <c r="I557" s="14" t="s">
        <v>2539</v>
      </c>
      <c r="J557" s="14" t="str">
        <f>IF(messy_clinic_appointments[[#This Row],[billing_amount]] &lt; 200, "Low", IF(messy_clinic_appointments[[#This Row],[billing_amount]]&lt;= 400, "Medium", "High"))</f>
        <v>High</v>
      </c>
      <c r="K557" s="14" t="s">
        <v>2026</v>
      </c>
      <c r="L557" s="2">
        <f>DATEDIF(messy_clinic_appointments[[#This Row],[booking_date]],messy_clinic_appointments[[#This Row],[appointment_date]],"d")</f>
        <v>235</v>
      </c>
      <c r="M557" s="14" t="str">
        <f>IF(messy_clinic_appointments[[#This Row],[days_to_appointment]]&gt;365, "Review", "OK")</f>
        <v>OK</v>
      </c>
    </row>
    <row r="558" spans="1:13" x14ac:dyDescent="0.25">
      <c r="A558">
        <v>1005</v>
      </c>
      <c r="B558" s="14" t="s">
        <v>1112</v>
      </c>
      <c r="C558">
        <v>84</v>
      </c>
      <c r="D558" s="14" t="s">
        <v>30</v>
      </c>
      <c r="E558" s="1">
        <v>46027</v>
      </c>
      <c r="F558" s="1">
        <v>45849</v>
      </c>
      <c r="G558" s="14" t="s">
        <v>1113</v>
      </c>
      <c r="H558" s="14" t="s">
        <v>12</v>
      </c>
      <c r="I558" s="14" t="s">
        <v>2540</v>
      </c>
      <c r="J558" s="14" t="str">
        <f>IF(messy_clinic_appointments[[#This Row],[billing_amount]] &lt; 200, "Low", IF(messy_clinic_appointments[[#This Row],[billing_amount]]&lt;= 400, "Medium", "High"))</f>
        <v>High</v>
      </c>
      <c r="K558" s="14" t="s">
        <v>2026</v>
      </c>
      <c r="L558" s="2">
        <f>DATEDIF(messy_clinic_appointments[[#This Row],[booking_date]],messy_clinic_appointments[[#This Row],[appointment_date]],"d")</f>
        <v>178</v>
      </c>
      <c r="M558" s="14" t="str">
        <f>IF(messy_clinic_appointments[[#This Row],[days_to_appointment]]&gt;365, "Review", "OK")</f>
        <v>OK</v>
      </c>
    </row>
    <row r="559" spans="1:13" x14ac:dyDescent="0.25">
      <c r="A559">
        <v>1011</v>
      </c>
      <c r="B559" s="14" t="s">
        <v>1114</v>
      </c>
      <c r="C559">
        <v>50</v>
      </c>
      <c r="D559" s="14" t="s">
        <v>2008</v>
      </c>
      <c r="E559" s="1">
        <v>45975</v>
      </c>
      <c r="F559" s="1">
        <v>45914</v>
      </c>
      <c r="G559" s="14" t="s">
        <v>1115</v>
      </c>
      <c r="H559" s="14" t="s">
        <v>12</v>
      </c>
      <c r="I559" s="14" t="s">
        <v>2541</v>
      </c>
      <c r="J559" s="14" t="str">
        <f>IF(messy_clinic_appointments[[#This Row],[billing_amount]] &lt; 200, "Low", IF(messy_clinic_appointments[[#This Row],[billing_amount]]&lt;= 400, "Medium", "High"))</f>
        <v>High</v>
      </c>
      <c r="K559" s="14" t="s">
        <v>2039</v>
      </c>
      <c r="L559" s="2">
        <f>DATEDIF(messy_clinic_appointments[[#This Row],[booking_date]],messy_clinic_appointments[[#This Row],[appointment_date]],"d")</f>
        <v>61</v>
      </c>
      <c r="M559" s="14" t="str">
        <f>IF(messy_clinic_appointments[[#This Row],[days_to_appointment]]&gt;365, "Review", "OK")</f>
        <v>OK</v>
      </c>
    </row>
    <row r="560" spans="1:13" x14ac:dyDescent="0.25">
      <c r="A560">
        <v>1085</v>
      </c>
      <c r="B560" s="14" t="s">
        <v>1116</v>
      </c>
      <c r="C560">
        <v>28</v>
      </c>
      <c r="D560" s="14" t="s">
        <v>2008</v>
      </c>
      <c r="E560" s="1">
        <v>46089</v>
      </c>
      <c r="F560" s="1">
        <v>45634</v>
      </c>
      <c r="G560" s="14" t="s">
        <v>1117</v>
      </c>
      <c r="H560" s="14" t="s">
        <v>15</v>
      </c>
      <c r="I560" s="14" t="s">
        <v>24</v>
      </c>
      <c r="J560" s="14" t="str">
        <f>IF(messy_clinic_appointments[[#This Row],[billing_amount]] &lt; 200, "Low", IF(messy_clinic_appointments[[#This Row],[billing_amount]]&lt;= 400, "Medium", "High"))</f>
        <v>High</v>
      </c>
      <c r="K560" s="14" t="s">
        <v>2039</v>
      </c>
      <c r="L560" s="2">
        <f>DATEDIF(messy_clinic_appointments[[#This Row],[booking_date]],messy_clinic_appointments[[#This Row],[appointment_date]],"d")</f>
        <v>455</v>
      </c>
      <c r="M560" s="14" t="str">
        <f>IF(messy_clinic_appointments[[#This Row],[days_to_appointment]]&gt;365, "Review", "OK")</f>
        <v>Review</v>
      </c>
    </row>
    <row r="561" spans="1:13" x14ac:dyDescent="0.25">
      <c r="A561">
        <v>1005</v>
      </c>
      <c r="B561" s="14" t="s">
        <v>1118</v>
      </c>
      <c r="C561">
        <v>24</v>
      </c>
      <c r="D561" s="14" t="s">
        <v>30</v>
      </c>
      <c r="E561" s="1">
        <v>45821</v>
      </c>
      <c r="F561" s="1">
        <v>45449</v>
      </c>
      <c r="G561" s="14" t="s">
        <v>1119</v>
      </c>
      <c r="H561" s="14" t="s">
        <v>12</v>
      </c>
      <c r="I561" s="14" t="s">
        <v>2542</v>
      </c>
      <c r="J561" s="14" t="str">
        <f>IF(messy_clinic_appointments[[#This Row],[billing_amount]] &lt; 200, "Low", IF(messy_clinic_appointments[[#This Row],[billing_amount]]&lt;= 400, "Medium", "High"))</f>
        <v>High</v>
      </c>
      <c r="K561" s="14" t="s">
        <v>2026</v>
      </c>
      <c r="L561" s="2">
        <f>DATEDIF(messy_clinic_appointments[[#This Row],[booking_date]],messy_clinic_appointments[[#This Row],[appointment_date]],"d")</f>
        <v>372</v>
      </c>
      <c r="M561" s="14" t="str">
        <f>IF(messy_clinic_appointments[[#This Row],[days_to_appointment]]&gt;365, "Review", "OK")</f>
        <v>Review</v>
      </c>
    </row>
    <row r="562" spans="1:13" x14ac:dyDescent="0.25">
      <c r="A562">
        <v>1079</v>
      </c>
      <c r="B562" s="14" t="s">
        <v>1120</v>
      </c>
      <c r="C562">
        <v>52</v>
      </c>
      <c r="D562" s="14" t="s">
        <v>2014</v>
      </c>
      <c r="E562" s="1">
        <v>45977</v>
      </c>
      <c r="F562" s="1">
        <v>45740</v>
      </c>
      <c r="G562" s="14" t="s">
        <v>1121</v>
      </c>
      <c r="H562" s="14" t="s">
        <v>12</v>
      </c>
      <c r="I562" s="14" t="s">
        <v>2543</v>
      </c>
      <c r="J562" s="14" t="str">
        <f>IF(messy_clinic_appointments[[#This Row],[billing_amount]] &lt; 200, "Low", IF(messy_clinic_appointments[[#This Row],[billing_amount]]&lt;= 400, "Medium", "High"))</f>
        <v>High</v>
      </c>
      <c r="K562" s="14" t="s">
        <v>2039</v>
      </c>
      <c r="L562" s="2">
        <f>DATEDIF(messy_clinic_appointments[[#This Row],[booking_date]],messy_clinic_appointments[[#This Row],[appointment_date]],"d")</f>
        <v>237</v>
      </c>
      <c r="M562" s="14" t="str">
        <f>IF(messy_clinic_appointments[[#This Row],[days_to_appointment]]&gt;365, "Review", "OK")</f>
        <v>OK</v>
      </c>
    </row>
    <row r="563" spans="1:13" x14ac:dyDescent="0.25">
      <c r="A563">
        <v>1090</v>
      </c>
      <c r="B563" s="14" t="s">
        <v>1122</v>
      </c>
      <c r="C563">
        <v>53</v>
      </c>
      <c r="D563" s="14" t="s">
        <v>2010</v>
      </c>
      <c r="E563" s="1">
        <v>46068</v>
      </c>
      <c r="F563" s="1">
        <v>45774</v>
      </c>
      <c r="G563" s="14" t="s">
        <v>1123</v>
      </c>
      <c r="H563" s="14" t="s">
        <v>15</v>
      </c>
      <c r="I563" s="14" t="s">
        <v>2544</v>
      </c>
      <c r="J563" s="14" t="str">
        <f>IF(messy_clinic_appointments[[#This Row],[billing_amount]] &lt; 200, "Low", IF(messy_clinic_appointments[[#This Row],[billing_amount]]&lt;= 400, "Medium", "High"))</f>
        <v>High</v>
      </c>
      <c r="K563" s="14" t="s">
        <v>2013</v>
      </c>
      <c r="L563" s="2">
        <f>DATEDIF(messy_clinic_appointments[[#This Row],[booking_date]],messy_clinic_appointments[[#This Row],[appointment_date]],"d")</f>
        <v>294</v>
      </c>
      <c r="M563" s="14" t="str">
        <f>IF(messy_clinic_appointments[[#This Row],[days_to_appointment]]&gt;365, "Review", "OK")</f>
        <v>OK</v>
      </c>
    </row>
    <row r="564" spans="1:13" x14ac:dyDescent="0.25">
      <c r="A564">
        <v>1068</v>
      </c>
      <c r="B564" s="14" t="s">
        <v>1124</v>
      </c>
      <c r="C564">
        <v>59</v>
      </c>
      <c r="D564" s="14" t="s">
        <v>2010</v>
      </c>
      <c r="E564" s="1">
        <v>45866</v>
      </c>
      <c r="F564" s="1">
        <v>45492</v>
      </c>
      <c r="G564" s="14" t="s">
        <v>1125</v>
      </c>
      <c r="H564" s="14" t="s">
        <v>12</v>
      </c>
      <c r="I564" s="14" t="s">
        <v>2545</v>
      </c>
      <c r="J564" s="14" t="str">
        <f>IF(messy_clinic_appointments[[#This Row],[billing_amount]] &lt; 200, "Low", IF(messy_clinic_appointments[[#This Row],[billing_amount]]&lt;= 400, "Medium", "High"))</f>
        <v>High</v>
      </c>
      <c r="K564" s="14" t="s">
        <v>2026</v>
      </c>
      <c r="L564" s="2">
        <f>DATEDIF(messy_clinic_appointments[[#This Row],[booking_date]],messy_clinic_appointments[[#This Row],[appointment_date]],"d")</f>
        <v>374</v>
      </c>
      <c r="M564" s="14" t="str">
        <f>IF(messy_clinic_appointments[[#This Row],[days_to_appointment]]&gt;365, "Review", "OK")</f>
        <v>Review</v>
      </c>
    </row>
    <row r="565" spans="1:13" x14ac:dyDescent="0.25">
      <c r="A565">
        <v>1047</v>
      </c>
      <c r="B565" s="14" t="s">
        <v>1126</v>
      </c>
      <c r="C565">
        <v>31</v>
      </c>
      <c r="D565" s="14" t="s">
        <v>2008</v>
      </c>
      <c r="E565" s="1">
        <v>45752</v>
      </c>
      <c r="F565" s="1">
        <v>45420</v>
      </c>
      <c r="G565" s="14" t="s">
        <v>1127</v>
      </c>
      <c r="H565" s="14" t="s">
        <v>12</v>
      </c>
      <c r="I565" s="14" t="s">
        <v>2546</v>
      </c>
      <c r="J565" s="14" t="str">
        <f>IF(messy_clinic_appointments[[#This Row],[billing_amount]] &lt; 200, "Low", IF(messy_clinic_appointments[[#This Row],[billing_amount]]&lt;= 400, "Medium", "High"))</f>
        <v>High</v>
      </c>
      <c r="K565" s="14" t="s">
        <v>2026</v>
      </c>
      <c r="L565" s="2">
        <f>DATEDIF(messy_clinic_appointments[[#This Row],[booking_date]],messy_clinic_appointments[[#This Row],[appointment_date]],"d")</f>
        <v>332</v>
      </c>
      <c r="M565" s="14" t="str">
        <f>IF(messy_clinic_appointments[[#This Row],[days_to_appointment]]&gt;365, "Review", "OK")</f>
        <v>OK</v>
      </c>
    </row>
    <row r="566" spans="1:13" x14ac:dyDescent="0.25">
      <c r="A566">
        <v>1009</v>
      </c>
      <c r="B566" s="14" t="s">
        <v>1128</v>
      </c>
      <c r="C566">
        <v>74</v>
      </c>
      <c r="D566" s="14" t="s">
        <v>50</v>
      </c>
      <c r="E566" s="1">
        <v>46100</v>
      </c>
      <c r="F566" s="1">
        <v>45987</v>
      </c>
      <c r="G566" s="14" t="s">
        <v>1129</v>
      </c>
      <c r="H566" s="14" t="s">
        <v>12</v>
      </c>
      <c r="I566" s="14" t="s">
        <v>2547</v>
      </c>
      <c r="J566" s="14" t="str">
        <f>IF(messy_clinic_appointments[[#This Row],[billing_amount]] &lt; 200, "Low", IF(messy_clinic_appointments[[#This Row],[billing_amount]]&lt;= 400, "Medium", "High"))</f>
        <v>High</v>
      </c>
      <c r="K566" s="14" t="s">
        <v>22</v>
      </c>
      <c r="L566" s="2">
        <f>DATEDIF(messy_clinic_appointments[[#This Row],[booking_date]],messy_clinic_appointments[[#This Row],[appointment_date]],"d")</f>
        <v>113</v>
      </c>
      <c r="M566" s="14" t="str">
        <f>IF(messy_clinic_appointments[[#This Row],[days_to_appointment]]&gt;365, "Review", "OK")</f>
        <v>OK</v>
      </c>
    </row>
    <row r="567" spans="1:13" x14ac:dyDescent="0.25">
      <c r="A567">
        <v>1084</v>
      </c>
      <c r="B567" s="14" t="s">
        <v>1130</v>
      </c>
      <c r="C567">
        <v>83</v>
      </c>
      <c r="D567" s="14" t="s">
        <v>2014</v>
      </c>
      <c r="E567" s="1">
        <v>46055</v>
      </c>
      <c r="F567" s="1">
        <v>45867</v>
      </c>
      <c r="G567" s="14" t="s">
        <v>1131</v>
      </c>
      <c r="H567" s="14" t="s">
        <v>21</v>
      </c>
      <c r="I567" s="14" t="s">
        <v>24</v>
      </c>
      <c r="J567" s="14" t="str">
        <f>IF(messy_clinic_appointments[[#This Row],[billing_amount]] &lt; 200, "Low", IF(messy_clinic_appointments[[#This Row],[billing_amount]]&lt;= 400, "Medium", "High"))</f>
        <v>High</v>
      </c>
      <c r="K567" s="14" t="s">
        <v>2039</v>
      </c>
      <c r="L567" s="2">
        <f>DATEDIF(messy_clinic_appointments[[#This Row],[booking_date]],messy_clinic_appointments[[#This Row],[appointment_date]],"d")</f>
        <v>188</v>
      </c>
      <c r="M567" s="14" t="str">
        <f>IF(messy_clinic_appointments[[#This Row],[days_to_appointment]]&gt;365, "Review", "OK")</f>
        <v>OK</v>
      </c>
    </row>
    <row r="568" spans="1:13" x14ac:dyDescent="0.25">
      <c r="A568">
        <v>1016</v>
      </c>
      <c r="B568" s="14" t="s">
        <v>1132</v>
      </c>
      <c r="C568">
        <v>31</v>
      </c>
      <c r="D568" s="14" t="s">
        <v>2010</v>
      </c>
      <c r="E568" s="1">
        <v>45957</v>
      </c>
      <c r="F568" s="1">
        <v>45728</v>
      </c>
      <c r="G568" s="14" t="s">
        <v>1133</v>
      </c>
      <c r="H568" s="14" t="s">
        <v>15</v>
      </c>
      <c r="I568" s="14" t="s">
        <v>2548</v>
      </c>
      <c r="J568" s="14" t="str">
        <f>IF(messy_clinic_appointments[[#This Row],[billing_amount]] &lt; 200, "Low", IF(messy_clinic_appointments[[#This Row],[billing_amount]]&lt;= 400, "Medium", "High"))</f>
        <v>High</v>
      </c>
      <c r="K568" s="14" t="s">
        <v>2013</v>
      </c>
      <c r="L568" s="2">
        <f>DATEDIF(messy_clinic_appointments[[#This Row],[booking_date]],messy_clinic_appointments[[#This Row],[appointment_date]],"d")</f>
        <v>229</v>
      </c>
      <c r="M568" s="14" t="str">
        <f>IF(messy_clinic_appointments[[#This Row],[days_to_appointment]]&gt;365, "Review", "OK")</f>
        <v>OK</v>
      </c>
    </row>
    <row r="569" spans="1:13" x14ac:dyDescent="0.25">
      <c r="A569">
        <v>1068</v>
      </c>
      <c r="B569" s="14" t="s">
        <v>1134</v>
      </c>
      <c r="C569">
        <v>63</v>
      </c>
      <c r="D569" s="14" t="s">
        <v>2022</v>
      </c>
      <c r="E569" s="1">
        <v>45932</v>
      </c>
      <c r="F569" s="1">
        <v>45449</v>
      </c>
      <c r="G569" s="14" t="s">
        <v>1135</v>
      </c>
      <c r="H569" s="14" t="s">
        <v>21</v>
      </c>
      <c r="I569" s="14" t="s">
        <v>2549</v>
      </c>
      <c r="J569" s="14" t="str">
        <f>IF(messy_clinic_appointments[[#This Row],[billing_amount]] &lt; 200, "Low", IF(messy_clinic_appointments[[#This Row],[billing_amount]]&lt;= 400, "Medium", "High"))</f>
        <v>High</v>
      </c>
      <c r="K569" s="14" t="s">
        <v>2026</v>
      </c>
      <c r="L569" s="2">
        <f>DATEDIF(messy_clinic_appointments[[#This Row],[booking_date]],messy_clinic_appointments[[#This Row],[appointment_date]],"d")</f>
        <v>483</v>
      </c>
      <c r="M569" s="14" t="str">
        <f>IF(messy_clinic_appointments[[#This Row],[days_to_appointment]]&gt;365, "Review", "OK")</f>
        <v>Review</v>
      </c>
    </row>
    <row r="570" spans="1:13" x14ac:dyDescent="0.25">
      <c r="A570">
        <v>1048</v>
      </c>
      <c r="B570" s="14" t="s">
        <v>1136</v>
      </c>
      <c r="C570">
        <v>47</v>
      </c>
      <c r="D570" s="14" t="s">
        <v>2011</v>
      </c>
      <c r="E570" s="1">
        <v>45875</v>
      </c>
      <c r="F570" s="1">
        <v>45859</v>
      </c>
      <c r="G570" s="14" t="s">
        <v>1137</v>
      </c>
      <c r="H570" s="14" t="s">
        <v>18</v>
      </c>
      <c r="I570" s="14" t="s">
        <v>2550</v>
      </c>
      <c r="J570" s="14" t="str">
        <f>IF(messy_clinic_appointments[[#This Row],[billing_amount]] &lt; 200, "Low", IF(messy_clinic_appointments[[#This Row],[billing_amount]]&lt;= 400, "Medium", "High"))</f>
        <v>High</v>
      </c>
      <c r="K570" s="14" t="s">
        <v>28</v>
      </c>
      <c r="L570" s="2">
        <f>DATEDIF(messy_clinic_appointments[[#This Row],[booking_date]],messy_clinic_appointments[[#This Row],[appointment_date]],"d")</f>
        <v>16</v>
      </c>
      <c r="M570" s="14" t="str">
        <f>IF(messy_clinic_appointments[[#This Row],[days_to_appointment]]&gt;365, "Review", "OK")</f>
        <v>OK</v>
      </c>
    </row>
    <row r="571" spans="1:13" x14ac:dyDescent="0.25">
      <c r="A571">
        <v>1080</v>
      </c>
      <c r="B571" s="14" t="s">
        <v>1138</v>
      </c>
      <c r="C571">
        <v>52</v>
      </c>
      <c r="D571" s="14" t="s">
        <v>2014</v>
      </c>
      <c r="E571" s="1">
        <v>45881</v>
      </c>
      <c r="F571" s="1">
        <v>45679</v>
      </c>
      <c r="G571" s="14" t="s">
        <v>1139</v>
      </c>
      <c r="H571" s="14" t="s">
        <v>15</v>
      </c>
      <c r="I571" s="14" t="s">
        <v>2551</v>
      </c>
      <c r="J571" s="14" t="str">
        <f>IF(messy_clinic_appointments[[#This Row],[billing_amount]] &lt; 200, "Low", IF(messy_clinic_appointments[[#This Row],[billing_amount]]&lt;= 400, "Medium", "High"))</f>
        <v>High</v>
      </c>
      <c r="K571" s="14" t="s">
        <v>22</v>
      </c>
      <c r="L571" s="2">
        <f>DATEDIF(messy_clinic_appointments[[#This Row],[booking_date]],messy_clinic_appointments[[#This Row],[appointment_date]],"d")</f>
        <v>202</v>
      </c>
      <c r="M571" s="14" t="str">
        <f>IF(messy_clinic_appointments[[#This Row],[days_to_appointment]]&gt;365, "Review", "OK")</f>
        <v>OK</v>
      </c>
    </row>
    <row r="572" spans="1:13" x14ac:dyDescent="0.25">
      <c r="A572">
        <v>1030</v>
      </c>
      <c r="B572" s="14" t="s">
        <v>1140</v>
      </c>
      <c r="C572">
        <v>66</v>
      </c>
      <c r="D572" s="14" t="s">
        <v>2008</v>
      </c>
      <c r="E572" s="1">
        <v>45953</v>
      </c>
      <c r="F572" s="1">
        <v>45437</v>
      </c>
      <c r="G572" s="14" t="s">
        <v>1141</v>
      </c>
      <c r="H572" s="14" t="s">
        <v>12</v>
      </c>
      <c r="I572" s="14" t="s">
        <v>2552</v>
      </c>
      <c r="J572" s="14" t="str">
        <f>IF(messy_clinic_appointments[[#This Row],[billing_amount]] &lt; 200, "Low", IF(messy_clinic_appointments[[#This Row],[billing_amount]]&lt;= 400, "Medium", "High"))</f>
        <v>High</v>
      </c>
      <c r="K572" s="14" t="s">
        <v>2013</v>
      </c>
      <c r="L572" s="2">
        <f>DATEDIF(messy_clinic_appointments[[#This Row],[booking_date]],messy_clinic_appointments[[#This Row],[appointment_date]],"d")</f>
        <v>516</v>
      </c>
      <c r="M572" s="14" t="str">
        <f>IF(messy_clinic_appointments[[#This Row],[days_to_appointment]]&gt;365, "Review", "OK")</f>
        <v>Review</v>
      </c>
    </row>
    <row r="573" spans="1:13" x14ac:dyDescent="0.25">
      <c r="A573">
        <v>1003</v>
      </c>
      <c r="B573" s="14" t="s">
        <v>1142</v>
      </c>
      <c r="C573">
        <v>48</v>
      </c>
      <c r="D573" s="14" t="s">
        <v>2022</v>
      </c>
      <c r="E573" s="1">
        <v>45863</v>
      </c>
      <c r="F573" s="1">
        <v>45671</v>
      </c>
      <c r="G573" s="14" t="s">
        <v>1143</v>
      </c>
      <c r="H573" s="14" t="s">
        <v>15</v>
      </c>
      <c r="I573" s="14" t="s">
        <v>2553</v>
      </c>
      <c r="J573" s="14" t="str">
        <f>IF(messy_clinic_appointments[[#This Row],[billing_amount]] &lt; 200, "Low", IF(messy_clinic_appointments[[#This Row],[billing_amount]]&lt;= 400, "Medium", "High"))</f>
        <v>High</v>
      </c>
      <c r="K573" s="14" t="s">
        <v>2026</v>
      </c>
      <c r="L573" s="2">
        <f>DATEDIF(messy_clinic_appointments[[#This Row],[booking_date]],messy_clinic_appointments[[#This Row],[appointment_date]],"d")</f>
        <v>192</v>
      </c>
      <c r="M573" s="14" t="str">
        <f>IF(messy_clinic_appointments[[#This Row],[days_to_appointment]]&gt;365, "Review", "OK")</f>
        <v>OK</v>
      </c>
    </row>
    <row r="574" spans="1:13" x14ac:dyDescent="0.25">
      <c r="A574">
        <v>1047</v>
      </c>
      <c r="B574" s="14" t="s">
        <v>1144</v>
      </c>
      <c r="C574">
        <v>74</v>
      </c>
      <c r="D574" s="14" t="s">
        <v>2039</v>
      </c>
      <c r="E574" s="1">
        <v>45949</v>
      </c>
      <c r="F574" s="1">
        <v>45511</v>
      </c>
      <c r="G574" s="14" t="s">
        <v>1145</v>
      </c>
      <c r="H574" s="14" t="s">
        <v>15</v>
      </c>
      <c r="I574" s="14" t="s">
        <v>2554</v>
      </c>
      <c r="J574" s="14" t="str">
        <f>IF(messy_clinic_appointments[[#This Row],[billing_amount]] &lt; 200, "Low", IF(messy_clinic_appointments[[#This Row],[billing_amount]]&lt;= 400, "Medium", "High"))</f>
        <v>High</v>
      </c>
      <c r="K574" s="14" t="s">
        <v>2010</v>
      </c>
      <c r="L574" s="2">
        <f>DATEDIF(messy_clinic_appointments[[#This Row],[booking_date]],messy_clinic_appointments[[#This Row],[appointment_date]],"d")</f>
        <v>438</v>
      </c>
      <c r="M574" s="14" t="str">
        <f>IF(messy_clinic_appointments[[#This Row],[days_to_appointment]]&gt;365, "Review", "OK")</f>
        <v>Review</v>
      </c>
    </row>
    <row r="575" spans="1:13" x14ac:dyDescent="0.25">
      <c r="A575">
        <v>1075</v>
      </c>
      <c r="B575" s="14" t="s">
        <v>1146</v>
      </c>
      <c r="C575">
        <v>72</v>
      </c>
      <c r="D575" s="14" t="s">
        <v>2010</v>
      </c>
      <c r="E575" s="1">
        <v>45824</v>
      </c>
      <c r="F575" s="1">
        <v>45527</v>
      </c>
      <c r="G575" s="14" t="s">
        <v>1147</v>
      </c>
      <c r="H575" s="14" t="s">
        <v>18</v>
      </c>
      <c r="I575" s="14" t="s">
        <v>2555</v>
      </c>
      <c r="J575" s="14" t="str">
        <f>IF(messy_clinic_appointments[[#This Row],[billing_amount]] &lt; 200, "Low", IF(messy_clinic_appointments[[#This Row],[billing_amount]]&lt;= 400, "Medium", "High"))</f>
        <v>High</v>
      </c>
      <c r="K575" s="14" t="s">
        <v>2010</v>
      </c>
      <c r="L575" s="2">
        <f>DATEDIF(messy_clinic_appointments[[#This Row],[booking_date]],messy_clinic_appointments[[#This Row],[appointment_date]],"d")</f>
        <v>297</v>
      </c>
      <c r="M575" s="14" t="str">
        <f>IF(messy_clinic_appointments[[#This Row],[days_to_appointment]]&gt;365, "Review", "OK")</f>
        <v>OK</v>
      </c>
    </row>
    <row r="576" spans="1:13" x14ac:dyDescent="0.25">
      <c r="A576">
        <v>1072</v>
      </c>
      <c r="B576" s="14" t="s">
        <v>1148</v>
      </c>
      <c r="C576">
        <v>49</v>
      </c>
      <c r="D576" s="14" t="s">
        <v>2039</v>
      </c>
      <c r="E576" s="1">
        <v>45760</v>
      </c>
      <c r="F576" s="1">
        <v>45570</v>
      </c>
      <c r="G576" s="14" t="s">
        <v>1149</v>
      </c>
      <c r="H576" s="14" t="s">
        <v>15</v>
      </c>
      <c r="I576" s="14" t="s">
        <v>2556</v>
      </c>
      <c r="J576" s="14" t="str">
        <f>IF(messy_clinic_appointments[[#This Row],[billing_amount]] &lt; 200, "Low", IF(messy_clinic_appointments[[#This Row],[billing_amount]]&lt;= 400, "Medium", "High"))</f>
        <v>High</v>
      </c>
      <c r="K576" s="14" t="s">
        <v>2026</v>
      </c>
      <c r="L576" s="2">
        <f>DATEDIF(messy_clinic_appointments[[#This Row],[booking_date]],messy_clinic_appointments[[#This Row],[appointment_date]],"d")</f>
        <v>190</v>
      </c>
      <c r="M576" s="14" t="str">
        <f>IF(messy_clinic_appointments[[#This Row],[days_to_appointment]]&gt;365, "Review", "OK")</f>
        <v>OK</v>
      </c>
    </row>
    <row r="577" spans="1:13" x14ac:dyDescent="0.25">
      <c r="A577">
        <v>1001</v>
      </c>
      <c r="B577" s="14" t="s">
        <v>1150</v>
      </c>
      <c r="C577">
        <v>33</v>
      </c>
      <c r="D577" s="14" t="s">
        <v>2011</v>
      </c>
      <c r="E577" s="1">
        <v>45975</v>
      </c>
      <c r="F577" s="1">
        <v>45906</v>
      </c>
      <c r="G577" s="14" t="s">
        <v>1151</v>
      </c>
      <c r="H577" s="14" t="s">
        <v>18</v>
      </c>
      <c r="I577" s="14" t="s">
        <v>2557</v>
      </c>
      <c r="J577" s="14" t="str">
        <f>IF(messy_clinic_appointments[[#This Row],[billing_amount]] &lt; 200, "Low", IF(messy_clinic_appointments[[#This Row],[billing_amount]]&lt;= 400, "Medium", "High"))</f>
        <v>High</v>
      </c>
      <c r="K577" s="14" t="s">
        <v>22</v>
      </c>
      <c r="L577" s="2">
        <f>DATEDIF(messy_clinic_appointments[[#This Row],[booking_date]],messy_clinic_appointments[[#This Row],[appointment_date]],"d")</f>
        <v>69</v>
      </c>
      <c r="M577" s="14" t="str">
        <f>IF(messy_clinic_appointments[[#This Row],[days_to_appointment]]&gt;365, "Review", "OK")</f>
        <v>OK</v>
      </c>
    </row>
    <row r="578" spans="1:13" x14ac:dyDescent="0.25">
      <c r="A578">
        <v>1009</v>
      </c>
      <c r="B578" s="14" t="s">
        <v>1152</v>
      </c>
      <c r="C578">
        <v>61</v>
      </c>
      <c r="D578" s="14" t="s">
        <v>2010</v>
      </c>
      <c r="E578" s="1">
        <v>46023</v>
      </c>
      <c r="F578" s="1">
        <v>45883</v>
      </c>
      <c r="G578" s="14" t="s">
        <v>1153</v>
      </c>
      <c r="H578" s="14" t="s">
        <v>21</v>
      </c>
      <c r="I578" s="14" t="s">
        <v>2558</v>
      </c>
      <c r="J578" s="14" t="str">
        <f>IF(messy_clinic_appointments[[#This Row],[billing_amount]] &lt; 200, "Low", IF(messy_clinic_appointments[[#This Row],[billing_amount]]&lt;= 400, "Medium", "High"))</f>
        <v>High</v>
      </c>
      <c r="K578" s="14" t="s">
        <v>2026</v>
      </c>
      <c r="L578" s="2">
        <f>DATEDIF(messy_clinic_appointments[[#This Row],[booking_date]],messy_clinic_appointments[[#This Row],[appointment_date]],"d")</f>
        <v>140</v>
      </c>
      <c r="M578" s="14" t="str">
        <f>IF(messy_clinic_appointments[[#This Row],[days_to_appointment]]&gt;365, "Review", "OK")</f>
        <v>OK</v>
      </c>
    </row>
    <row r="579" spans="1:13" x14ac:dyDescent="0.25">
      <c r="A579">
        <v>1016</v>
      </c>
      <c r="B579" s="14" t="s">
        <v>1154</v>
      </c>
      <c r="C579">
        <v>29</v>
      </c>
      <c r="D579" s="14" t="s">
        <v>2022</v>
      </c>
      <c r="E579" s="1">
        <v>45971</v>
      </c>
      <c r="F579" s="1">
        <v>45794</v>
      </c>
      <c r="G579" s="14" t="s">
        <v>1155</v>
      </c>
      <c r="H579" s="14" t="s">
        <v>12</v>
      </c>
      <c r="I579" s="14" t="s">
        <v>2559</v>
      </c>
      <c r="J579" s="14" t="str">
        <f>IF(messy_clinic_appointments[[#This Row],[billing_amount]] &lt; 200, "Low", IF(messy_clinic_appointments[[#This Row],[billing_amount]]&lt;= 400, "Medium", "High"))</f>
        <v>High</v>
      </c>
      <c r="K579" s="14" t="s">
        <v>2013</v>
      </c>
      <c r="L579" s="2">
        <f>DATEDIF(messy_clinic_appointments[[#This Row],[booking_date]],messy_clinic_appointments[[#This Row],[appointment_date]],"d")</f>
        <v>177</v>
      </c>
      <c r="M579" s="14" t="str">
        <f>IF(messy_clinic_appointments[[#This Row],[days_to_appointment]]&gt;365, "Review", "OK")</f>
        <v>OK</v>
      </c>
    </row>
    <row r="580" spans="1:13" x14ac:dyDescent="0.25">
      <c r="A580">
        <v>1092</v>
      </c>
      <c r="B580" s="14" t="s">
        <v>1156</v>
      </c>
      <c r="C580">
        <v>54</v>
      </c>
      <c r="D580" s="14" t="s">
        <v>2010</v>
      </c>
      <c r="E580" s="1">
        <v>45870</v>
      </c>
      <c r="F580" s="1">
        <v>45419</v>
      </c>
      <c r="G580" s="14" t="s">
        <v>1157</v>
      </c>
      <c r="H580" s="14" t="s">
        <v>21</v>
      </c>
      <c r="I580" s="14" t="s">
        <v>2560</v>
      </c>
      <c r="J580" s="14" t="str">
        <f>IF(messy_clinic_appointments[[#This Row],[billing_amount]] &lt; 200, "Low", IF(messy_clinic_appointments[[#This Row],[billing_amount]]&lt;= 400, "Medium", "High"))</f>
        <v>High</v>
      </c>
      <c r="K580" s="14" t="s">
        <v>2010</v>
      </c>
      <c r="L580" s="2">
        <f>DATEDIF(messy_clinic_appointments[[#This Row],[booking_date]],messy_clinic_appointments[[#This Row],[appointment_date]],"d")</f>
        <v>451</v>
      </c>
      <c r="M580" s="14" t="str">
        <f>IF(messy_clinic_appointments[[#This Row],[days_to_appointment]]&gt;365, "Review", "OK")</f>
        <v>Review</v>
      </c>
    </row>
    <row r="581" spans="1:13" x14ac:dyDescent="0.25">
      <c r="A581">
        <v>1001</v>
      </c>
      <c r="B581" s="14" t="s">
        <v>1158</v>
      </c>
      <c r="C581">
        <v>70</v>
      </c>
      <c r="D581" s="14" t="s">
        <v>50</v>
      </c>
      <c r="E581" s="1">
        <v>46041</v>
      </c>
      <c r="F581" s="1">
        <v>45674</v>
      </c>
      <c r="G581" s="14" t="s">
        <v>1159</v>
      </c>
      <c r="H581" s="14" t="s">
        <v>21</v>
      </c>
      <c r="I581" s="14" t="s">
        <v>2561</v>
      </c>
      <c r="J581" s="14" t="str">
        <f>IF(messy_clinic_appointments[[#This Row],[billing_amount]] &lt; 200, "Low", IF(messy_clinic_appointments[[#This Row],[billing_amount]]&lt;= 400, "Medium", "High"))</f>
        <v>High</v>
      </c>
      <c r="K581" s="14" t="s">
        <v>2013</v>
      </c>
      <c r="L581" s="2">
        <f>DATEDIF(messy_clinic_appointments[[#This Row],[booking_date]],messy_clinic_appointments[[#This Row],[appointment_date]],"d")</f>
        <v>367</v>
      </c>
      <c r="M581" s="14" t="str">
        <f>IF(messy_clinic_appointments[[#This Row],[days_to_appointment]]&gt;365, "Review", "OK")</f>
        <v>Review</v>
      </c>
    </row>
    <row r="582" spans="1:13" x14ac:dyDescent="0.25">
      <c r="A582">
        <v>1063</v>
      </c>
      <c r="B582" s="14" t="s">
        <v>1160</v>
      </c>
      <c r="C582">
        <v>48</v>
      </c>
      <c r="D582" s="14" t="s">
        <v>50</v>
      </c>
      <c r="E582" s="1">
        <v>45898</v>
      </c>
      <c r="F582" s="1">
        <v>45397</v>
      </c>
      <c r="G582" s="14" t="s">
        <v>1161</v>
      </c>
      <c r="H582" s="14" t="s">
        <v>18</v>
      </c>
      <c r="I582" s="14" t="s">
        <v>2562</v>
      </c>
      <c r="J582" s="14" t="str">
        <f>IF(messy_clinic_appointments[[#This Row],[billing_amount]] &lt; 200, "Low", IF(messy_clinic_appointments[[#This Row],[billing_amount]]&lt;= 400, "Medium", "High"))</f>
        <v>High</v>
      </c>
      <c r="K582" s="14" t="s">
        <v>22</v>
      </c>
      <c r="L582" s="2">
        <f>DATEDIF(messy_clinic_appointments[[#This Row],[booking_date]],messy_clinic_appointments[[#This Row],[appointment_date]],"d")</f>
        <v>501</v>
      </c>
      <c r="M582" s="14" t="str">
        <f>IF(messy_clinic_appointments[[#This Row],[days_to_appointment]]&gt;365, "Review", "OK")</f>
        <v>Review</v>
      </c>
    </row>
    <row r="583" spans="1:13" x14ac:dyDescent="0.25">
      <c r="A583">
        <v>1061</v>
      </c>
      <c r="B583" s="14" t="s">
        <v>1162</v>
      </c>
      <c r="C583">
        <v>67</v>
      </c>
      <c r="D583" s="14" t="s">
        <v>2014</v>
      </c>
      <c r="E583" s="1">
        <v>45977</v>
      </c>
      <c r="F583" s="1">
        <v>45657</v>
      </c>
      <c r="G583" s="14" t="s">
        <v>1163</v>
      </c>
      <c r="H583" s="14" t="s">
        <v>21</v>
      </c>
      <c r="I583" s="14" t="s">
        <v>2563</v>
      </c>
      <c r="J583" s="14" t="str">
        <f>IF(messy_clinic_appointments[[#This Row],[billing_amount]] &lt; 200, "Low", IF(messy_clinic_appointments[[#This Row],[billing_amount]]&lt;= 400, "Medium", "High"))</f>
        <v>High</v>
      </c>
      <c r="K583" s="14" t="s">
        <v>2010</v>
      </c>
      <c r="L583" s="2">
        <f>DATEDIF(messy_clinic_appointments[[#This Row],[booking_date]],messy_clinic_appointments[[#This Row],[appointment_date]],"d")</f>
        <v>320</v>
      </c>
      <c r="M583" s="14" t="str">
        <f>IF(messy_clinic_appointments[[#This Row],[days_to_appointment]]&gt;365, "Review", "OK")</f>
        <v>OK</v>
      </c>
    </row>
    <row r="584" spans="1:13" x14ac:dyDescent="0.25">
      <c r="A584">
        <v>1036</v>
      </c>
      <c r="B584" s="14" t="s">
        <v>1164</v>
      </c>
      <c r="C584">
        <v>41</v>
      </c>
      <c r="D584" s="14" t="s">
        <v>2022</v>
      </c>
      <c r="E584" s="1">
        <v>45837</v>
      </c>
      <c r="F584" s="1">
        <v>45556</v>
      </c>
      <c r="G584" s="14" t="s">
        <v>1165</v>
      </c>
      <c r="H584" s="14" t="s">
        <v>12</v>
      </c>
      <c r="I584" s="14" t="s">
        <v>2564</v>
      </c>
      <c r="J584" s="14" t="str">
        <f>IF(messy_clinic_appointments[[#This Row],[billing_amount]] &lt; 200, "Low", IF(messy_clinic_appointments[[#This Row],[billing_amount]]&lt;= 400, "Medium", "High"))</f>
        <v>High</v>
      </c>
      <c r="K584" s="14" t="s">
        <v>2026</v>
      </c>
      <c r="L584" s="2">
        <f>DATEDIF(messy_clinic_appointments[[#This Row],[booking_date]],messy_clinic_appointments[[#This Row],[appointment_date]],"d")</f>
        <v>281</v>
      </c>
      <c r="M584" s="14" t="str">
        <f>IF(messy_clinic_appointments[[#This Row],[days_to_appointment]]&gt;365, "Review", "OK")</f>
        <v>OK</v>
      </c>
    </row>
    <row r="585" spans="1:13" x14ac:dyDescent="0.25">
      <c r="A585">
        <v>1015</v>
      </c>
      <c r="B585" s="14" t="s">
        <v>1166</v>
      </c>
      <c r="C585">
        <v>87</v>
      </c>
      <c r="D585" s="14" t="s">
        <v>24</v>
      </c>
      <c r="E585" s="1">
        <v>45787</v>
      </c>
      <c r="F585" s="1">
        <v>45694</v>
      </c>
      <c r="G585" s="14" t="s">
        <v>1167</v>
      </c>
      <c r="H585" s="14" t="s">
        <v>12</v>
      </c>
      <c r="I585" s="14" t="s">
        <v>2565</v>
      </c>
      <c r="J585" s="14" t="str">
        <f>IF(messy_clinic_appointments[[#This Row],[billing_amount]] &lt; 200, "Low", IF(messy_clinic_appointments[[#This Row],[billing_amount]]&lt;= 400, "Medium", "High"))</f>
        <v>High</v>
      </c>
      <c r="K585" s="14" t="s">
        <v>28</v>
      </c>
      <c r="L585" s="2">
        <f>DATEDIF(messy_clinic_appointments[[#This Row],[booking_date]],messy_clinic_appointments[[#This Row],[appointment_date]],"d")</f>
        <v>93</v>
      </c>
      <c r="M585" s="14" t="str">
        <f>IF(messy_clinic_appointments[[#This Row],[days_to_appointment]]&gt;365, "Review", "OK")</f>
        <v>OK</v>
      </c>
    </row>
    <row r="586" spans="1:13" x14ac:dyDescent="0.25">
      <c r="A586">
        <v>1069</v>
      </c>
      <c r="B586" s="14" t="s">
        <v>1168</v>
      </c>
      <c r="C586">
        <v>40</v>
      </c>
      <c r="D586" s="14" t="s">
        <v>2039</v>
      </c>
      <c r="E586" s="1">
        <v>46000</v>
      </c>
      <c r="F586" s="1">
        <v>45941</v>
      </c>
      <c r="G586" s="14" t="s">
        <v>1169</v>
      </c>
      <c r="H586" s="14" t="s">
        <v>21</v>
      </c>
      <c r="I586" s="14" t="s">
        <v>2566</v>
      </c>
      <c r="J586" s="14" t="str">
        <f>IF(messy_clinic_appointments[[#This Row],[billing_amount]] &lt; 200, "Low", IF(messy_clinic_appointments[[#This Row],[billing_amount]]&lt;= 400, "Medium", "High"))</f>
        <v>High</v>
      </c>
      <c r="K586" s="14" t="s">
        <v>28</v>
      </c>
      <c r="L586" s="2">
        <f>DATEDIF(messy_clinic_appointments[[#This Row],[booking_date]],messy_clinic_appointments[[#This Row],[appointment_date]],"d")</f>
        <v>59</v>
      </c>
      <c r="M586" s="14" t="str">
        <f>IF(messy_clinic_appointments[[#This Row],[days_to_appointment]]&gt;365, "Review", "OK")</f>
        <v>OK</v>
      </c>
    </row>
    <row r="587" spans="1:13" x14ac:dyDescent="0.25">
      <c r="A587">
        <v>1029</v>
      </c>
      <c r="B587" s="14" t="s">
        <v>1170</v>
      </c>
      <c r="C587">
        <v>55</v>
      </c>
      <c r="D587" s="14" t="s">
        <v>50</v>
      </c>
      <c r="E587" s="1">
        <v>45945</v>
      </c>
      <c r="F587" s="1">
        <v>45805</v>
      </c>
      <c r="G587" s="14" t="s">
        <v>1171</v>
      </c>
      <c r="H587" s="14" t="s">
        <v>15</v>
      </c>
      <c r="I587" s="14" t="s">
        <v>2567</v>
      </c>
      <c r="J587" s="14" t="str">
        <f>IF(messy_clinic_appointments[[#This Row],[billing_amount]] &lt; 200, "Low", IF(messy_clinic_appointments[[#This Row],[billing_amount]]&lt;= 400, "Medium", "High"))</f>
        <v>High</v>
      </c>
      <c r="K587" s="14" t="s">
        <v>22</v>
      </c>
      <c r="L587" s="2">
        <f>DATEDIF(messy_clinic_appointments[[#This Row],[booking_date]],messy_clinic_appointments[[#This Row],[appointment_date]],"d")</f>
        <v>140</v>
      </c>
      <c r="M587" s="14" t="str">
        <f>IF(messy_clinic_appointments[[#This Row],[days_to_appointment]]&gt;365, "Review", "OK")</f>
        <v>OK</v>
      </c>
    </row>
    <row r="588" spans="1:13" x14ac:dyDescent="0.25">
      <c r="A588">
        <v>1037</v>
      </c>
      <c r="B588" s="14" t="s">
        <v>1172</v>
      </c>
      <c r="C588">
        <v>90</v>
      </c>
      <c r="D588" s="14" t="s">
        <v>2010</v>
      </c>
      <c r="E588" s="1">
        <v>45999</v>
      </c>
      <c r="F588" s="1">
        <v>45510</v>
      </c>
      <c r="G588" s="14" t="s">
        <v>1173</v>
      </c>
      <c r="H588" s="14" t="s">
        <v>12</v>
      </c>
      <c r="I588" s="14" t="s">
        <v>2568</v>
      </c>
      <c r="J588" s="14" t="str">
        <f>IF(messy_clinic_appointments[[#This Row],[billing_amount]] &lt; 200, "Low", IF(messy_clinic_appointments[[#This Row],[billing_amount]]&lt;= 400, "Medium", "High"))</f>
        <v>High</v>
      </c>
      <c r="K588" s="14" t="s">
        <v>2026</v>
      </c>
      <c r="L588" s="2">
        <f>DATEDIF(messy_clinic_appointments[[#This Row],[booking_date]],messy_clinic_appointments[[#This Row],[appointment_date]],"d")</f>
        <v>489</v>
      </c>
      <c r="M588" s="14" t="str">
        <f>IF(messy_clinic_appointments[[#This Row],[days_to_appointment]]&gt;365, "Review", "OK")</f>
        <v>Review</v>
      </c>
    </row>
    <row r="589" spans="1:13" x14ac:dyDescent="0.25">
      <c r="A589">
        <v>1071</v>
      </c>
      <c r="B589" s="14" t="s">
        <v>1174</v>
      </c>
      <c r="C589">
        <v>25</v>
      </c>
      <c r="D589" s="14" t="s">
        <v>2008</v>
      </c>
      <c r="E589" s="1">
        <v>46077</v>
      </c>
      <c r="F589" s="1">
        <v>45982</v>
      </c>
      <c r="G589" s="14" t="s">
        <v>1175</v>
      </c>
      <c r="H589" s="14" t="s">
        <v>21</v>
      </c>
      <c r="I589" s="14" t="s">
        <v>2569</v>
      </c>
      <c r="J589" s="14" t="str">
        <f>IF(messy_clinic_appointments[[#This Row],[billing_amount]] &lt; 200, "Low", IF(messy_clinic_appointments[[#This Row],[billing_amount]]&lt;= 400, "Medium", "High"))</f>
        <v>High</v>
      </c>
      <c r="K589" s="14" t="s">
        <v>2039</v>
      </c>
      <c r="L589" s="2">
        <f>DATEDIF(messy_clinic_appointments[[#This Row],[booking_date]],messy_clinic_appointments[[#This Row],[appointment_date]],"d")</f>
        <v>95</v>
      </c>
      <c r="M589" s="14" t="str">
        <f>IF(messy_clinic_appointments[[#This Row],[days_to_appointment]]&gt;365, "Review", "OK")</f>
        <v>OK</v>
      </c>
    </row>
    <row r="590" spans="1:13" x14ac:dyDescent="0.25">
      <c r="A590">
        <v>1023</v>
      </c>
      <c r="B590" s="14" t="s">
        <v>1176</v>
      </c>
      <c r="C590">
        <v>46</v>
      </c>
      <c r="D590" s="14" t="s">
        <v>30</v>
      </c>
      <c r="E590" s="1">
        <v>46060</v>
      </c>
      <c r="F590" s="1">
        <v>45645</v>
      </c>
      <c r="G590" s="14" t="s">
        <v>1177</v>
      </c>
      <c r="H590" s="14" t="s">
        <v>18</v>
      </c>
      <c r="I590" s="14" t="s">
        <v>2570</v>
      </c>
      <c r="J590" s="14" t="str">
        <f>IF(messy_clinic_appointments[[#This Row],[billing_amount]] &lt; 200, "Low", IF(messy_clinic_appointments[[#This Row],[billing_amount]]&lt;= 400, "Medium", "High"))</f>
        <v>High</v>
      </c>
      <c r="K590" s="14" t="s">
        <v>2010</v>
      </c>
      <c r="L590" s="2">
        <f>DATEDIF(messy_clinic_appointments[[#This Row],[booking_date]],messy_clinic_appointments[[#This Row],[appointment_date]],"d")</f>
        <v>415</v>
      </c>
      <c r="M590" s="14" t="str">
        <f>IF(messy_clinic_appointments[[#This Row],[days_to_appointment]]&gt;365, "Review", "OK")</f>
        <v>Review</v>
      </c>
    </row>
    <row r="591" spans="1:13" x14ac:dyDescent="0.25">
      <c r="A591">
        <v>1074</v>
      </c>
      <c r="B591" s="14" t="s">
        <v>1178</v>
      </c>
      <c r="C591">
        <v>75</v>
      </c>
      <c r="D591" s="14" t="s">
        <v>2010</v>
      </c>
      <c r="E591" s="1">
        <v>45884</v>
      </c>
      <c r="F591" s="1">
        <v>45459</v>
      </c>
      <c r="G591" s="14" t="s">
        <v>1179</v>
      </c>
      <c r="H591" s="14" t="s">
        <v>18</v>
      </c>
      <c r="I591" s="14" t="s">
        <v>2571</v>
      </c>
      <c r="J591" s="14" t="str">
        <f>IF(messy_clinic_appointments[[#This Row],[billing_amount]] &lt; 200, "Low", IF(messy_clinic_appointments[[#This Row],[billing_amount]]&lt;= 400, "Medium", "High"))</f>
        <v>High</v>
      </c>
      <c r="K591" s="14" t="s">
        <v>2013</v>
      </c>
      <c r="L591" s="2">
        <f>DATEDIF(messy_clinic_appointments[[#This Row],[booking_date]],messy_clinic_appointments[[#This Row],[appointment_date]],"d")</f>
        <v>425</v>
      </c>
      <c r="M591" s="14" t="str">
        <f>IF(messy_clinic_appointments[[#This Row],[days_to_appointment]]&gt;365, "Review", "OK")</f>
        <v>Review</v>
      </c>
    </row>
    <row r="592" spans="1:13" x14ac:dyDescent="0.25">
      <c r="A592">
        <v>1039</v>
      </c>
      <c r="B592" s="14" t="s">
        <v>1180</v>
      </c>
      <c r="C592">
        <v>68</v>
      </c>
      <c r="D592" s="14" t="s">
        <v>2022</v>
      </c>
      <c r="E592" s="1">
        <v>45779</v>
      </c>
      <c r="F592" s="1">
        <v>45703</v>
      </c>
      <c r="G592" s="14" t="s">
        <v>1070</v>
      </c>
      <c r="H592" s="14" t="s">
        <v>15</v>
      </c>
      <c r="I592" s="14" t="s">
        <v>2572</v>
      </c>
      <c r="J592" s="14" t="str">
        <f>IF(messy_clinic_appointments[[#This Row],[billing_amount]] &lt; 200, "Low", IF(messy_clinic_appointments[[#This Row],[billing_amount]]&lt;= 400, "Medium", "High"))</f>
        <v>High</v>
      </c>
      <c r="K592" s="14" t="s">
        <v>22</v>
      </c>
      <c r="L592" s="2">
        <f>DATEDIF(messy_clinic_appointments[[#This Row],[booking_date]],messy_clinic_appointments[[#This Row],[appointment_date]],"d")</f>
        <v>76</v>
      </c>
      <c r="M592" s="14" t="str">
        <f>IF(messy_clinic_appointments[[#This Row],[days_to_appointment]]&gt;365, "Review", "OK")</f>
        <v>OK</v>
      </c>
    </row>
    <row r="593" spans="1:13" x14ac:dyDescent="0.25">
      <c r="A593">
        <v>1071</v>
      </c>
      <c r="B593" s="14" t="s">
        <v>1181</v>
      </c>
      <c r="C593">
        <v>88</v>
      </c>
      <c r="D593" s="14" t="s">
        <v>2014</v>
      </c>
      <c r="E593" s="1">
        <v>45996</v>
      </c>
      <c r="F593" s="1">
        <v>45506</v>
      </c>
      <c r="G593" s="14" t="s">
        <v>1182</v>
      </c>
      <c r="H593" s="14" t="s">
        <v>18</v>
      </c>
      <c r="I593" s="14" t="s">
        <v>2573</v>
      </c>
      <c r="J593" s="14" t="str">
        <f>IF(messy_clinic_appointments[[#This Row],[billing_amount]] &lt; 200, "Low", IF(messy_clinic_appointments[[#This Row],[billing_amount]]&lt;= 400, "Medium", "High"))</f>
        <v>High</v>
      </c>
      <c r="K593" s="14" t="s">
        <v>2013</v>
      </c>
      <c r="L593" s="2">
        <f>DATEDIF(messy_clinic_appointments[[#This Row],[booking_date]],messy_clinic_appointments[[#This Row],[appointment_date]],"d")</f>
        <v>490</v>
      </c>
      <c r="M593" s="14" t="str">
        <f>IF(messy_clinic_appointments[[#This Row],[days_to_appointment]]&gt;365, "Review", "OK")</f>
        <v>Review</v>
      </c>
    </row>
    <row r="594" spans="1:13" x14ac:dyDescent="0.25">
      <c r="A594">
        <v>1039</v>
      </c>
      <c r="B594" s="14" t="s">
        <v>1183</v>
      </c>
      <c r="C594">
        <v>47</v>
      </c>
      <c r="D594" s="14" t="s">
        <v>2011</v>
      </c>
      <c r="E594" s="1">
        <v>45827</v>
      </c>
      <c r="F594" s="1">
        <v>45419</v>
      </c>
      <c r="G594" s="14" t="s">
        <v>1184</v>
      </c>
      <c r="H594" s="14" t="s">
        <v>15</v>
      </c>
      <c r="I594" s="14" t="s">
        <v>2574</v>
      </c>
      <c r="J594" s="14" t="str">
        <f>IF(messy_clinic_appointments[[#This Row],[billing_amount]] &lt; 200, "Low", IF(messy_clinic_appointments[[#This Row],[billing_amount]]&lt;= 400, "Medium", "High"))</f>
        <v>High</v>
      </c>
      <c r="K594" s="14" t="s">
        <v>2013</v>
      </c>
      <c r="L594" s="2">
        <f>DATEDIF(messy_clinic_appointments[[#This Row],[booking_date]],messy_clinic_appointments[[#This Row],[appointment_date]],"d")</f>
        <v>408</v>
      </c>
      <c r="M594" s="14" t="str">
        <f>IF(messy_clinic_appointments[[#This Row],[days_to_appointment]]&gt;365, "Review", "OK")</f>
        <v>Review</v>
      </c>
    </row>
    <row r="595" spans="1:13" x14ac:dyDescent="0.25">
      <c r="A595">
        <v>1082</v>
      </c>
      <c r="B595" s="14" t="s">
        <v>1185</v>
      </c>
      <c r="C595">
        <v>57</v>
      </c>
      <c r="D595" s="14" t="s">
        <v>2039</v>
      </c>
      <c r="E595" s="1">
        <v>45965</v>
      </c>
      <c r="F595" s="1">
        <v>45737</v>
      </c>
      <c r="G595" s="14" t="s">
        <v>1186</v>
      </c>
      <c r="H595" s="14" t="s">
        <v>12</v>
      </c>
      <c r="I595" s="14" t="s">
        <v>2575</v>
      </c>
      <c r="J595" s="14" t="str">
        <f>IF(messy_clinic_appointments[[#This Row],[billing_amount]] &lt; 200, "Low", IF(messy_clinic_appointments[[#This Row],[billing_amount]]&lt;= 400, "Medium", "High"))</f>
        <v>High</v>
      </c>
      <c r="K595" s="14" t="s">
        <v>2039</v>
      </c>
      <c r="L595" s="2">
        <f>DATEDIF(messy_clinic_appointments[[#This Row],[booking_date]],messy_clinic_appointments[[#This Row],[appointment_date]],"d")</f>
        <v>228</v>
      </c>
      <c r="M595" s="14" t="str">
        <f>IF(messy_clinic_appointments[[#This Row],[days_to_appointment]]&gt;365, "Review", "OK")</f>
        <v>OK</v>
      </c>
    </row>
    <row r="596" spans="1:13" x14ac:dyDescent="0.25">
      <c r="A596">
        <v>1084</v>
      </c>
      <c r="B596" s="14" t="s">
        <v>1187</v>
      </c>
      <c r="C596">
        <v>71</v>
      </c>
      <c r="D596" s="14" t="s">
        <v>2014</v>
      </c>
      <c r="E596" s="1">
        <v>45767</v>
      </c>
      <c r="F596" s="1">
        <v>45504</v>
      </c>
      <c r="G596" s="14" t="s">
        <v>1188</v>
      </c>
      <c r="H596" s="14" t="s">
        <v>12</v>
      </c>
      <c r="I596" s="14" t="s">
        <v>2576</v>
      </c>
      <c r="J596" s="14" t="str">
        <f>IF(messy_clinic_appointments[[#This Row],[billing_amount]] &lt; 200, "Low", IF(messy_clinic_appointments[[#This Row],[billing_amount]]&lt;= 400, "Medium", "High"))</f>
        <v>High</v>
      </c>
      <c r="K596" s="14" t="s">
        <v>2026</v>
      </c>
      <c r="L596" s="2">
        <f>DATEDIF(messy_clinic_appointments[[#This Row],[booking_date]],messy_clinic_appointments[[#This Row],[appointment_date]],"d")</f>
        <v>263</v>
      </c>
      <c r="M596" s="14" t="str">
        <f>IF(messy_clinic_appointments[[#This Row],[days_to_appointment]]&gt;365, "Review", "OK")</f>
        <v>OK</v>
      </c>
    </row>
    <row r="597" spans="1:13" x14ac:dyDescent="0.25">
      <c r="A597">
        <v>1089</v>
      </c>
      <c r="B597" s="14" t="s">
        <v>1189</v>
      </c>
      <c r="C597">
        <v>68</v>
      </c>
      <c r="D597" s="14" t="s">
        <v>2008</v>
      </c>
      <c r="E597" s="1">
        <v>45750</v>
      </c>
      <c r="F597" s="1">
        <v>45510</v>
      </c>
      <c r="G597" s="14" t="s">
        <v>1190</v>
      </c>
      <c r="H597" s="14" t="s">
        <v>15</v>
      </c>
      <c r="I597" s="14" t="s">
        <v>2577</v>
      </c>
      <c r="J597" s="14" t="str">
        <f>IF(messy_clinic_appointments[[#This Row],[billing_amount]] &lt; 200, "Low", IF(messy_clinic_appointments[[#This Row],[billing_amount]]&lt;= 400, "Medium", "High"))</f>
        <v>High</v>
      </c>
      <c r="K597" s="14" t="s">
        <v>2039</v>
      </c>
      <c r="L597" s="2">
        <f>DATEDIF(messy_clinic_appointments[[#This Row],[booking_date]],messy_clinic_appointments[[#This Row],[appointment_date]],"d")</f>
        <v>240</v>
      </c>
      <c r="M597" s="14" t="str">
        <f>IF(messy_clinic_appointments[[#This Row],[days_to_appointment]]&gt;365, "Review", "OK")</f>
        <v>OK</v>
      </c>
    </row>
    <row r="598" spans="1:13" x14ac:dyDescent="0.25">
      <c r="A598">
        <v>1031</v>
      </c>
      <c r="B598" s="14" t="s">
        <v>467</v>
      </c>
      <c r="C598">
        <v>44</v>
      </c>
      <c r="D598" s="14" t="s">
        <v>2014</v>
      </c>
      <c r="E598" s="1">
        <v>46041</v>
      </c>
      <c r="F598" s="1">
        <v>45457</v>
      </c>
      <c r="G598" s="14" t="s">
        <v>1191</v>
      </c>
      <c r="H598" s="14" t="s">
        <v>15</v>
      </c>
      <c r="I598" s="14" t="s">
        <v>2578</v>
      </c>
      <c r="J598" s="14" t="str">
        <f>IF(messy_clinic_appointments[[#This Row],[billing_amount]] &lt; 200, "Low", IF(messy_clinic_appointments[[#This Row],[billing_amount]]&lt;= 400, "Medium", "High"))</f>
        <v>High</v>
      </c>
      <c r="K598" s="14" t="s">
        <v>2026</v>
      </c>
      <c r="L598" s="2">
        <f>DATEDIF(messy_clinic_appointments[[#This Row],[booking_date]],messy_clinic_appointments[[#This Row],[appointment_date]],"d")</f>
        <v>584</v>
      </c>
      <c r="M598" s="14" t="str">
        <f>IF(messy_clinic_appointments[[#This Row],[days_to_appointment]]&gt;365, "Review", "OK")</f>
        <v>Review</v>
      </c>
    </row>
    <row r="599" spans="1:13" x14ac:dyDescent="0.25">
      <c r="A599">
        <v>1053</v>
      </c>
      <c r="B599" s="14" t="s">
        <v>1192</v>
      </c>
      <c r="C599">
        <v>70</v>
      </c>
      <c r="D599" s="14" t="s">
        <v>2022</v>
      </c>
      <c r="E599" s="1">
        <v>46012</v>
      </c>
      <c r="F599" s="1">
        <v>45876</v>
      </c>
      <c r="G599" s="14" t="s">
        <v>1193</v>
      </c>
      <c r="H599" s="14" t="s">
        <v>18</v>
      </c>
      <c r="I599" s="14" t="s">
        <v>2579</v>
      </c>
      <c r="J599" s="14" t="str">
        <f>IF(messy_clinic_appointments[[#This Row],[billing_amount]] &lt; 200, "Low", IF(messy_clinic_appointments[[#This Row],[billing_amount]]&lt;= 400, "Medium", "High"))</f>
        <v>High</v>
      </c>
      <c r="K599" s="14" t="s">
        <v>22</v>
      </c>
      <c r="L599" s="2">
        <f>DATEDIF(messy_clinic_appointments[[#This Row],[booking_date]],messy_clinic_appointments[[#This Row],[appointment_date]],"d")</f>
        <v>136</v>
      </c>
      <c r="M599" s="14" t="str">
        <f>IF(messy_clinic_appointments[[#This Row],[days_to_appointment]]&gt;365, "Review", "OK")</f>
        <v>OK</v>
      </c>
    </row>
    <row r="600" spans="1:13" x14ac:dyDescent="0.25">
      <c r="A600">
        <v>1048</v>
      </c>
      <c r="B600" s="14" t="s">
        <v>1194</v>
      </c>
      <c r="C600">
        <v>67</v>
      </c>
      <c r="D600" s="14" t="s">
        <v>2022</v>
      </c>
      <c r="E600" s="1">
        <v>45841</v>
      </c>
      <c r="F600" s="1">
        <v>45503</v>
      </c>
      <c r="G600" s="14" t="s">
        <v>1195</v>
      </c>
      <c r="H600" s="14" t="s">
        <v>18</v>
      </c>
      <c r="I600" s="14" t="s">
        <v>24</v>
      </c>
      <c r="J600" s="14" t="str">
        <f>IF(messy_clinic_appointments[[#This Row],[billing_amount]] &lt; 200, "Low", IF(messy_clinic_appointments[[#This Row],[billing_amount]]&lt;= 400, "Medium", "High"))</f>
        <v>High</v>
      </c>
      <c r="K600" s="14" t="s">
        <v>28</v>
      </c>
      <c r="L600" s="2">
        <f>DATEDIF(messy_clinic_appointments[[#This Row],[booking_date]],messy_clinic_appointments[[#This Row],[appointment_date]],"d")</f>
        <v>338</v>
      </c>
      <c r="M600" s="14" t="str">
        <f>IF(messy_clinic_appointments[[#This Row],[days_to_appointment]]&gt;365, "Review", "OK")</f>
        <v>OK</v>
      </c>
    </row>
    <row r="601" spans="1:13" x14ac:dyDescent="0.25">
      <c r="A601">
        <v>1075</v>
      </c>
      <c r="B601" s="14" t="s">
        <v>1196</v>
      </c>
      <c r="C601">
        <v>67</v>
      </c>
      <c r="D601" s="14" t="s">
        <v>2008</v>
      </c>
      <c r="E601" s="1">
        <v>45820</v>
      </c>
      <c r="F601" s="1">
        <v>45795</v>
      </c>
      <c r="G601" s="14" t="s">
        <v>1197</v>
      </c>
      <c r="H601" s="14" t="s">
        <v>18</v>
      </c>
      <c r="I601" s="14" t="s">
        <v>2580</v>
      </c>
      <c r="J601" s="14" t="str">
        <f>IF(messy_clinic_appointments[[#This Row],[billing_amount]] &lt; 200, "Low", IF(messy_clinic_appointments[[#This Row],[billing_amount]]&lt;= 400, "Medium", "High"))</f>
        <v>High</v>
      </c>
      <c r="K601" s="14" t="s">
        <v>22</v>
      </c>
      <c r="L601" s="2">
        <f>DATEDIF(messy_clinic_appointments[[#This Row],[booking_date]],messy_clinic_appointments[[#This Row],[appointment_date]],"d")</f>
        <v>25</v>
      </c>
      <c r="M601" s="14" t="str">
        <f>IF(messy_clinic_appointments[[#This Row],[days_to_appointment]]&gt;365, "Review", "OK")</f>
        <v>OK</v>
      </c>
    </row>
    <row r="602" spans="1:13" x14ac:dyDescent="0.25">
      <c r="A602">
        <v>1033</v>
      </c>
      <c r="B602" s="14" t="s">
        <v>1198</v>
      </c>
      <c r="C602">
        <v>38</v>
      </c>
      <c r="D602" s="14" t="s">
        <v>2039</v>
      </c>
      <c r="E602" s="1">
        <v>45796</v>
      </c>
      <c r="F602" s="1">
        <v>45493</v>
      </c>
      <c r="G602" s="14" t="s">
        <v>1199</v>
      </c>
      <c r="H602" s="14" t="s">
        <v>15</v>
      </c>
      <c r="I602" s="14" t="s">
        <v>2581</v>
      </c>
      <c r="J602" s="14" t="str">
        <f>IF(messy_clinic_appointments[[#This Row],[billing_amount]] &lt; 200, "Low", IF(messy_clinic_appointments[[#This Row],[billing_amount]]&lt;= 400, "Medium", "High"))</f>
        <v>High</v>
      </c>
      <c r="K602" s="14" t="s">
        <v>2039</v>
      </c>
      <c r="L602" s="2">
        <f>DATEDIF(messy_clinic_appointments[[#This Row],[booking_date]],messy_clinic_appointments[[#This Row],[appointment_date]],"d")</f>
        <v>303</v>
      </c>
      <c r="M602" s="14" t="str">
        <f>IF(messy_clinic_appointments[[#This Row],[days_to_appointment]]&gt;365, "Review", "OK")</f>
        <v>OK</v>
      </c>
    </row>
    <row r="603" spans="1:13" x14ac:dyDescent="0.25">
      <c r="A603">
        <v>1054</v>
      </c>
      <c r="B603" s="14" t="s">
        <v>1200</v>
      </c>
      <c r="C603">
        <v>82</v>
      </c>
      <c r="D603" s="14" t="s">
        <v>50</v>
      </c>
      <c r="E603" s="1">
        <v>45824</v>
      </c>
      <c r="F603" s="1">
        <v>45383</v>
      </c>
      <c r="G603" s="14" t="s">
        <v>1201</v>
      </c>
      <c r="H603" s="14" t="s">
        <v>21</v>
      </c>
      <c r="I603" s="14" t="s">
        <v>2582</v>
      </c>
      <c r="J603" s="14" t="str">
        <f>IF(messy_clinic_appointments[[#This Row],[billing_amount]] &lt; 200, "Low", IF(messy_clinic_appointments[[#This Row],[billing_amount]]&lt;= 400, "Medium", "High"))</f>
        <v>High</v>
      </c>
      <c r="K603" s="14" t="s">
        <v>28</v>
      </c>
      <c r="L603" s="2">
        <f>DATEDIF(messy_clinic_appointments[[#This Row],[booking_date]],messy_clinic_appointments[[#This Row],[appointment_date]],"d")</f>
        <v>441</v>
      </c>
      <c r="M603" s="14" t="str">
        <f>IF(messy_clinic_appointments[[#This Row],[days_to_appointment]]&gt;365, "Review", "OK")</f>
        <v>Review</v>
      </c>
    </row>
    <row r="604" spans="1:13" x14ac:dyDescent="0.25">
      <c r="A604">
        <v>1020</v>
      </c>
      <c r="B604" s="14" t="s">
        <v>1202</v>
      </c>
      <c r="C604">
        <v>53</v>
      </c>
      <c r="D604" s="14" t="s">
        <v>50</v>
      </c>
      <c r="E604" s="1">
        <v>45862</v>
      </c>
      <c r="F604" s="1">
        <v>45691</v>
      </c>
      <c r="G604" s="14" t="s">
        <v>1203</v>
      </c>
      <c r="H604" s="14" t="s">
        <v>18</v>
      </c>
      <c r="I604" s="14" t="s">
        <v>2583</v>
      </c>
      <c r="J604" s="14" t="str">
        <f>IF(messy_clinic_appointments[[#This Row],[billing_amount]] &lt; 200, "Low", IF(messy_clinic_appointments[[#This Row],[billing_amount]]&lt;= 400, "Medium", "High"))</f>
        <v>High</v>
      </c>
      <c r="K604" s="14" t="s">
        <v>2013</v>
      </c>
      <c r="L604" s="2">
        <f>DATEDIF(messy_clinic_appointments[[#This Row],[booking_date]],messy_clinic_appointments[[#This Row],[appointment_date]],"d")</f>
        <v>171</v>
      </c>
      <c r="M604" s="14" t="str">
        <f>IF(messy_clinic_appointments[[#This Row],[days_to_appointment]]&gt;365, "Review", "OK")</f>
        <v>OK</v>
      </c>
    </row>
    <row r="605" spans="1:13" x14ac:dyDescent="0.25">
      <c r="A605">
        <v>1006</v>
      </c>
      <c r="B605" s="14" t="s">
        <v>1204</v>
      </c>
      <c r="C605">
        <v>33</v>
      </c>
      <c r="D605" s="14" t="s">
        <v>2039</v>
      </c>
      <c r="E605" s="1">
        <v>45780</v>
      </c>
      <c r="F605" s="1">
        <v>45619</v>
      </c>
      <c r="G605" s="14" t="s">
        <v>1205</v>
      </c>
      <c r="H605" s="14" t="s">
        <v>15</v>
      </c>
      <c r="I605" s="14" t="s">
        <v>2584</v>
      </c>
      <c r="J605" s="14" t="str">
        <f>IF(messy_clinic_appointments[[#This Row],[billing_amount]] &lt; 200, "Low", IF(messy_clinic_appointments[[#This Row],[billing_amount]]&lt;= 400, "Medium", "High"))</f>
        <v>High</v>
      </c>
      <c r="K605" s="14" t="s">
        <v>2039</v>
      </c>
      <c r="L605" s="2">
        <f>DATEDIF(messy_clinic_appointments[[#This Row],[booking_date]],messy_clinic_appointments[[#This Row],[appointment_date]],"d")</f>
        <v>161</v>
      </c>
      <c r="M605" s="14" t="str">
        <f>IF(messy_clinic_appointments[[#This Row],[days_to_appointment]]&gt;365, "Review", "OK")</f>
        <v>OK</v>
      </c>
    </row>
    <row r="606" spans="1:13" x14ac:dyDescent="0.25">
      <c r="A606">
        <v>1100</v>
      </c>
      <c r="B606" s="14" t="s">
        <v>1206</v>
      </c>
      <c r="C606">
        <v>60</v>
      </c>
      <c r="D606" s="14" t="s">
        <v>50</v>
      </c>
      <c r="E606" s="1">
        <v>46068</v>
      </c>
      <c r="F606" s="1">
        <v>45396</v>
      </c>
      <c r="G606" s="14" t="s">
        <v>1207</v>
      </c>
      <c r="H606" s="14" t="s">
        <v>18</v>
      </c>
      <c r="I606" s="14" t="s">
        <v>2585</v>
      </c>
      <c r="J606" s="14" t="str">
        <f>IF(messy_clinic_appointments[[#This Row],[billing_amount]] &lt; 200, "Low", IF(messy_clinic_appointments[[#This Row],[billing_amount]]&lt;= 400, "Medium", "High"))</f>
        <v>High</v>
      </c>
      <c r="K606" s="14" t="s">
        <v>2013</v>
      </c>
      <c r="L606" s="2">
        <f>DATEDIF(messy_clinic_appointments[[#This Row],[booking_date]],messy_clinic_appointments[[#This Row],[appointment_date]],"d")</f>
        <v>672</v>
      </c>
      <c r="M606" s="14" t="str">
        <f>IF(messy_clinic_appointments[[#This Row],[days_to_appointment]]&gt;365, "Review", "OK")</f>
        <v>Review</v>
      </c>
    </row>
    <row r="607" spans="1:13" x14ac:dyDescent="0.25">
      <c r="A607">
        <v>1061</v>
      </c>
      <c r="B607" s="14" t="s">
        <v>1208</v>
      </c>
      <c r="C607">
        <v>65</v>
      </c>
      <c r="D607" s="14" t="s">
        <v>50</v>
      </c>
      <c r="E607" s="1">
        <v>45970</v>
      </c>
      <c r="F607" s="1">
        <v>45612</v>
      </c>
      <c r="G607" s="14" t="s">
        <v>1209</v>
      </c>
      <c r="H607" s="14" t="s">
        <v>18</v>
      </c>
      <c r="I607" s="14" t="s">
        <v>2586</v>
      </c>
      <c r="J607" s="14" t="str">
        <f>IF(messy_clinic_appointments[[#This Row],[billing_amount]] &lt; 200, "Low", IF(messy_clinic_appointments[[#This Row],[billing_amount]]&lt;= 400, "Medium", "High"))</f>
        <v>High</v>
      </c>
      <c r="K607" s="14" t="s">
        <v>2026</v>
      </c>
      <c r="L607" s="2">
        <f>DATEDIF(messy_clinic_appointments[[#This Row],[booking_date]],messy_clinic_appointments[[#This Row],[appointment_date]],"d")</f>
        <v>358</v>
      </c>
      <c r="M607" s="14" t="str">
        <f>IF(messy_clinic_appointments[[#This Row],[days_to_appointment]]&gt;365, "Review", "OK")</f>
        <v>OK</v>
      </c>
    </row>
    <row r="608" spans="1:13" x14ac:dyDescent="0.25">
      <c r="A608">
        <v>1040</v>
      </c>
      <c r="B608" s="14" t="s">
        <v>1064</v>
      </c>
      <c r="C608">
        <v>49</v>
      </c>
      <c r="D608" s="14" t="s">
        <v>2011</v>
      </c>
      <c r="E608" s="1">
        <v>45829</v>
      </c>
      <c r="F608" s="1">
        <v>45573</v>
      </c>
      <c r="G608" s="14" t="s">
        <v>1210</v>
      </c>
      <c r="H608" s="14" t="s">
        <v>21</v>
      </c>
      <c r="I608" s="14" t="s">
        <v>2587</v>
      </c>
      <c r="J608" s="14" t="str">
        <f>IF(messy_clinic_appointments[[#This Row],[billing_amount]] &lt; 200, "Low", IF(messy_clinic_appointments[[#This Row],[billing_amount]]&lt;= 400, "Medium", "High"))</f>
        <v>High</v>
      </c>
      <c r="K608" s="14" t="s">
        <v>2026</v>
      </c>
      <c r="L608" s="2">
        <f>DATEDIF(messy_clinic_appointments[[#This Row],[booking_date]],messy_clinic_appointments[[#This Row],[appointment_date]],"d")</f>
        <v>256</v>
      </c>
      <c r="M608" s="14" t="str">
        <f>IF(messy_clinic_appointments[[#This Row],[days_to_appointment]]&gt;365, "Review", "OK")</f>
        <v>OK</v>
      </c>
    </row>
    <row r="609" spans="1:13" x14ac:dyDescent="0.25">
      <c r="A609">
        <v>1010</v>
      </c>
      <c r="B609" s="14" t="s">
        <v>1211</v>
      </c>
      <c r="C609">
        <v>23</v>
      </c>
      <c r="D609" s="14" t="s">
        <v>30</v>
      </c>
      <c r="E609" s="1">
        <v>45759</v>
      </c>
      <c r="F609" s="1">
        <v>45548</v>
      </c>
      <c r="G609" s="14" t="s">
        <v>1212</v>
      </c>
      <c r="H609" s="14" t="s">
        <v>12</v>
      </c>
      <c r="I609" s="14" t="s">
        <v>2588</v>
      </c>
      <c r="J609" s="14" t="str">
        <f>IF(messy_clinic_appointments[[#This Row],[billing_amount]] &lt; 200, "Low", IF(messy_clinic_appointments[[#This Row],[billing_amount]]&lt;= 400, "Medium", "High"))</f>
        <v>High</v>
      </c>
      <c r="K609" s="14" t="s">
        <v>2039</v>
      </c>
      <c r="L609" s="2">
        <f>DATEDIF(messy_clinic_appointments[[#This Row],[booking_date]],messy_clinic_appointments[[#This Row],[appointment_date]],"d")</f>
        <v>211</v>
      </c>
      <c r="M609" s="14" t="str">
        <f>IF(messy_clinic_appointments[[#This Row],[days_to_appointment]]&gt;365, "Review", "OK")</f>
        <v>OK</v>
      </c>
    </row>
    <row r="610" spans="1:13" x14ac:dyDescent="0.25">
      <c r="A610">
        <v>1030</v>
      </c>
      <c r="B610" s="14" t="s">
        <v>1213</v>
      </c>
      <c r="C610">
        <v>69</v>
      </c>
      <c r="D610" s="14" t="s">
        <v>50</v>
      </c>
      <c r="E610" s="1">
        <v>46024</v>
      </c>
      <c r="F610" s="1">
        <v>45558</v>
      </c>
      <c r="G610" s="14" t="s">
        <v>1214</v>
      </c>
      <c r="H610" s="14" t="s">
        <v>18</v>
      </c>
      <c r="I610" s="14" t="s">
        <v>2589</v>
      </c>
      <c r="J610" s="14" t="str">
        <f>IF(messy_clinic_appointments[[#This Row],[billing_amount]] &lt; 200, "Low", IF(messy_clinic_appointments[[#This Row],[billing_amount]]&lt;= 400, "Medium", "High"))</f>
        <v>High</v>
      </c>
      <c r="K610" s="14" t="s">
        <v>2013</v>
      </c>
      <c r="L610" s="2">
        <f>DATEDIF(messy_clinic_appointments[[#This Row],[booking_date]],messy_clinic_appointments[[#This Row],[appointment_date]],"d")</f>
        <v>466</v>
      </c>
      <c r="M610" s="14" t="str">
        <f>IF(messy_clinic_appointments[[#This Row],[days_to_appointment]]&gt;365, "Review", "OK")</f>
        <v>Review</v>
      </c>
    </row>
    <row r="611" spans="1:13" x14ac:dyDescent="0.25">
      <c r="A611">
        <v>1093</v>
      </c>
      <c r="B611" s="14" t="s">
        <v>1215</v>
      </c>
      <c r="C611">
        <v>72</v>
      </c>
      <c r="D611" s="14" t="s">
        <v>50</v>
      </c>
      <c r="E611" s="1">
        <v>45828</v>
      </c>
      <c r="F611" s="1">
        <v>45553</v>
      </c>
      <c r="G611" s="14" t="s">
        <v>1216</v>
      </c>
      <c r="H611" s="14" t="s">
        <v>21</v>
      </c>
      <c r="I611" s="14" t="s">
        <v>2590</v>
      </c>
      <c r="J611" s="14" t="str">
        <f>IF(messy_clinic_appointments[[#This Row],[billing_amount]] &lt; 200, "Low", IF(messy_clinic_appointments[[#This Row],[billing_amount]]&lt;= 400, "Medium", "High"))</f>
        <v>High</v>
      </c>
      <c r="K611" s="14" t="s">
        <v>2013</v>
      </c>
      <c r="L611" s="2">
        <f>DATEDIF(messy_clinic_appointments[[#This Row],[booking_date]],messy_clinic_appointments[[#This Row],[appointment_date]],"d")</f>
        <v>275</v>
      </c>
      <c r="M611" s="14" t="str">
        <f>IF(messy_clinic_appointments[[#This Row],[days_to_appointment]]&gt;365, "Review", "OK")</f>
        <v>OK</v>
      </c>
    </row>
    <row r="612" spans="1:13" x14ac:dyDescent="0.25">
      <c r="A612">
        <v>1008</v>
      </c>
      <c r="B612" s="14" t="s">
        <v>1217</v>
      </c>
      <c r="C612">
        <v>82</v>
      </c>
      <c r="D612" s="14" t="s">
        <v>2022</v>
      </c>
      <c r="E612" s="1">
        <v>46084</v>
      </c>
      <c r="F612" s="1">
        <v>45599</v>
      </c>
      <c r="G612" s="14" t="s">
        <v>1218</v>
      </c>
      <c r="H612" s="14" t="s">
        <v>12</v>
      </c>
      <c r="I612" s="14" t="s">
        <v>2591</v>
      </c>
      <c r="J612" s="14" t="str">
        <f>IF(messy_clinic_appointments[[#This Row],[billing_amount]] &lt; 200, "Low", IF(messy_clinic_appointments[[#This Row],[billing_amount]]&lt;= 400, "Medium", "High"))</f>
        <v>High</v>
      </c>
      <c r="K612" s="14" t="s">
        <v>2039</v>
      </c>
      <c r="L612" s="2">
        <f>DATEDIF(messy_clinic_appointments[[#This Row],[booking_date]],messy_clinic_appointments[[#This Row],[appointment_date]],"d")</f>
        <v>485</v>
      </c>
      <c r="M612" s="14" t="str">
        <f>IF(messy_clinic_appointments[[#This Row],[days_to_appointment]]&gt;365, "Review", "OK")</f>
        <v>Review</v>
      </c>
    </row>
    <row r="613" spans="1:13" x14ac:dyDescent="0.25">
      <c r="A613">
        <v>1087</v>
      </c>
      <c r="B613" s="14" t="s">
        <v>1219</v>
      </c>
      <c r="C613">
        <v>69</v>
      </c>
      <c r="D613" s="14" t="s">
        <v>30</v>
      </c>
      <c r="E613" s="1">
        <v>45932</v>
      </c>
      <c r="F613" s="1">
        <v>45711</v>
      </c>
      <c r="G613" s="14" t="s">
        <v>1220</v>
      </c>
      <c r="H613" s="14" t="s">
        <v>12</v>
      </c>
      <c r="I613" s="14" t="s">
        <v>2592</v>
      </c>
      <c r="J613" s="14" t="str">
        <f>IF(messy_clinic_appointments[[#This Row],[billing_amount]] &lt; 200, "Low", IF(messy_clinic_appointments[[#This Row],[billing_amount]]&lt;= 400, "Medium", "High"))</f>
        <v>High</v>
      </c>
      <c r="K613" s="14" t="s">
        <v>2013</v>
      </c>
      <c r="L613" s="2">
        <f>DATEDIF(messy_clinic_appointments[[#This Row],[booking_date]],messy_clinic_appointments[[#This Row],[appointment_date]],"d")</f>
        <v>221</v>
      </c>
      <c r="M613" s="14" t="str">
        <f>IF(messy_clinic_appointments[[#This Row],[days_to_appointment]]&gt;365, "Review", "OK")</f>
        <v>OK</v>
      </c>
    </row>
    <row r="614" spans="1:13" x14ac:dyDescent="0.25">
      <c r="A614">
        <v>1008</v>
      </c>
      <c r="B614" s="14" t="s">
        <v>1221</v>
      </c>
      <c r="C614">
        <v>30</v>
      </c>
      <c r="D614" s="14" t="s">
        <v>2014</v>
      </c>
      <c r="E614" s="1">
        <v>46074</v>
      </c>
      <c r="F614" s="1">
        <v>45800</v>
      </c>
      <c r="G614" s="14" t="s">
        <v>1222</v>
      </c>
      <c r="H614" s="14" t="s">
        <v>12</v>
      </c>
      <c r="I614" s="14" t="s">
        <v>2593</v>
      </c>
      <c r="J614" s="14" t="str">
        <f>IF(messy_clinic_appointments[[#This Row],[billing_amount]] &lt; 200, "Low", IF(messy_clinic_appointments[[#This Row],[billing_amount]]&lt;= 400, "Medium", "High"))</f>
        <v>High</v>
      </c>
      <c r="K614" s="14" t="s">
        <v>2013</v>
      </c>
      <c r="L614" s="2">
        <f>DATEDIF(messy_clinic_appointments[[#This Row],[booking_date]],messy_clinic_appointments[[#This Row],[appointment_date]],"d")</f>
        <v>274</v>
      </c>
      <c r="M614" s="14" t="str">
        <f>IF(messy_clinic_appointments[[#This Row],[days_to_appointment]]&gt;365, "Review", "OK")</f>
        <v>OK</v>
      </c>
    </row>
    <row r="615" spans="1:13" x14ac:dyDescent="0.25">
      <c r="A615">
        <v>1090</v>
      </c>
      <c r="B615" s="14" t="s">
        <v>1223</v>
      </c>
      <c r="C615">
        <v>30</v>
      </c>
      <c r="D615" s="14" t="s">
        <v>2008</v>
      </c>
      <c r="E615" s="1">
        <v>45801</v>
      </c>
      <c r="F615" s="1">
        <v>45478</v>
      </c>
      <c r="G615" s="14" t="s">
        <v>1224</v>
      </c>
      <c r="H615" s="14" t="s">
        <v>18</v>
      </c>
      <c r="I615" s="14" t="s">
        <v>2594</v>
      </c>
      <c r="J615" s="14" t="str">
        <f>IF(messy_clinic_appointments[[#This Row],[billing_amount]] &lt; 200, "Low", IF(messy_clinic_appointments[[#This Row],[billing_amount]]&lt;= 400, "Medium", "High"))</f>
        <v>High</v>
      </c>
      <c r="K615" s="14" t="s">
        <v>2010</v>
      </c>
      <c r="L615" s="2">
        <f>DATEDIF(messy_clinic_appointments[[#This Row],[booking_date]],messy_clinic_appointments[[#This Row],[appointment_date]],"d")</f>
        <v>323</v>
      </c>
      <c r="M615" s="14" t="str">
        <f>IF(messy_clinic_appointments[[#This Row],[days_to_appointment]]&gt;365, "Review", "OK")</f>
        <v>OK</v>
      </c>
    </row>
    <row r="616" spans="1:13" x14ac:dyDescent="0.25">
      <c r="A616">
        <v>1047</v>
      </c>
      <c r="B616" s="14" t="s">
        <v>1225</v>
      </c>
      <c r="C616">
        <v>39</v>
      </c>
      <c r="D616" s="14" t="s">
        <v>2010</v>
      </c>
      <c r="E616" s="1">
        <v>46107</v>
      </c>
      <c r="F616" s="1">
        <v>45893</v>
      </c>
      <c r="G616" s="14" t="s">
        <v>1226</v>
      </c>
      <c r="H616" s="14" t="s">
        <v>18</v>
      </c>
      <c r="I616" s="14" t="s">
        <v>2595</v>
      </c>
      <c r="J616" s="14" t="str">
        <f>IF(messy_clinic_appointments[[#This Row],[billing_amount]] &lt; 200, "Low", IF(messy_clinic_appointments[[#This Row],[billing_amount]]&lt;= 400, "Medium", "High"))</f>
        <v>High</v>
      </c>
      <c r="K616" s="14" t="s">
        <v>22</v>
      </c>
      <c r="L616" s="2">
        <f>DATEDIF(messy_clinic_appointments[[#This Row],[booking_date]],messy_clinic_appointments[[#This Row],[appointment_date]],"d")</f>
        <v>214</v>
      </c>
      <c r="M616" s="14" t="str">
        <f>IF(messy_clinic_appointments[[#This Row],[days_to_appointment]]&gt;365, "Review", "OK")</f>
        <v>OK</v>
      </c>
    </row>
    <row r="617" spans="1:13" x14ac:dyDescent="0.25">
      <c r="A617">
        <v>1077</v>
      </c>
      <c r="B617" s="14" t="s">
        <v>1227</v>
      </c>
      <c r="C617">
        <v>78</v>
      </c>
      <c r="D617" s="14" t="s">
        <v>2039</v>
      </c>
      <c r="E617" s="1">
        <v>46010</v>
      </c>
      <c r="F617" s="1">
        <v>45915</v>
      </c>
      <c r="G617" s="14" t="s">
        <v>1228</v>
      </c>
      <c r="H617" s="14" t="s">
        <v>15</v>
      </c>
      <c r="I617" s="14" t="s">
        <v>2596</v>
      </c>
      <c r="J617" s="14" t="str">
        <f>IF(messy_clinic_appointments[[#This Row],[billing_amount]] &lt; 200, "Low", IF(messy_clinic_appointments[[#This Row],[billing_amount]]&lt;= 400, "Medium", "High"))</f>
        <v>High</v>
      </c>
      <c r="K617" s="14" t="s">
        <v>2010</v>
      </c>
      <c r="L617" s="2">
        <f>DATEDIF(messy_clinic_appointments[[#This Row],[booking_date]],messy_clinic_appointments[[#This Row],[appointment_date]],"d")</f>
        <v>95</v>
      </c>
      <c r="M617" s="14" t="str">
        <f>IF(messy_clinic_appointments[[#This Row],[days_to_appointment]]&gt;365, "Review", "OK")</f>
        <v>OK</v>
      </c>
    </row>
    <row r="618" spans="1:13" x14ac:dyDescent="0.25">
      <c r="A618">
        <v>1055</v>
      </c>
      <c r="B618" s="14" t="s">
        <v>1229</v>
      </c>
      <c r="C618">
        <v>70</v>
      </c>
      <c r="D618" s="14" t="s">
        <v>30</v>
      </c>
      <c r="E618" s="1">
        <v>45895</v>
      </c>
      <c r="F618" s="1">
        <v>45645</v>
      </c>
      <c r="G618" s="14" t="s">
        <v>1230</v>
      </c>
      <c r="H618" s="14" t="s">
        <v>15</v>
      </c>
      <c r="I618" s="14" t="s">
        <v>2597</v>
      </c>
      <c r="J618" s="14" t="str">
        <f>IF(messy_clinic_appointments[[#This Row],[billing_amount]] &lt; 200, "Low", IF(messy_clinic_appointments[[#This Row],[billing_amount]]&lt;= 400, "Medium", "High"))</f>
        <v>High</v>
      </c>
      <c r="K618" s="14" t="s">
        <v>2039</v>
      </c>
      <c r="L618" s="2">
        <f>DATEDIF(messy_clinic_appointments[[#This Row],[booking_date]],messy_clinic_appointments[[#This Row],[appointment_date]],"d")</f>
        <v>250</v>
      </c>
      <c r="M618" s="14" t="str">
        <f>IF(messy_clinic_appointments[[#This Row],[days_to_appointment]]&gt;365, "Review", "OK")</f>
        <v>OK</v>
      </c>
    </row>
    <row r="619" spans="1:13" x14ac:dyDescent="0.25">
      <c r="A619">
        <v>1073</v>
      </c>
      <c r="B619" s="14" t="s">
        <v>1231</v>
      </c>
      <c r="C619">
        <v>50</v>
      </c>
      <c r="D619" s="14" t="s">
        <v>24</v>
      </c>
      <c r="E619" s="1">
        <v>46041</v>
      </c>
      <c r="F619" s="1">
        <v>45383</v>
      </c>
      <c r="G619" s="14" t="s">
        <v>1232</v>
      </c>
      <c r="H619" s="14" t="s">
        <v>18</v>
      </c>
      <c r="I619" s="14" t="s">
        <v>2598</v>
      </c>
      <c r="J619" s="14" t="str">
        <f>IF(messy_clinic_appointments[[#This Row],[billing_amount]] &lt; 200, "Low", IF(messy_clinic_appointments[[#This Row],[billing_amount]]&lt;= 400, "Medium", "High"))</f>
        <v>High</v>
      </c>
      <c r="K619" s="14" t="s">
        <v>2039</v>
      </c>
      <c r="L619" s="2">
        <f>DATEDIF(messy_clinic_appointments[[#This Row],[booking_date]],messy_clinic_appointments[[#This Row],[appointment_date]],"d")</f>
        <v>658</v>
      </c>
      <c r="M619" s="14" t="str">
        <f>IF(messy_clinic_appointments[[#This Row],[days_to_appointment]]&gt;365, "Review", "OK")</f>
        <v>Review</v>
      </c>
    </row>
    <row r="620" spans="1:13" x14ac:dyDescent="0.25">
      <c r="A620">
        <v>1016</v>
      </c>
      <c r="B620" s="14" t="s">
        <v>1233</v>
      </c>
      <c r="C620">
        <v>40</v>
      </c>
      <c r="D620" s="14" t="s">
        <v>24</v>
      </c>
      <c r="E620" s="1">
        <v>45807</v>
      </c>
      <c r="F620" s="1">
        <v>45800</v>
      </c>
      <c r="G620" s="14" t="s">
        <v>1234</v>
      </c>
      <c r="H620" s="14" t="s">
        <v>15</v>
      </c>
      <c r="I620" s="14" t="s">
        <v>2599</v>
      </c>
      <c r="J620" s="14" t="str">
        <f>IF(messy_clinic_appointments[[#This Row],[billing_amount]] &lt; 200, "Low", IF(messy_clinic_appointments[[#This Row],[billing_amount]]&lt;= 400, "Medium", "High"))</f>
        <v>High</v>
      </c>
      <c r="K620" s="14" t="s">
        <v>2010</v>
      </c>
      <c r="L620" s="2">
        <f>DATEDIF(messy_clinic_appointments[[#This Row],[booking_date]],messy_clinic_appointments[[#This Row],[appointment_date]],"d")</f>
        <v>7</v>
      </c>
      <c r="M620" s="14" t="str">
        <f>IF(messy_clinic_appointments[[#This Row],[days_to_appointment]]&gt;365, "Review", "OK")</f>
        <v>OK</v>
      </c>
    </row>
    <row r="621" spans="1:13" x14ac:dyDescent="0.25">
      <c r="A621">
        <v>1018</v>
      </c>
      <c r="B621" s="14" t="s">
        <v>1235</v>
      </c>
      <c r="C621">
        <v>56</v>
      </c>
      <c r="D621" s="14" t="s">
        <v>2008</v>
      </c>
      <c r="E621" s="1">
        <v>46081</v>
      </c>
      <c r="F621" s="1">
        <v>45696</v>
      </c>
      <c r="G621" s="14" t="s">
        <v>1236</v>
      </c>
      <c r="H621" s="14" t="s">
        <v>12</v>
      </c>
      <c r="I621" s="14" t="s">
        <v>2600</v>
      </c>
      <c r="J621" s="14" t="str">
        <f>IF(messy_clinic_appointments[[#This Row],[billing_amount]] &lt; 200, "Low", IF(messy_clinic_appointments[[#This Row],[billing_amount]]&lt;= 400, "Medium", "High"))</f>
        <v>High</v>
      </c>
      <c r="K621" s="14" t="s">
        <v>2010</v>
      </c>
      <c r="L621" s="2">
        <f>DATEDIF(messy_clinic_appointments[[#This Row],[booking_date]],messy_clinic_appointments[[#This Row],[appointment_date]],"d")</f>
        <v>385</v>
      </c>
      <c r="M621" s="14" t="str">
        <f>IF(messy_clinic_appointments[[#This Row],[days_to_appointment]]&gt;365, "Review", "OK")</f>
        <v>Review</v>
      </c>
    </row>
    <row r="622" spans="1:13" x14ac:dyDescent="0.25">
      <c r="A622">
        <v>1035</v>
      </c>
      <c r="B622" s="14" t="s">
        <v>1237</v>
      </c>
      <c r="C622">
        <v>90</v>
      </c>
      <c r="D622" s="14" t="s">
        <v>2039</v>
      </c>
      <c r="E622" s="1">
        <v>45876</v>
      </c>
      <c r="F622" s="1">
        <v>45649</v>
      </c>
      <c r="G622" s="14" t="s">
        <v>1238</v>
      </c>
      <c r="H622" s="14" t="s">
        <v>18</v>
      </c>
      <c r="I622" s="14" t="s">
        <v>2601</v>
      </c>
      <c r="J622" s="14" t="str">
        <f>IF(messy_clinic_appointments[[#This Row],[billing_amount]] &lt; 200, "Low", IF(messy_clinic_appointments[[#This Row],[billing_amount]]&lt;= 400, "Medium", "High"))</f>
        <v>High</v>
      </c>
      <c r="K622" s="14" t="s">
        <v>2039</v>
      </c>
      <c r="L622" s="2">
        <f>DATEDIF(messy_clinic_appointments[[#This Row],[booking_date]],messy_clinic_appointments[[#This Row],[appointment_date]],"d")</f>
        <v>227</v>
      </c>
      <c r="M622" s="14" t="str">
        <f>IF(messy_clinic_appointments[[#This Row],[days_to_appointment]]&gt;365, "Review", "OK")</f>
        <v>OK</v>
      </c>
    </row>
    <row r="623" spans="1:13" x14ac:dyDescent="0.25">
      <c r="A623">
        <v>1032</v>
      </c>
      <c r="B623" s="14" t="s">
        <v>1239</v>
      </c>
      <c r="C623">
        <v>89</v>
      </c>
      <c r="D623" s="14" t="s">
        <v>50</v>
      </c>
      <c r="E623" s="1">
        <v>46071</v>
      </c>
      <c r="F623" s="1">
        <v>45599</v>
      </c>
      <c r="G623" s="14" t="s">
        <v>1240</v>
      </c>
      <c r="H623" s="14" t="s">
        <v>15</v>
      </c>
      <c r="I623" s="14" t="s">
        <v>2602</v>
      </c>
      <c r="J623" s="14" t="str">
        <f>IF(messy_clinic_appointments[[#This Row],[billing_amount]] &lt; 200, "Low", IF(messy_clinic_appointments[[#This Row],[billing_amount]]&lt;= 400, "Medium", "High"))</f>
        <v>High</v>
      </c>
      <c r="K623" s="14" t="s">
        <v>2026</v>
      </c>
      <c r="L623" s="2">
        <f>DATEDIF(messy_clinic_appointments[[#This Row],[booking_date]],messy_clinic_appointments[[#This Row],[appointment_date]],"d")</f>
        <v>472</v>
      </c>
      <c r="M623" s="14" t="str">
        <f>IF(messy_clinic_appointments[[#This Row],[days_to_appointment]]&gt;365, "Review", "OK")</f>
        <v>Review</v>
      </c>
    </row>
    <row r="624" spans="1:13" x14ac:dyDescent="0.25">
      <c r="A624">
        <v>1024</v>
      </c>
      <c r="B624" s="14" t="s">
        <v>1241</v>
      </c>
      <c r="C624">
        <v>20</v>
      </c>
      <c r="D624" s="14" t="s">
        <v>2014</v>
      </c>
      <c r="E624" s="1">
        <v>45977</v>
      </c>
      <c r="F624" s="1">
        <v>45615</v>
      </c>
      <c r="G624" s="14" t="s">
        <v>1242</v>
      </c>
      <c r="H624" s="14" t="s">
        <v>21</v>
      </c>
      <c r="I624" s="14" t="s">
        <v>2603</v>
      </c>
      <c r="J624" s="14" t="str">
        <f>IF(messy_clinic_appointments[[#This Row],[billing_amount]] &lt; 200, "Low", IF(messy_clinic_appointments[[#This Row],[billing_amount]]&lt;= 400, "Medium", "High"))</f>
        <v>High</v>
      </c>
      <c r="K624" s="14" t="s">
        <v>2026</v>
      </c>
      <c r="L624" s="2">
        <f>DATEDIF(messy_clinic_appointments[[#This Row],[booking_date]],messy_clinic_appointments[[#This Row],[appointment_date]],"d")</f>
        <v>362</v>
      </c>
      <c r="M624" s="14" t="str">
        <f>IF(messy_clinic_appointments[[#This Row],[days_to_appointment]]&gt;365, "Review", "OK")</f>
        <v>OK</v>
      </c>
    </row>
    <row r="625" spans="1:13" x14ac:dyDescent="0.25">
      <c r="A625">
        <v>1044</v>
      </c>
      <c r="B625" s="14" t="s">
        <v>1243</v>
      </c>
      <c r="C625">
        <v>25</v>
      </c>
      <c r="D625" s="14" t="s">
        <v>2011</v>
      </c>
      <c r="E625" s="1">
        <v>46089</v>
      </c>
      <c r="F625" s="1">
        <v>45972</v>
      </c>
      <c r="G625" s="14" t="s">
        <v>1244</v>
      </c>
      <c r="H625" s="14" t="s">
        <v>21</v>
      </c>
      <c r="I625" s="14" t="s">
        <v>2604</v>
      </c>
      <c r="J625" s="14" t="str">
        <f>IF(messy_clinic_appointments[[#This Row],[billing_amount]] &lt; 200, "Low", IF(messy_clinic_appointments[[#This Row],[billing_amount]]&lt;= 400, "Medium", "High"))</f>
        <v>High</v>
      </c>
      <c r="K625" s="14" t="s">
        <v>2013</v>
      </c>
      <c r="L625" s="2">
        <f>DATEDIF(messy_clinic_appointments[[#This Row],[booking_date]],messy_clinic_appointments[[#This Row],[appointment_date]],"d")</f>
        <v>117</v>
      </c>
      <c r="M625" s="14" t="str">
        <f>IF(messy_clinic_appointments[[#This Row],[days_to_appointment]]&gt;365, "Review", "OK")</f>
        <v>OK</v>
      </c>
    </row>
    <row r="626" spans="1:13" x14ac:dyDescent="0.25">
      <c r="A626">
        <v>1085</v>
      </c>
      <c r="B626" s="14" t="s">
        <v>1245</v>
      </c>
      <c r="C626">
        <v>67</v>
      </c>
      <c r="D626" s="14" t="s">
        <v>30</v>
      </c>
      <c r="E626" s="1">
        <v>45797</v>
      </c>
      <c r="F626" s="1">
        <v>45736</v>
      </c>
      <c r="G626" s="14" t="s">
        <v>1246</v>
      </c>
      <c r="H626" s="14" t="s">
        <v>15</v>
      </c>
      <c r="I626" s="14" t="s">
        <v>2605</v>
      </c>
      <c r="J626" s="14" t="str">
        <f>IF(messy_clinic_appointments[[#This Row],[billing_amount]] &lt; 200, "Low", IF(messy_clinic_appointments[[#This Row],[billing_amount]]&lt;= 400, "Medium", "High"))</f>
        <v>High</v>
      </c>
      <c r="K626" s="14" t="s">
        <v>2026</v>
      </c>
      <c r="L626" s="2">
        <f>DATEDIF(messy_clinic_appointments[[#This Row],[booking_date]],messy_clinic_appointments[[#This Row],[appointment_date]],"d")</f>
        <v>61</v>
      </c>
      <c r="M626" s="14" t="str">
        <f>IF(messy_clinic_appointments[[#This Row],[days_to_appointment]]&gt;365, "Review", "OK")</f>
        <v>OK</v>
      </c>
    </row>
    <row r="627" spans="1:13" x14ac:dyDescent="0.25">
      <c r="A627">
        <v>1089</v>
      </c>
      <c r="B627" s="14" t="s">
        <v>1247</v>
      </c>
      <c r="C627">
        <v>75</v>
      </c>
      <c r="D627" s="14" t="s">
        <v>2008</v>
      </c>
      <c r="E627" s="1">
        <v>45991</v>
      </c>
      <c r="F627" s="1">
        <v>45813</v>
      </c>
      <c r="G627" s="14" t="s">
        <v>1248</v>
      </c>
      <c r="H627" s="14" t="s">
        <v>12</v>
      </c>
      <c r="I627" s="14" t="s">
        <v>2606</v>
      </c>
      <c r="J627" s="14" t="str">
        <f>IF(messy_clinic_appointments[[#This Row],[billing_amount]] &lt; 200, "Low", IF(messy_clinic_appointments[[#This Row],[billing_amount]]&lt;= 400, "Medium", "High"))</f>
        <v>High</v>
      </c>
      <c r="K627" s="14" t="s">
        <v>28</v>
      </c>
      <c r="L627" s="2">
        <f>DATEDIF(messy_clinic_appointments[[#This Row],[booking_date]],messy_clinic_appointments[[#This Row],[appointment_date]],"d")</f>
        <v>178</v>
      </c>
      <c r="M627" s="14" t="str">
        <f>IF(messy_clinic_appointments[[#This Row],[days_to_appointment]]&gt;365, "Review", "OK")</f>
        <v>OK</v>
      </c>
    </row>
    <row r="628" spans="1:13" x14ac:dyDescent="0.25">
      <c r="A628">
        <v>1064</v>
      </c>
      <c r="B628" s="14" t="s">
        <v>1249</v>
      </c>
      <c r="C628">
        <v>54</v>
      </c>
      <c r="D628" s="14" t="s">
        <v>2010</v>
      </c>
      <c r="E628" s="1">
        <v>45849</v>
      </c>
      <c r="F628" s="1">
        <v>45468</v>
      </c>
      <c r="G628" s="14" t="s">
        <v>1250</v>
      </c>
      <c r="H628" s="14" t="s">
        <v>12</v>
      </c>
      <c r="I628" s="14" t="s">
        <v>2607</v>
      </c>
      <c r="J628" s="14" t="str">
        <f>IF(messy_clinic_appointments[[#This Row],[billing_amount]] &lt; 200, "Low", IF(messy_clinic_appointments[[#This Row],[billing_amount]]&lt;= 400, "Medium", "High"))</f>
        <v>High</v>
      </c>
      <c r="K628" s="14" t="s">
        <v>2013</v>
      </c>
      <c r="L628" s="2">
        <f>DATEDIF(messy_clinic_appointments[[#This Row],[booking_date]],messy_clinic_appointments[[#This Row],[appointment_date]],"d")</f>
        <v>381</v>
      </c>
      <c r="M628" s="14" t="str">
        <f>IF(messy_clinic_appointments[[#This Row],[days_to_appointment]]&gt;365, "Review", "OK")</f>
        <v>Review</v>
      </c>
    </row>
    <row r="629" spans="1:13" x14ac:dyDescent="0.25">
      <c r="A629">
        <v>1077</v>
      </c>
      <c r="B629" s="14" t="s">
        <v>1251</v>
      </c>
      <c r="C629">
        <v>57</v>
      </c>
      <c r="D629" s="14" t="s">
        <v>2011</v>
      </c>
      <c r="E629" s="1">
        <v>45995</v>
      </c>
      <c r="F629" s="1">
        <v>45577</v>
      </c>
      <c r="G629" s="14" t="s">
        <v>1252</v>
      </c>
      <c r="H629" s="14" t="s">
        <v>18</v>
      </c>
      <c r="I629" s="14" t="s">
        <v>2608</v>
      </c>
      <c r="J629" s="14" t="str">
        <f>IF(messy_clinic_appointments[[#This Row],[billing_amount]] &lt; 200, "Low", IF(messy_clinic_appointments[[#This Row],[billing_amount]]&lt;= 400, "Medium", "High"))</f>
        <v>High</v>
      </c>
      <c r="K629" s="14" t="s">
        <v>2026</v>
      </c>
      <c r="L629" s="2">
        <f>DATEDIF(messy_clinic_appointments[[#This Row],[booking_date]],messy_clinic_appointments[[#This Row],[appointment_date]],"d")</f>
        <v>418</v>
      </c>
      <c r="M629" s="14" t="str">
        <f>IF(messy_clinic_appointments[[#This Row],[days_to_appointment]]&gt;365, "Review", "OK")</f>
        <v>Review</v>
      </c>
    </row>
    <row r="630" spans="1:13" x14ac:dyDescent="0.25">
      <c r="A630">
        <v>1092</v>
      </c>
      <c r="B630" s="14" t="s">
        <v>1253</v>
      </c>
      <c r="C630">
        <v>89</v>
      </c>
      <c r="D630" s="14" t="s">
        <v>2011</v>
      </c>
      <c r="E630" s="1">
        <v>45840</v>
      </c>
      <c r="F630" s="1">
        <v>45755</v>
      </c>
      <c r="G630" s="14" t="s">
        <v>1254</v>
      </c>
      <c r="H630" s="14" t="s">
        <v>21</v>
      </c>
      <c r="I630" s="14" t="s">
        <v>2609</v>
      </c>
      <c r="J630" s="14" t="str">
        <f>IF(messy_clinic_appointments[[#This Row],[billing_amount]] &lt; 200, "Low", IF(messy_clinic_appointments[[#This Row],[billing_amount]]&lt;= 400, "Medium", "High"))</f>
        <v>High</v>
      </c>
      <c r="K630" s="14" t="s">
        <v>22</v>
      </c>
      <c r="L630" s="2">
        <f>DATEDIF(messy_clinic_appointments[[#This Row],[booking_date]],messy_clinic_appointments[[#This Row],[appointment_date]],"d")</f>
        <v>85</v>
      </c>
      <c r="M630" s="14" t="str">
        <f>IF(messy_clinic_appointments[[#This Row],[days_to_appointment]]&gt;365, "Review", "OK")</f>
        <v>OK</v>
      </c>
    </row>
    <row r="631" spans="1:13" x14ac:dyDescent="0.25">
      <c r="A631">
        <v>1084</v>
      </c>
      <c r="B631" s="14" t="s">
        <v>1255</v>
      </c>
      <c r="C631">
        <v>42</v>
      </c>
      <c r="D631" s="14" t="s">
        <v>30</v>
      </c>
      <c r="E631" s="1">
        <v>45796</v>
      </c>
      <c r="F631" s="1">
        <v>45603</v>
      </c>
      <c r="G631" s="14" t="s">
        <v>1256</v>
      </c>
      <c r="H631" s="14" t="s">
        <v>21</v>
      </c>
      <c r="I631" s="14" t="s">
        <v>2610</v>
      </c>
      <c r="J631" s="14" t="str">
        <f>IF(messy_clinic_appointments[[#This Row],[billing_amount]] &lt; 200, "Low", IF(messy_clinic_appointments[[#This Row],[billing_amount]]&lt;= 400, "Medium", "High"))</f>
        <v>High</v>
      </c>
      <c r="K631" s="14" t="s">
        <v>2039</v>
      </c>
      <c r="L631" s="2">
        <f>DATEDIF(messy_clinic_appointments[[#This Row],[booking_date]],messy_clinic_appointments[[#This Row],[appointment_date]],"d")</f>
        <v>193</v>
      </c>
      <c r="M631" s="14" t="str">
        <f>IF(messy_clinic_appointments[[#This Row],[days_to_appointment]]&gt;365, "Review", "OK")</f>
        <v>OK</v>
      </c>
    </row>
    <row r="632" spans="1:13" x14ac:dyDescent="0.25">
      <c r="A632">
        <v>1044</v>
      </c>
      <c r="B632" s="14" t="s">
        <v>1257</v>
      </c>
      <c r="C632">
        <v>79</v>
      </c>
      <c r="D632" s="14" t="s">
        <v>2039</v>
      </c>
      <c r="E632" s="1">
        <v>46014</v>
      </c>
      <c r="F632" s="1">
        <v>45707</v>
      </c>
      <c r="G632" s="14" t="s">
        <v>1258</v>
      </c>
      <c r="H632" s="14" t="s">
        <v>21</v>
      </c>
      <c r="I632" s="14" t="s">
        <v>2611</v>
      </c>
      <c r="J632" s="14" t="str">
        <f>IF(messy_clinic_appointments[[#This Row],[billing_amount]] &lt; 200, "Low", IF(messy_clinic_appointments[[#This Row],[billing_amount]]&lt;= 400, "Medium", "High"))</f>
        <v>High</v>
      </c>
      <c r="K632" s="14" t="s">
        <v>2010</v>
      </c>
      <c r="L632" s="2">
        <f>DATEDIF(messy_clinic_appointments[[#This Row],[booking_date]],messy_clinic_appointments[[#This Row],[appointment_date]],"d")</f>
        <v>307</v>
      </c>
      <c r="M632" s="14" t="str">
        <f>IF(messy_clinic_appointments[[#This Row],[days_to_appointment]]&gt;365, "Review", "OK")</f>
        <v>OK</v>
      </c>
    </row>
    <row r="633" spans="1:13" x14ac:dyDescent="0.25">
      <c r="A633">
        <v>1080</v>
      </c>
      <c r="B633" s="14" t="s">
        <v>1259</v>
      </c>
      <c r="C633">
        <v>80</v>
      </c>
      <c r="D633" s="14" t="s">
        <v>2014</v>
      </c>
      <c r="E633" s="1">
        <v>46026</v>
      </c>
      <c r="F633" s="1">
        <v>45948</v>
      </c>
      <c r="G633" s="14" t="s">
        <v>1260</v>
      </c>
      <c r="H633" s="14" t="s">
        <v>21</v>
      </c>
      <c r="I633" s="14" t="s">
        <v>2612</v>
      </c>
      <c r="J633" s="14" t="str">
        <f>IF(messy_clinic_appointments[[#This Row],[billing_amount]] &lt; 200, "Low", IF(messy_clinic_appointments[[#This Row],[billing_amount]]&lt;= 400, "Medium", "High"))</f>
        <v>High</v>
      </c>
      <c r="K633" s="14" t="s">
        <v>2026</v>
      </c>
      <c r="L633" s="2">
        <f>DATEDIF(messy_clinic_appointments[[#This Row],[booking_date]],messy_clinic_appointments[[#This Row],[appointment_date]],"d")</f>
        <v>78</v>
      </c>
      <c r="M633" s="14" t="str">
        <f>IF(messy_clinic_appointments[[#This Row],[days_to_appointment]]&gt;365, "Review", "OK")</f>
        <v>OK</v>
      </c>
    </row>
    <row r="634" spans="1:13" x14ac:dyDescent="0.25">
      <c r="A634">
        <v>1097</v>
      </c>
      <c r="B634" s="14" t="s">
        <v>1261</v>
      </c>
      <c r="C634">
        <v>86</v>
      </c>
      <c r="D634" s="14" t="s">
        <v>24</v>
      </c>
      <c r="E634" s="1">
        <v>45778</v>
      </c>
      <c r="F634" s="1">
        <v>45523</v>
      </c>
      <c r="G634" s="14" t="s">
        <v>1262</v>
      </c>
      <c r="H634" s="14" t="s">
        <v>12</v>
      </c>
      <c r="I634" s="14" t="s">
        <v>2613</v>
      </c>
      <c r="J634" s="14" t="str">
        <f>IF(messy_clinic_appointments[[#This Row],[billing_amount]] &lt; 200, "Low", IF(messy_clinic_appointments[[#This Row],[billing_amount]]&lt;= 400, "Medium", "High"))</f>
        <v>High</v>
      </c>
      <c r="K634" s="14" t="s">
        <v>28</v>
      </c>
      <c r="L634" s="2">
        <f>DATEDIF(messy_clinic_appointments[[#This Row],[booking_date]],messy_clinic_appointments[[#This Row],[appointment_date]],"d")</f>
        <v>255</v>
      </c>
      <c r="M634" s="14" t="str">
        <f>IF(messy_clinic_appointments[[#This Row],[days_to_appointment]]&gt;365, "Review", "OK")</f>
        <v>OK</v>
      </c>
    </row>
    <row r="635" spans="1:13" x14ac:dyDescent="0.25">
      <c r="A635">
        <v>1035</v>
      </c>
      <c r="B635" s="14" t="s">
        <v>1263</v>
      </c>
      <c r="C635">
        <v>75</v>
      </c>
      <c r="D635" s="14" t="s">
        <v>2022</v>
      </c>
      <c r="E635" s="1">
        <v>45982</v>
      </c>
      <c r="F635" s="1">
        <v>45659</v>
      </c>
      <c r="G635" s="14" t="s">
        <v>1264</v>
      </c>
      <c r="H635" s="14" t="s">
        <v>21</v>
      </c>
      <c r="I635" s="14" t="s">
        <v>2614</v>
      </c>
      <c r="J635" s="14" t="str">
        <f>IF(messy_clinic_appointments[[#This Row],[billing_amount]] &lt; 200, "Low", IF(messy_clinic_appointments[[#This Row],[billing_amount]]&lt;= 400, "Medium", "High"))</f>
        <v>High</v>
      </c>
      <c r="K635" s="14" t="s">
        <v>28</v>
      </c>
      <c r="L635" s="2">
        <f>DATEDIF(messy_clinic_appointments[[#This Row],[booking_date]],messy_clinic_appointments[[#This Row],[appointment_date]],"d")</f>
        <v>323</v>
      </c>
      <c r="M635" s="14" t="str">
        <f>IF(messy_clinic_appointments[[#This Row],[days_to_appointment]]&gt;365, "Review", "OK")</f>
        <v>OK</v>
      </c>
    </row>
    <row r="636" spans="1:13" x14ac:dyDescent="0.25">
      <c r="A636">
        <v>1069</v>
      </c>
      <c r="B636" s="14" t="s">
        <v>1265</v>
      </c>
      <c r="C636">
        <v>23</v>
      </c>
      <c r="D636" s="14" t="s">
        <v>2039</v>
      </c>
      <c r="E636" s="1">
        <v>45944</v>
      </c>
      <c r="F636" s="1">
        <v>45696</v>
      </c>
      <c r="G636" s="14" t="s">
        <v>1266</v>
      </c>
      <c r="H636" s="14" t="s">
        <v>18</v>
      </c>
      <c r="I636" s="14" t="s">
        <v>2615</v>
      </c>
      <c r="J636" s="14" t="str">
        <f>IF(messy_clinic_appointments[[#This Row],[billing_amount]] &lt; 200, "Low", IF(messy_clinic_appointments[[#This Row],[billing_amount]]&lt;= 400, "Medium", "High"))</f>
        <v>High</v>
      </c>
      <c r="K636" s="14" t="s">
        <v>2010</v>
      </c>
      <c r="L636" s="2">
        <f>DATEDIF(messy_clinic_appointments[[#This Row],[booking_date]],messy_clinic_appointments[[#This Row],[appointment_date]],"d")</f>
        <v>248</v>
      </c>
      <c r="M636" s="14" t="str">
        <f>IF(messy_clinic_appointments[[#This Row],[days_to_appointment]]&gt;365, "Review", "OK")</f>
        <v>OK</v>
      </c>
    </row>
    <row r="637" spans="1:13" x14ac:dyDescent="0.25">
      <c r="A637">
        <v>1016</v>
      </c>
      <c r="B637" s="14" t="s">
        <v>1267</v>
      </c>
      <c r="C637">
        <v>46</v>
      </c>
      <c r="D637" s="14" t="s">
        <v>2014</v>
      </c>
      <c r="E637" s="1">
        <v>45826</v>
      </c>
      <c r="F637" s="1">
        <v>45584</v>
      </c>
      <c r="G637" s="14" t="s">
        <v>1268</v>
      </c>
      <c r="H637" s="14" t="s">
        <v>15</v>
      </c>
      <c r="I637" s="14" t="s">
        <v>2616</v>
      </c>
      <c r="J637" s="14" t="str">
        <f>IF(messy_clinic_appointments[[#This Row],[billing_amount]] &lt; 200, "Low", IF(messy_clinic_appointments[[#This Row],[billing_amount]]&lt;= 400, "Medium", "High"))</f>
        <v>High</v>
      </c>
      <c r="K637" s="14" t="s">
        <v>2010</v>
      </c>
      <c r="L637" s="2">
        <f>DATEDIF(messy_clinic_appointments[[#This Row],[booking_date]],messy_clinic_appointments[[#This Row],[appointment_date]],"d")</f>
        <v>242</v>
      </c>
      <c r="M637" s="14" t="str">
        <f>IF(messy_clinic_appointments[[#This Row],[days_to_appointment]]&gt;365, "Review", "OK")</f>
        <v>OK</v>
      </c>
    </row>
    <row r="638" spans="1:13" x14ac:dyDescent="0.25">
      <c r="A638">
        <v>1098</v>
      </c>
      <c r="B638" s="14" t="s">
        <v>1269</v>
      </c>
      <c r="C638">
        <v>29</v>
      </c>
      <c r="D638" s="14" t="s">
        <v>2011</v>
      </c>
      <c r="E638" s="1">
        <v>45970</v>
      </c>
      <c r="F638" s="1">
        <v>45854</v>
      </c>
      <c r="G638" s="14" t="s">
        <v>1270</v>
      </c>
      <c r="H638" s="14" t="s">
        <v>12</v>
      </c>
      <c r="I638" s="14" t="s">
        <v>2617</v>
      </c>
      <c r="J638" s="14" t="str">
        <f>IF(messy_clinic_appointments[[#This Row],[billing_amount]] &lt; 200, "Low", IF(messy_clinic_appointments[[#This Row],[billing_amount]]&lt;= 400, "Medium", "High"))</f>
        <v>High</v>
      </c>
      <c r="K638" s="14" t="s">
        <v>2039</v>
      </c>
      <c r="L638" s="2">
        <f>DATEDIF(messy_clinic_appointments[[#This Row],[booking_date]],messy_clinic_appointments[[#This Row],[appointment_date]],"d")</f>
        <v>116</v>
      </c>
      <c r="M638" s="14" t="str">
        <f>IF(messy_clinic_appointments[[#This Row],[days_to_appointment]]&gt;365, "Review", "OK")</f>
        <v>OK</v>
      </c>
    </row>
    <row r="639" spans="1:13" x14ac:dyDescent="0.25">
      <c r="A639">
        <v>1012</v>
      </c>
      <c r="B639" s="14" t="s">
        <v>1271</v>
      </c>
      <c r="C639">
        <v>38</v>
      </c>
      <c r="D639" s="14" t="s">
        <v>2014</v>
      </c>
      <c r="E639" s="1">
        <v>46054</v>
      </c>
      <c r="F639" s="1">
        <v>45398</v>
      </c>
      <c r="G639" s="14" t="s">
        <v>1272</v>
      </c>
      <c r="H639" s="14" t="s">
        <v>15</v>
      </c>
      <c r="I639" s="14" t="s">
        <v>2618</v>
      </c>
      <c r="J639" s="14" t="str">
        <f>IF(messy_clinic_appointments[[#This Row],[billing_amount]] &lt; 200, "Low", IF(messy_clinic_appointments[[#This Row],[billing_amount]]&lt;= 400, "Medium", "High"))</f>
        <v>High</v>
      </c>
      <c r="K639" s="14" t="s">
        <v>2026</v>
      </c>
      <c r="L639" s="2">
        <f>DATEDIF(messy_clinic_appointments[[#This Row],[booking_date]],messy_clinic_appointments[[#This Row],[appointment_date]],"d")</f>
        <v>656</v>
      </c>
      <c r="M639" s="14" t="str">
        <f>IF(messy_clinic_appointments[[#This Row],[days_to_appointment]]&gt;365, "Review", "OK")</f>
        <v>Review</v>
      </c>
    </row>
    <row r="640" spans="1:13" x14ac:dyDescent="0.25">
      <c r="A640">
        <v>1100</v>
      </c>
      <c r="B640" s="14" t="s">
        <v>1273</v>
      </c>
      <c r="C640">
        <v>60</v>
      </c>
      <c r="D640" s="14" t="s">
        <v>2008</v>
      </c>
      <c r="E640" s="1">
        <v>45907</v>
      </c>
      <c r="F640" s="1">
        <v>45395</v>
      </c>
      <c r="G640" s="14" t="s">
        <v>1274</v>
      </c>
      <c r="H640" s="14" t="s">
        <v>15</v>
      </c>
      <c r="I640" s="14" t="s">
        <v>2619</v>
      </c>
      <c r="J640" s="14" t="str">
        <f>IF(messy_clinic_appointments[[#This Row],[billing_amount]] &lt; 200, "Low", IF(messy_clinic_appointments[[#This Row],[billing_amount]]&lt;= 400, "Medium", "High"))</f>
        <v>High</v>
      </c>
      <c r="K640" s="14" t="s">
        <v>28</v>
      </c>
      <c r="L640" s="2">
        <f>DATEDIF(messy_clinic_appointments[[#This Row],[booking_date]],messy_clinic_appointments[[#This Row],[appointment_date]],"d")</f>
        <v>512</v>
      </c>
      <c r="M640" s="14" t="str">
        <f>IF(messy_clinic_appointments[[#This Row],[days_to_appointment]]&gt;365, "Review", "OK")</f>
        <v>Review</v>
      </c>
    </row>
    <row r="641" spans="1:13" x14ac:dyDescent="0.25">
      <c r="A641">
        <v>1021</v>
      </c>
      <c r="B641" s="14" t="s">
        <v>1275</v>
      </c>
      <c r="C641">
        <v>37</v>
      </c>
      <c r="D641" s="14" t="s">
        <v>2039</v>
      </c>
      <c r="E641" s="1">
        <v>45918</v>
      </c>
      <c r="F641" s="1">
        <v>45613</v>
      </c>
      <c r="G641" s="14" t="s">
        <v>1276</v>
      </c>
      <c r="H641" s="14" t="s">
        <v>12</v>
      </c>
      <c r="I641" s="14" t="s">
        <v>2620</v>
      </c>
      <c r="J641" s="14" t="str">
        <f>IF(messy_clinic_appointments[[#This Row],[billing_amount]] &lt; 200, "Low", IF(messy_clinic_appointments[[#This Row],[billing_amount]]&lt;= 400, "Medium", "High"))</f>
        <v>High</v>
      </c>
      <c r="K641" s="14" t="s">
        <v>22</v>
      </c>
      <c r="L641" s="2">
        <f>DATEDIF(messy_clinic_appointments[[#This Row],[booking_date]],messy_clinic_appointments[[#This Row],[appointment_date]],"d")</f>
        <v>305</v>
      </c>
      <c r="M641" s="14" t="str">
        <f>IF(messy_clinic_appointments[[#This Row],[days_to_appointment]]&gt;365, "Review", "OK")</f>
        <v>OK</v>
      </c>
    </row>
    <row r="642" spans="1:13" x14ac:dyDescent="0.25">
      <c r="A642">
        <v>1078</v>
      </c>
      <c r="B642" s="14" t="s">
        <v>1277</v>
      </c>
      <c r="C642">
        <v>82</v>
      </c>
      <c r="D642" s="14" t="s">
        <v>2010</v>
      </c>
      <c r="E642" s="1">
        <v>46046</v>
      </c>
      <c r="F642" s="1">
        <v>45568</v>
      </c>
      <c r="G642" s="14" t="s">
        <v>1278</v>
      </c>
      <c r="H642" s="14" t="s">
        <v>15</v>
      </c>
      <c r="I642" s="14" t="s">
        <v>2621</v>
      </c>
      <c r="J642" s="14" t="str">
        <f>IF(messy_clinic_appointments[[#This Row],[billing_amount]] &lt; 200, "Low", IF(messy_clinic_appointments[[#This Row],[billing_amount]]&lt;= 400, "Medium", "High"))</f>
        <v>High</v>
      </c>
      <c r="K642" s="14" t="s">
        <v>2039</v>
      </c>
      <c r="L642" s="2">
        <f>DATEDIF(messy_clinic_appointments[[#This Row],[booking_date]],messy_clinic_appointments[[#This Row],[appointment_date]],"d")</f>
        <v>478</v>
      </c>
      <c r="M642" s="14" t="str">
        <f>IF(messy_clinic_appointments[[#This Row],[days_to_appointment]]&gt;365, "Review", "OK")</f>
        <v>Review</v>
      </c>
    </row>
    <row r="643" spans="1:13" x14ac:dyDescent="0.25">
      <c r="A643">
        <v>1094</v>
      </c>
      <c r="B643" s="14" t="s">
        <v>1279</v>
      </c>
      <c r="C643">
        <v>60</v>
      </c>
      <c r="D643" s="14" t="s">
        <v>2010</v>
      </c>
      <c r="E643" s="1">
        <v>45888</v>
      </c>
      <c r="F643" s="1">
        <v>45680</v>
      </c>
      <c r="G643" s="14" t="s">
        <v>1280</v>
      </c>
      <c r="H643" s="14" t="s">
        <v>18</v>
      </c>
      <c r="I643" s="14" t="s">
        <v>2622</v>
      </c>
      <c r="J643" s="14" t="str">
        <f>IF(messy_clinic_appointments[[#This Row],[billing_amount]] &lt; 200, "Low", IF(messy_clinic_appointments[[#This Row],[billing_amount]]&lt;= 400, "Medium", "High"))</f>
        <v>High</v>
      </c>
      <c r="K643" s="14" t="s">
        <v>2013</v>
      </c>
      <c r="L643" s="2">
        <f>DATEDIF(messy_clinic_appointments[[#This Row],[booking_date]],messy_clinic_appointments[[#This Row],[appointment_date]],"d")</f>
        <v>208</v>
      </c>
      <c r="M643" s="14" t="str">
        <f>IF(messy_clinic_appointments[[#This Row],[days_to_appointment]]&gt;365, "Review", "OK")</f>
        <v>OK</v>
      </c>
    </row>
    <row r="644" spans="1:13" x14ac:dyDescent="0.25">
      <c r="A644">
        <v>1022</v>
      </c>
      <c r="B644" s="14" t="s">
        <v>1281</v>
      </c>
      <c r="C644">
        <v>83</v>
      </c>
      <c r="D644" s="14" t="s">
        <v>50</v>
      </c>
      <c r="E644" s="1">
        <v>45915</v>
      </c>
      <c r="F644" s="1">
        <v>45649</v>
      </c>
      <c r="G644" s="14" t="s">
        <v>1282</v>
      </c>
      <c r="H644" s="14" t="s">
        <v>15</v>
      </c>
      <c r="I644" s="14" t="s">
        <v>2623</v>
      </c>
      <c r="J644" s="14" t="str">
        <f>IF(messy_clinic_appointments[[#This Row],[billing_amount]] &lt; 200, "Low", IF(messy_clinic_appointments[[#This Row],[billing_amount]]&lt;= 400, "Medium", "High"))</f>
        <v>High</v>
      </c>
      <c r="K644" s="14" t="s">
        <v>22</v>
      </c>
      <c r="L644" s="2">
        <f>DATEDIF(messy_clinic_appointments[[#This Row],[booking_date]],messy_clinic_appointments[[#This Row],[appointment_date]],"d")</f>
        <v>266</v>
      </c>
      <c r="M644" s="14" t="str">
        <f>IF(messy_clinic_appointments[[#This Row],[days_to_appointment]]&gt;365, "Review", "OK")</f>
        <v>OK</v>
      </c>
    </row>
    <row r="645" spans="1:13" x14ac:dyDescent="0.25">
      <c r="A645">
        <v>1056</v>
      </c>
      <c r="B645" s="14" t="s">
        <v>1283</v>
      </c>
      <c r="C645">
        <v>82</v>
      </c>
      <c r="D645" s="14" t="s">
        <v>2014</v>
      </c>
      <c r="E645" s="1">
        <v>46026</v>
      </c>
      <c r="F645" s="1">
        <v>45763</v>
      </c>
      <c r="G645" s="14" t="s">
        <v>1284</v>
      </c>
      <c r="H645" s="14" t="s">
        <v>18</v>
      </c>
      <c r="I645" s="14" t="s">
        <v>2624</v>
      </c>
      <c r="J645" s="14" t="str">
        <f>IF(messy_clinic_appointments[[#This Row],[billing_amount]] &lt; 200, "Low", IF(messy_clinic_appointments[[#This Row],[billing_amount]]&lt;= 400, "Medium", "High"))</f>
        <v>High</v>
      </c>
      <c r="K645" s="14" t="s">
        <v>2039</v>
      </c>
      <c r="L645" s="2">
        <f>DATEDIF(messy_clinic_appointments[[#This Row],[booking_date]],messy_clinic_appointments[[#This Row],[appointment_date]],"d")</f>
        <v>263</v>
      </c>
      <c r="M645" s="14" t="str">
        <f>IF(messy_clinic_appointments[[#This Row],[days_to_appointment]]&gt;365, "Review", "OK")</f>
        <v>OK</v>
      </c>
    </row>
    <row r="646" spans="1:13" x14ac:dyDescent="0.25">
      <c r="A646">
        <v>1066</v>
      </c>
      <c r="B646" s="14" t="s">
        <v>1285</v>
      </c>
      <c r="C646">
        <v>76</v>
      </c>
      <c r="D646" s="14" t="s">
        <v>2022</v>
      </c>
      <c r="E646" s="1">
        <v>45961</v>
      </c>
      <c r="F646" s="1">
        <v>45470</v>
      </c>
      <c r="G646" s="14" t="s">
        <v>1286</v>
      </c>
      <c r="H646" s="14" t="s">
        <v>21</v>
      </c>
      <c r="I646" s="14" t="s">
        <v>2625</v>
      </c>
      <c r="J646" s="14" t="str">
        <f>IF(messy_clinic_appointments[[#This Row],[billing_amount]] &lt; 200, "Low", IF(messy_clinic_appointments[[#This Row],[billing_amount]]&lt;= 400, "Medium", "High"))</f>
        <v>High</v>
      </c>
      <c r="K646" s="14" t="s">
        <v>2010</v>
      </c>
      <c r="L646" s="2">
        <f>DATEDIF(messy_clinic_appointments[[#This Row],[booking_date]],messy_clinic_appointments[[#This Row],[appointment_date]],"d")</f>
        <v>491</v>
      </c>
      <c r="M646" s="14" t="str">
        <f>IF(messy_clinic_appointments[[#This Row],[days_to_appointment]]&gt;365, "Review", "OK")</f>
        <v>Review</v>
      </c>
    </row>
    <row r="647" spans="1:13" x14ac:dyDescent="0.25">
      <c r="A647">
        <v>1088</v>
      </c>
      <c r="B647" s="14" t="s">
        <v>1287</v>
      </c>
      <c r="C647">
        <v>79</v>
      </c>
      <c r="D647" s="14" t="s">
        <v>2039</v>
      </c>
      <c r="E647" s="1">
        <v>45982</v>
      </c>
      <c r="F647" s="1">
        <v>45911</v>
      </c>
      <c r="G647" s="14" t="s">
        <v>1288</v>
      </c>
      <c r="H647" s="14" t="s">
        <v>15</v>
      </c>
      <c r="I647" s="14" t="s">
        <v>2626</v>
      </c>
      <c r="J647" s="14" t="str">
        <f>IF(messy_clinic_appointments[[#This Row],[billing_amount]] &lt; 200, "Low", IF(messy_clinic_appointments[[#This Row],[billing_amount]]&lt;= 400, "Medium", "High"))</f>
        <v>High</v>
      </c>
      <c r="K647" s="14" t="s">
        <v>22</v>
      </c>
      <c r="L647" s="2">
        <f>DATEDIF(messy_clinic_appointments[[#This Row],[booking_date]],messy_clinic_appointments[[#This Row],[appointment_date]],"d")</f>
        <v>71</v>
      </c>
      <c r="M647" s="14" t="str">
        <f>IF(messy_clinic_appointments[[#This Row],[days_to_appointment]]&gt;365, "Review", "OK")</f>
        <v>OK</v>
      </c>
    </row>
    <row r="648" spans="1:13" x14ac:dyDescent="0.25">
      <c r="A648">
        <v>1001</v>
      </c>
      <c r="B648" s="14" t="s">
        <v>1289</v>
      </c>
      <c r="C648">
        <v>27</v>
      </c>
      <c r="D648" s="14" t="s">
        <v>2008</v>
      </c>
      <c r="E648" s="1">
        <v>45887</v>
      </c>
      <c r="F648" s="1">
        <v>45800</v>
      </c>
      <c r="G648" s="14" t="s">
        <v>1290</v>
      </c>
      <c r="H648" s="14" t="s">
        <v>18</v>
      </c>
      <c r="I648" s="14" t="s">
        <v>2627</v>
      </c>
      <c r="J648" s="14" t="str">
        <f>IF(messy_clinic_appointments[[#This Row],[billing_amount]] &lt; 200, "Low", IF(messy_clinic_appointments[[#This Row],[billing_amount]]&lt;= 400, "Medium", "High"))</f>
        <v>High</v>
      </c>
      <c r="K648" s="14" t="s">
        <v>2039</v>
      </c>
      <c r="L648" s="2">
        <f>DATEDIF(messy_clinic_appointments[[#This Row],[booking_date]],messy_clinic_appointments[[#This Row],[appointment_date]],"d")</f>
        <v>87</v>
      </c>
      <c r="M648" s="14" t="str">
        <f>IF(messy_clinic_appointments[[#This Row],[days_to_appointment]]&gt;365, "Review", "OK")</f>
        <v>OK</v>
      </c>
    </row>
    <row r="649" spans="1:13" x14ac:dyDescent="0.25">
      <c r="A649">
        <v>1076</v>
      </c>
      <c r="B649" s="14" t="s">
        <v>1291</v>
      </c>
      <c r="C649">
        <v>19</v>
      </c>
      <c r="D649" s="14" t="s">
        <v>2039</v>
      </c>
      <c r="E649" s="1">
        <v>46075</v>
      </c>
      <c r="F649" s="1">
        <v>45820</v>
      </c>
      <c r="G649" s="14" t="s">
        <v>1292</v>
      </c>
      <c r="H649" s="14" t="s">
        <v>15</v>
      </c>
      <c r="I649" s="14" t="s">
        <v>2628</v>
      </c>
      <c r="J649" s="14" t="str">
        <f>IF(messy_clinic_appointments[[#This Row],[billing_amount]] &lt; 200, "Low", IF(messy_clinic_appointments[[#This Row],[billing_amount]]&lt;= 400, "Medium", "High"))</f>
        <v>High</v>
      </c>
      <c r="K649" s="14" t="s">
        <v>2013</v>
      </c>
      <c r="L649" s="2">
        <f>DATEDIF(messy_clinic_appointments[[#This Row],[booking_date]],messy_clinic_appointments[[#This Row],[appointment_date]],"d")</f>
        <v>255</v>
      </c>
      <c r="M649" s="14" t="str">
        <f>IF(messy_clinic_appointments[[#This Row],[days_to_appointment]]&gt;365, "Review", "OK")</f>
        <v>OK</v>
      </c>
    </row>
    <row r="650" spans="1:13" x14ac:dyDescent="0.25">
      <c r="A650">
        <v>1019</v>
      </c>
      <c r="B650" s="14" t="s">
        <v>1293</v>
      </c>
      <c r="C650">
        <v>41</v>
      </c>
      <c r="D650" s="14" t="s">
        <v>2022</v>
      </c>
      <c r="E650" s="1">
        <v>45961</v>
      </c>
      <c r="F650" s="1">
        <v>45483</v>
      </c>
      <c r="G650" s="14" t="s">
        <v>1294</v>
      </c>
      <c r="H650" s="14" t="s">
        <v>18</v>
      </c>
      <c r="I650" s="14" t="s">
        <v>2629</v>
      </c>
      <c r="J650" s="14" t="str">
        <f>IF(messy_clinic_appointments[[#This Row],[billing_amount]] &lt; 200, "Low", IF(messy_clinic_appointments[[#This Row],[billing_amount]]&lt;= 400, "Medium", "High"))</f>
        <v>High</v>
      </c>
      <c r="K650" s="14" t="s">
        <v>2039</v>
      </c>
      <c r="L650" s="2">
        <f>DATEDIF(messy_clinic_appointments[[#This Row],[booking_date]],messy_clinic_appointments[[#This Row],[appointment_date]],"d")</f>
        <v>478</v>
      </c>
      <c r="M650" s="14" t="str">
        <f>IF(messy_clinic_appointments[[#This Row],[days_to_appointment]]&gt;365, "Review", "OK")</f>
        <v>Review</v>
      </c>
    </row>
    <row r="651" spans="1:13" x14ac:dyDescent="0.25">
      <c r="A651">
        <v>1005</v>
      </c>
      <c r="B651" s="14" t="s">
        <v>1295</v>
      </c>
      <c r="C651">
        <v>55</v>
      </c>
      <c r="D651" s="14" t="s">
        <v>2011</v>
      </c>
      <c r="E651" s="1">
        <v>45876</v>
      </c>
      <c r="F651" s="1">
        <v>45388</v>
      </c>
      <c r="G651" s="14" t="s">
        <v>1296</v>
      </c>
      <c r="H651" s="14" t="s">
        <v>12</v>
      </c>
      <c r="I651" s="14" t="s">
        <v>2630</v>
      </c>
      <c r="J651" s="14" t="str">
        <f>IF(messy_clinic_appointments[[#This Row],[billing_amount]] &lt; 200, "Low", IF(messy_clinic_appointments[[#This Row],[billing_amount]]&lt;= 400, "Medium", "High"))</f>
        <v>High</v>
      </c>
      <c r="K651" s="14" t="s">
        <v>2039</v>
      </c>
      <c r="L651" s="2">
        <f>DATEDIF(messy_clinic_appointments[[#This Row],[booking_date]],messy_clinic_appointments[[#This Row],[appointment_date]],"d")</f>
        <v>488</v>
      </c>
      <c r="M651" s="14" t="str">
        <f>IF(messy_clinic_appointments[[#This Row],[days_to_appointment]]&gt;365, "Review", "OK")</f>
        <v>Review</v>
      </c>
    </row>
    <row r="652" spans="1:13" x14ac:dyDescent="0.25">
      <c r="A652">
        <v>1030</v>
      </c>
      <c r="B652" s="14" t="s">
        <v>1297</v>
      </c>
      <c r="C652">
        <v>59</v>
      </c>
      <c r="D652" s="14" t="s">
        <v>50</v>
      </c>
      <c r="E652" s="1">
        <v>45991</v>
      </c>
      <c r="F652" s="1">
        <v>45870</v>
      </c>
      <c r="G652" s="14" t="s">
        <v>1298</v>
      </c>
      <c r="H652" s="14" t="s">
        <v>15</v>
      </c>
      <c r="I652" s="14" t="s">
        <v>2631</v>
      </c>
      <c r="J652" s="14" t="str">
        <f>IF(messy_clinic_appointments[[#This Row],[billing_amount]] &lt; 200, "Low", IF(messy_clinic_appointments[[#This Row],[billing_amount]]&lt;= 400, "Medium", "High"))</f>
        <v>High</v>
      </c>
      <c r="K652" s="14" t="s">
        <v>2010</v>
      </c>
      <c r="L652" s="2">
        <f>DATEDIF(messy_clinic_appointments[[#This Row],[booking_date]],messy_clinic_appointments[[#This Row],[appointment_date]],"d")</f>
        <v>121</v>
      </c>
      <c r="M652" s="14" t="str">
        <f>IF(messy_clinic_appointments[[#This Row],[days_to_appointment]]&gt;365, "Review", "OK")</f>
        <v>OK</v>
      </c>
    </row>
    <row r="653" spans="1:13" x14ac:dyDescent="0.25">
      <c r="A653">
        <v>1088</v>
      </c>
      <c r="B653" s="14" t="s">
        <v>1299</v>
      </c>
      <c r="C653">
        <v>55</v>
      </c>
      <c r="D653" s="14" t="s">
        <v>2011</v>
      </c>
      <c r="E653" s="1">
        <v>45983</v>
      </c>
      <c r="F653" s="1">
        <v>45544</v>
      </c>
      <c r="G653" s="14" t="s">
        <v>1300</v>
      </c>
      <c r="H653" s="14" t="s">
        <v>15</v>
      </c>
      <c r="I653" s="14" t="s">
        <v>2632</v>
      </c>
      <c r="J653" s="14" t="str">
        <f>IF(messy_clinic_appointments[[#This Row],[billing_amount]] &lt; 200, "Low", IF(messy_clinic_appointments[[#This Row],[billing_amount]]&lt;= 400, "Medium", "High"))</f>
        <v>High</v>
      </c>
      <c r="K653" s="14" t="s">
        <v>2039</v>
      </c>
      <c r="L653" s="2">
        <f>DATEDIF(messy_clinic_appointments[[#This Row],[booking_date]],messy_clinic_appointments[[#This Row],[appointment_date]],"d")</f>
        <v>439</v>
      </c>
      <c r="M653" s="14" t="str">
        <f>IF(messy_clinic_appointments[[#This Row],[days_to_appointment]]&gt;365, "Review", "OK")</f>
        <v>Review</v>
      </c>
    </row>
    <row r="654" spans="1:13" x14ac:dyDescent="0.25">
      <c r="A654">
        <v>1018</v>
      </c>
      <c r="B654" s="14" t="s">
        <v>1301</v>
      </c>
      <c r="C654">
        <v>68</v>
      </c>
      <c r="D654" s="14" t="s">
        <v>50</v>
      </c>
      <c r="E654" s="1">
        <v>45769</v>
      </c>
      <c r="F654" s="1">
        <v>45750</v>
      </c>
      <c r="G654" s="14" t="s">
        <v>1302</v>
      </c>
      <c r="H654" s="14" t="s">
        <v>18</v>
      </c>
      <c r="I654" s="14" t="s">
        <v>2633</v>
      </c>
      <c r="J654" s="14" t="str">
        <f>IF(messy_clinic_appointments[[#This Row],[billing_amount]] &lt; 200, "Low", IF(messy_clinic_appointments[[#This Row],[billing_amount]]&lt;= 400, "Medium", "High"))</f>
        <v>High</v>
      </c>
      <c r="K654" s="14" t="s">
        <v>2039</v>
      </c>
      <c r="L654" s="2">
        <f>DATEDIF(messy_clinic_appointments[[#This Row],[booking_date]],messy_clinic_appointments[[#This Row],[appointment_date]],"d")</f>
        <v>19</v>
      </c>
      <c r="M654" s="14" t="str">
        <f>IF(messy_clinic_appointments[[#This Row],[days_to_appointment]]&gt;365, "Review", "OK")</f>
        <v>OK</v>
      </c>
    </row>
    <row r="655" spans="1:13" x14ac:dyDescent="0.25">
      <c r="A655">
        <v>1092</v>
      </c>
      <c r="B655" s="14" t="s">
        <v>1303</v>
      </c>
      <c r="C655">
        <v>68</v>
      </c>
      <c r="D655" s="14" t="s">
        <v>2008</v>
      </c>
      <c r="E655" s="1">
        <v>45831</v>
      </c>
      <c r="F655" s="1">
        <v>45589</v>
      </c>
      <c r="G655" s="14" t="s">
        <v>1304</v>
      </c>
      <c r="H655" s="14" t="s">
        <v>12</v>
      </c>
      <c r="I655" s="14" t="s">
        <v>2634</v>
      </c>
      <c r="J655" s="14" t="str">
        <f>IF(messy_clinic_appointments[[#This Row],[billing_amount]] &lt; 200, "Low", IF(messy_clinic_appointments[[#This Row],[billing_amount]]&lt;= 400, "Medium", "High"))</f>
        <v>High</v>
      </c>
      <c r="K655" s="14" t="s">
        <v>2026</v>
      </c>
      <c r="L655" s="2">
        <f>DATEDIF(messy_clinic_appointments[[#This Row],[booking_date]],messy_clinic_appointments[[#This Row],[appointment_date]],"d")</f>
        <v>242</v>
      </c>
      <c r="M655" s="14" t="str">
        <f>IF(messy_clinic_appointments[[#This Row],[days_to_appointment]]&gt;365, "Review", "OK")</f>
        <v>OK</v>
      </c>
    </row>
    <row r="656" spans="1:13" x14ac:dyDescent="0.25">
      <c r="A656">
        <v>1030</v>
      </c>
      <c r="B656" s="14" t="s">
        <v>1305</v>
      </c>
      <c r="C656">
        <v>39</v>
      </c>
      <c r="D656" s="14" t="s">
        <v>2022</v>
      </c>
      <c r="E656" s="1">
        <v>45979</v>
      </c>
      <c r="F656" s="1">
        <v>45965</v>
      </c>
      <c r="G656" s="14" t="s">
        <v>1306</v>
      </c>
      <c r="H656" s="14" t="s">
        <v>18</v>
      </c>
      <c r="I656" s="14" t="s">
        <v>2635</v>
      </c>
      <c r="J656" s="14" t="str">
        <f>IF(messy_clinic_appointments[[#This Row],[billing_amount]] &lt; 200, "Low", IF(messy_clinic_appointments[[#This Row],[billing_amount]]&lt;= 400, "Medium", "High"))</f>
        <v>High</v>
      </c>
      <c r="K656" s="14" t="s">
        <v>2039</v>
      </c>
      <c r="L656" s="2">
        <f>DATEDIF(messy_clinic_appointments[[#This Row],[booking_date]],messy_clinic_appointments[[#This Row],[appointment_date]],"d")</f>
        <v>14</v>
      </c>
      <c r="M656" s="14" t="str">
        <f>IF(messy_clinic_appointments[[#This Row],[days_to_appointment]]&gt;365, "Review", "OK")</f>
        <v>OK</v>
      </c>
    </row>
    <row r="657" spans="1:13" x14ac:dyDescent="0.25">
      <c r="A657">
        <v>1089</v>
      </c>
      <c r="B657" s="14" t="s">
        <v>1307</v>
      </c>
      <c r="C657">
        <v>63</v>
      </c>
      <c r="D657" s="14" t="s">
        <v>2014</v>
      </c>
      <c r="E657" s="1">
        <v>45970</v>
      </c>
      <c r="F657" s="1">
        <v>45634</v>
      </c>
      <c r="G657" s="14" t="s">
        <v>1308</v>
      </c>
      <c r="H657" s="14" t="s">
        <v>18</v>
      </c>
      <c r="I657" s="14" t="s">
        <v>2636</v>
      </c>
      <c r="J657" s="14" t="str">
        <f>IF(messy_clinic_appointments[[#This Row],[billing_amount]] &lt; 200, "Low", IF(messy_clinic_appointments[[#This Row],[billing_amount]]&lt;= 400, "Medium", "High"))</f>
        <v>High</v>
      </c>
      <c r="K657" s="14" t="s">
        <v>2010</v>
      </c>
      <c r="L657" s="2">
        <f>DATEDIF(messy_clinic_appointments[[#This Row],[booking_date]],messy_clinic_appointments[[#This Row],[appointment_date]],"d")</f>
        <v>336</v>
      </c>
      <c r="M657" s="14" t="str">
        <f>IF(messy_clinic_appointments[[#This Row],[days_to_appointment]]&gt;365, "Review", "OK")</f>
        <v>OK</v>
      </c>
    </row>
    <row r="658" spans="1:13" x14ac:dyDescent="0.25">
      <c r="A658">
        <v>1043</v>
      </c>
      <c r="B658" s="14" t="s">
        <v>1309</v>
      </c>
      <c r="C658">
        <v>82</v>
      </c>
      <c r="D658" s="14" t="s">
        <v>2039</v>
      </c>
      <c r="E658" s="1">
        <v>45800</v>
      </c>
      <c r="F658" s="1">
        <v>45583</v>
      </c>
      <c r="G658" s="14" t="s">
        <v>1310</v>
      </c>
      <c r="H658" s="14" t="s">
        <v>12</v>
      </c>
      <c r="I658" s="14" t="s">
        <v>2637</v>
      </c>
      <c r="J658" s="14" t="str">
        <f>IF(messy_clinic_appointments[[#This Row],[billing_amount]] &lt; 200, "Low", IF(messy_clinic_appointments[[#This Row],[billing_amount]]&lt;= 400, "Medium", "High"))</f>
        <v>High</v>
      </c>
      <c r="K658" s="14" t="s">
        <v>2026</v>
      </c>
      <c r="L658" s="2">
        <f>DATEDIF(messy_clinic_appointments[[#This Row],[booking_date]],messy_clinic_appointments[[#This Row],[appointment_date]],"d")</f>
        <v>217</v>
      </c>
      <c r="M658" s="14" t="str">
        <f>IF(messy_clinic_appointments[[#This Row],[days_to_appointment]]&gt;365, "Review", "OK")</f>
        <v>OK</v>
      </c>
    </row>
    <row r="659" spans="1:13" x14ac:dyDescent="0.25">
      <c r="A659">
        <v>1021</v>
      </c>
      <c r="B659" s="14" t="s">
        <v>1311</v>
      </c>
      <c r="C659">
        <v>25</v>
      </c>
      <c r="D659" s="14" t="s">
        <v>2008</v>
      </c>
      <c r="E659" s="1">
        <v>45931</v>
      </c>
      <c r="F659" s="1">
        <v>45536</v>
      </c>
      <c r="G659" s="14" t="s">
        <v>1312</v>
      </c>
      <c r="H659" s="14" t="s">
        <v>12</v>
      </c>
      <c r="I659" s="14" t="s">
        <v>2638</v>
      </c>
      <c r="J659" s="14" t="str">
        <f>IF(messy_clinic_appointments[[#This Row],[billing_amount]] &lt; 200, "Low", IF(messy_clinic_appointments[[#This Row],[billing_amount]]&lt;= 400, "Medium", "High"))</f>
        <v>High</v>
      </c>
      <c r="K659" s="14" t="s">
        <v>2013</v>
      </c>
      <c r="L659" s="2">
        <f>DATEDIF(messy_clinic_appointments[[#This Row],[booking_date]],messy_clinic_appointments[[#This Row],[appointment_date]],"d")</f>
        <v>395</v>
      </c>
      <c r="M659" s="14" t="str">
        <f>IF(messy_clinic_appointments[[#This Row],[days_to_appointment]]&gt;365, "Review", "OK")</f>
        <v>Review</v>
      </c>
    </row>
    <row r="660" spans="1:13" x14ac:dyDescent="0.25">
      <c r="A660">
        <v>1086</v>
      </c>
      <c r="B660" s="14" t="s">
        <v>1313</v>
      </c>
      <c r="C660">
        <v>80</v>
      </c>
      <c r="D660" s="14" t="s">
        <v>2039</v>
      </c>
      <c r="E660" s="1">
        <v>45985</v>
      </c>
      <c r="F660" s="1">
        <v>45655</v>
      </c>
      <c r="G660" s="14" t="s">
        <v>1314</v>
      </c>
      <c r="H660" s="14" t="s">
        <v>12</v>
      </c>
      <c r="I660" s="14" t="s">
        <v>2639</v>
      </c>
      <c r="J660" s="14" t="str">
        <f>IF(messy_clinic_appointments[[#This Row],[billing_amount]] &lt; 200, "Low", IF(messy_clinic_appointments[[#This Row],[billing_amount]]&lt;= 400, "Medium", "High"))</f>
        <v>High</v>
      </c>
      <c r="K660" s="14" t="s">
        <v>2010</v>
      </c>
      <c r="L660" s="2">
        <f>DATEDIF(messy_clinic_appointments[[#This Row],[booking_date]],messy_clinic_appointments[[#This Row],[appointment_date]],"d")</f>
        <v>330</v>
      </c>
      <c r="M660" s="14" t="str">
        <f>IF(messy_clinic_appointments[[#This Row],[days_to_appointment]]&gt;365, "Review", "OK")</f>
        <v>OK</v>
      </c>
    </row>
    <row r="661" spans="1:13" x14ac:dyDescent="0.25">
      <c r="A661">
        <v>1016</v>
      </c>
      <c r="B661" s="14" t="s">
        <v>1315</v>
      </c>
      <c r="C661">
        <v>53</v>
      </c>
      <c r="D661" s="14" t="s">
        <v>2008</v>
      </c>
      <c r="E661" s="1">
        <v>45806</v>
      </c>
      <c r="F661" s="1">
        <v>45710</v>
      </c>
      <c r="G661" s="14" t="s">
        <v>1316</v>
      </c>
      <c r="H661" s="14" t="s">
        <v>15</v>
      </c>
      <c r="I661" s="14" t="s">
        <v>2640</v>
      </c>
      <c r="J661" s="14" t="str">
        <f>IF(messy_clinic_appointments[[#This Row],[billing_amount]] &lt; 200, "Low", IF(messy_clinic_appointments[[#This Row],[billing_amount]]&lt;= 400, "Medium", "High"))</f>
        <v>High</v>
      </c>
      <c r="K661" s="14" t="s">
        <v>28</v>
      </c>
      <c r="L661" s="2">
        <f>DATEDIF(messy_clinic_appointments[[#This Row],[booking_date]],messy_clinic_appointments[[#This Row],[appointment_date]],"d")</f>
        <v>96</v>
      </c>
      <c r="M661" s="14" t="str">
        <f>IF(messy_clinic_appointments[[#This Row],[days_to_appointment]]&gt;365, "Review", "OK")</f>
        <v>OK</v>
      </c>
    </row>
    <row r="662" spans="1:13" x14ac:dyDescent="0.25">
      <c r="A662">
        <v>1050</v>
      </c>
      <c r="B662" s="14" t="s">
        <v>1317</v>
      </c>
      <c r="C662">
        <v>83</v>
      </c>
      <c r="D662" s="14" t="s">
        <v>2014</v>
      </c>
      <c r="E662" s="1">
        <v>45911</v>
      </c>
      <c r="F662" s="1">
        <v>45538</v>
      </c>
      <c r="G662" s="14" t="s">
        <v>1318</v>
      </c>
      <c r="H662" s="14" t="s">
        <v>18</v>
      </c>
      <c r="I662" s="14" t="s">
        <v>2641</v>
      </c>
      <c r="J662" s="14" t="str">
        <f>IF(messy_clinic_appointments[[#This Row],[billing_amount]] &lt; 200, "Low", IF(messy_clinic_appointments[[#This Row],[billing_amount]]&lt;= 400, "Medium", "High"))</f>
        <v>High</v>
      </c>
      <c r="K662" s="14" t="s">
        <v>2026</v>
      </c>
      <c r="L662" s="2">
        <f>DATEDIF(messy_clinic_appointments[[#This Row],[booking_date]],messy_clinic_appointments[[#This Row],[appointment_date]],"d")</f>
        <v>373</v>
      </c>
      <c r="M662" s="14" t="str">
        <f>IF(messy_clinic_appointments[[#This Row],[days_to_appointment]]&gt;365, "Review", "OK")</f>
        <v>Review</v>
      </c>
    </row>
    <row r="663" spans="1:13" x14ac:dyDescent="0.25">
      <c r="A663">
        <v>1079</v>
      </c>
      <c r="B663" s="14" t="s">
        <v>1319</v>
      </c>
      <c r="C663">
        <v>85</v>
      </c>
      <c r="D663" s="14" t="s">
        <v>30</v>
      </c>
      <c r="E663" s="1">
        <v>46101</v>
      </c>
      <c r="F663" s="1">
        <v>45938</v>
      </c>
      <c r="G663" s="14" t="s">
        <v>1320</v>
      </c>
      <c r="H663" s="14" t="s">
        <v>15</v>
      </c>
      <c r="I663" s="14" t="s">
        <v>2642</v>
      </c>
      <c r="J663" s="14" t="str">
        <f>IF(messy_clinic_appointments[[#This Row],[billing_amount]] &lt; 200, "Low", IF(messy_clinic_appointments[[#This Row],[billing_amount]]&lt;= 400, "Medium", "High"))</f>
        <v>High</v>
      </c>
      <c r="K663" s="14" t="s">
        <v>2026</v>
      </c>
      <c r="L663" s="2">
        <f>DATEDIF(messy_clinic_appointments[[#This Row],[booking_date]],messy_clinic_appointments[[#This Row],[appointment_date]],"d")</f>
        <v>163</v>
      </c>
      <c r="M663" s="14" t="str">
        <f>IF(messy_clinic_appointments[[#This Row],[days_to_appointment]]&gt;365, "Review", "OK")</f>
        <v>OK</v>
      </c>
    </row>
    <row r="664" spans="1:13" x14ac:dyDescent="0.25">
      <c r="A664">
        <v>1027</v>
      </c>
      <c r="B664" s="14" t="s">
        <v>1321</v>
      </c>
      <c r="C664">
        <v>26</v>
      </c>
      <c r="D664" s="14" t="s">
        <v>2010</v>
      </c>
      <c r="E664" s="1">
        <v>46104</v>
      </c>
      <c r="F664" s="1">
        <v>45668</v>
      </c>
      <c r="G664" s="14" t="s">
        <v>1322</v>
      </c>
      <c r="H664" s="14" t="s">
        <v>15</v>
      </c>
      <c r="I664" s="14" t="s">
        <v>2643</v>
      </c>
      <c r="J664" s="14" t="str">
        <f>IF(messy_clinic_appointments[[#This Row],[billing_amount]] &lt; 200, "Low", IF(messy_clinic_appointments[[#This Row],[billing_amount]]&lt;= 400, "Medium", "High"))</f>
        <v>High</v>
      </c>
      <c r="K664" s="14" t="s">
        <v>2026</v>
      </c>
      <c r="L664" s="2">
        <f>DATEDIF(messy_clinic_appointments[[#This Row],[booking_date]],messy_clinic_appointments[[#This Row],[appointment_date]],"d")</f>
        <v>436</v>
      </c>
      <c r="M664" s="14" t="str">
        <f>IF(messy_clinic_appointments[[#This Row],[days_to_appointment]]&gt;365, "Review", "OK")</f>
        <v>Review</v>
      </c>
    </row>
    <row r="665" spans="1:13" x14ac:dyDescent="0.25">
      <c r="A665">
        <v>1070</v>
      </c>
      <c r="B665" s="14" t="s">
        <v>1323</v>
      </c>
      <c r="C665">
        <v>30</v>
      </c>
      <c r="D665" s="14" t="s">
        <v>2011</v>
      </c>
      <c r="E665" s="1">
        <v>45992</v>
      </c>
      <c r="F665" s="1">
        <v>45489</v>
      </c>
      <c r="G665" s="14" t="s">
        <v>1324</v>
      </c>
      <c r="H665" s="14" t="s">
        <v>15</v>
      </c>
      <c r="I665" s="14" t="s">
        <v>2644</v>
      </c>
      <c r="J665" s="14" t="str">
        <f>IF(messy_clinic_appointments[[#This Row],[billing_amount]] &lt; 200, "Low", IF(messy_clinic_appointments[[#This Row],[billing_amount]]&lt;= 400, "Medium", "High"))</f>
        <v>High</v>
      </c>
      <c r="K665" s="14" t="s">
        <v>22</v>
      </c>
      <c r="L665" s="2">
        <f>DATEDIF(messy_clinic_appointments[[#This Row],[booking_date]],messy_clinic_appointments[[#This Row],[appointment_date]],"d")</f>
        <v>503</v>
      </c>
      <c r="M665" s="14" t="str">
        <f>IF(messy_clinic_appointments[[#This Row],[days_to_appointment]]&gt;365, "Review", "OK")</f>
        <v>Review</v>
      </c>
    </row>
    <row r="666" spans="1:13" x14ac:dyDescent="0.25">
      <c r="A666">
        <v>1013</v>
      </c>
      <c r="B666" s="14" t="s">
        <v>1325</v>
      </c>
      <c r="C666">
        <v>21</v>
      </c>
      <c r="D666" s="14" t="s">
        <v>30</v>
      </c>
      <c r="E666" s="1">
        <v>46077</v>
      </c>
      <c r="F666" s="1">
        <v>45812</v>
      </c>
      <c r="G666" s="14" t="s">
        <v>1326</v>
      </c>
      <c r="H666" s="14" t="s">
        <v>18</v>
      </c>
      <c r="I666" s="14" t="s">
        <v>24</v>
      </c>
      <c r="J666" s="14" t="str">
        <f>IF(messy_clinic_appointments[[#This Row],[billing_amount]] &lt; 200, "Low", IF(messy_clinic_appointments[[#This Row],[billing_amount]]&lt;= 400, "Medium", "High"))</f>
        <v>High</v>
      </c>
      <c r="K666" s="14" t="s">
        <v>28</v>
      </c>
      <c r="L666" s="2">
        <f>DATEDIF(messy_clinic_appointments[[#This Row],[booking_date]],messy_clinic_appointments[[#This Row],[appointment_date]],"d")</f>
        <v>265</v>
      </c>
      <c r="M666" s="14" t="str">
        <f>IF(messy_clinic_appointments[[#This Row],[days_to_appointment]]&gt;365, "Review", "OK")</f>
        <v>OK</v>
      </c>
    </row>
    <row r="667" spans="1:13" x14ac:dyDescent="0.25">
      <c r="A667">
        <v>1027</v>
      </c>
      <c r="B667" s="14" t="s">
        <v>1327</v>
      </c>
      <c r="C667">
        <v>27</v>
      </c>
      <c r="D667" s="14" t="s">
        <v>2008</v>
      </c>
      <c r="E667" s="1">
        <v>45842</v>
      </c>
      <c r="F667" s="1">
        <v>45733</v>
      </c>
      <c r="G667" s="14" t="s">
        <v>1328</v>
      </c>
      <c r="H667" s="14" t="s">
        <v>15</v>
      </c>
      <c r="I667" s="14" t="s">
        <v>2645</v>
      </c>
      <c r="J667" s="14" t="str">
        <f>IF(messy_clinic_appointments[[#This Row],[billing_amount]] &lt; 200, "Low", IF(messy_clinic_appointments[[#This Row],[billing_amount]]&lt;= 400, "Medium", "High"))</f>
        <v>High</v>
      </c>
      <c r="K667" s="14" t="s">
        <v>2010</v>
      </c>
      <c r="L667" s="2">
        <f>DATEDIF(messy_clinic_appointments[[#This Row],[booking_date]],messy_clinic_appointments[[#This Row],[appointment_date]],"d")</f>
        <v>109</v>
      </c>
      <c r="M667" s="14" t="str">
        <f>IF(messy_clinic_appointments[[#This Row],[days_to_appointment]]&gt;365, "Review", "OK")</f>
        <v>OK</v>
      </c>
    </row>
    <row r="668" spans="1:13" x14ac:dyDescent="0.25">
      <c r="A668">
        <v>1087</v>
      </c>
      <c r="B668" s="14" t="s">
        <v>1329</v>
      </c>
      <c r="C668">
        <v>28</v>
      </c>
      <c r="D668" s="14" t="s">
        <v>2039</v>
      </c>
      <c r="E668" s="1">
        <v>46104</v>
      </c>
      <c r="F668" s="1">
        <v>45383</v>
      </c>
      <c r="G668" s="14" t="s">
        <v>1330</v>
      </c>
      <c r="H668" s="14" t="s">
        <v>12</v>
      </c>
      <c r="I668" s="14" t="s">
        <v>2646</v>
      </c>
      <c r="J668" s="14" t="str">
        <f>IF(messy_clinic_appointments[[#This Row],[billing_amount]] &lt; 200, "Low", IF(messy_clinic_appointments[[#This Row],[billing_amount]]&lt;= 400, "Medium", "High"))</f>
        <v>High</v>
      </c>
      <c r="K668" s="14" t="s">
        <v>2010</v>
      </c>
      <c r="L668" s="2">
        <f>DATEDIF(messy_clinic_appointments[[#This Row],[booking_date]],messy_clinic_appointments[[#This Row],[appointment_date]],"d")</f>
        <v>721</v>
      </c>
      <c r="M668" s="14" t="str">
        <f>IF(messy_clinic_appointments[[#This Row],[days_to_appointment]]&gt;365, "Review", "OK")</f>
        <v>Review</v>
      </c>
    </row>
    <row r="669" spans="1:13" x14ac:dyDescent="0.25">
      <c r="A669">
        <v>1081</v>
      </c>
      <c r="B669" s="14" t="s">
        <v>1331</v>
      </c>
      <c r="C669">
        <v>32</v>
      </c>
      <c r="D669" s="14" t="s">
        <v>2011</v>
      </c>
      <c r="E669" s="1">
        <v>45844</v>
      </c>
      <c r="F669" s="1">
        <v>45757</v>
      </c>
      <c r="G669" s="14" t="s">
        <v>1332</v>
      </c>
      <c r="H669" s="14" t="s">
        <v>18</v>
      </c>
      <c r="I669" s="14" t="s">
        <v>2647</v>
      </c>
      <c r="J669" s="14" t="str">
        <f>IF(messy_clinic_appointments[[#This Row],[billing_amount]] &lt; 200, "Low", IF(messy_clinic_appointments[[#This Row],[billing_amount]]&lt;= 400, "Medium", "High"))</f>
        <v>High</v>
      </c>
      <c r="K669" s="14" t="s">
        <v>2013</v>
      </c>
      <c r="L669" s="2">
        <f>DATEDIF(messy_clinic_appointments[[#This Row],[booking_date]],messy_clinic_appointments[[#This Row],[appointment_date]],"d")</f>
        <v>87</v>
      </c>
      <c r="M669" s="14" t="str">
        <f>IF(messy_clinic_appointments[[#This Row],[days_to_appointment]]&gt;365, "Review", "OK")</f>
        <v>OK</v>
      </c>
    </row>
    <row r="670" spans="1:13" x14ac:dyDescent="0.25">
      <c r="A670">
        <v>1053</v>
      </c>
      <c r="B670" s="14" t="s">
        <v>1333</v>
      </c>
      <c r="C670">
        <v>87</v>
      </c>
      <c r="D670" s="14" t="s">
        <v>2022</v>
      </c>
      <c r="E670" s="1">
        <v>46060</v>
      </c>
      <c r="F670" s="1">
        <v>45484</v>
      </c>
      <c r="G670" s="14" t="s">
        <v>1334</v>
      </c>
      <c r="H670" s="14" t="s">
        <v>15</v>
      </c>
      <c r="I670" s="14" t="s">
        <v>2648</v>
      </c>
      <c r="J670" s="14" t="str">
        <f>IF(messy_clinic_appointments[[#This Row],[billing_amount]] &lt; 200, "Low", IF(messy_clinic_appointments[[#This Row],[billing_amount]]&lt;= 400, "Medium", "High"))</f>
        <v>High</v>
      </c>
      <c r="K670" s="14" t="s">
        <v>2013</v>
      </c>
      <c r="L670" s="2">
        <f>DATEDIF(messy_clinic_appointments[[#This Row],[booking_date]],messy_clinic_appointments[[#This Row],[appointment_date]],"d")</f>
        <v>576</v>
      </c>
      <c r="M670" s="14" t="str">
        <f>IF(messy_clinic_appointments[[#This Row],[days_to_appointment]]&gt;365, "Review", "OK")</f>
        <v>Review</v>
      </c>
    </row>
    <row r="671" spans="1:13" x14ac:dyDescent="0.25">
      <c r="A671">
        <v>1051</v>
      </c>
      <c r="B671" s="14" t="s">
        <v>1335</v>
      </c>
      <c r="C671">
        <v>72</v>
      </c>
      <c r="D671" s="14" t="s">
        <v>30</v>
      </c>
      <c r="E671" s="1">
        <v>46086</v>
      </c>
      <c r="F671" s="1">
        <v>45742</v>
      </c>
      <c r="G671" s="14" t="s">
        <v>1336</v>
      </c>
      <c r="H671" s="14" t="s">
        <v>21</v>
      </c>
      <c r="I671" s="14" t="s">
        <v>2649</v>
      </c>
      <c r="J671" s="14" t="str">
        <f>IF(messy_clinic_appointments[[#This Row],[billing_amount]] &lt; 200, "Low", IF(messy_clinic_appointments[[#This Row],[billing_amount]]&lt;= 400, "Medium", "High"))</f>
        <v>High</v>
      </c>
      <c r="K671" s="14" t="s">
        <v>28</v>
      </c>
      <c r="L671" s="2">
        <f>DATEDIF(messy_clinic_appointments[[#This Row],[booking_date]],messy_clinic_appointments[[#This Row],[appointment_date]],"d")</f>
        <v>344</v>
      </c>
      <c r="M671" s="14" t="str">
        <f>IF(messy_clinic_appointments[[#This Row],[days_to_appointment]]&gt;365, "Review", "OK")</f>
        <v>OK</v>
      </c>
    </row>
    <row r="672" spans="1:13" x14ac:dyDescent="0.25">
      <c r="A672">
        <v>1098</v>
      </c>
      <c r="B672" s="14" t="s">
        <v>1337</v>
      </c>
      <c r="C672">
        <v>59</v>
      </c>
      <c r="D672" s="14" t="s">
        <v>2010</v>
      </c>
      <c r="E672" s="1">
        <v>45940</v>
      </c>
      <c r="F672" s="1">
        <v>45522</v>
      </c>
      <c r="G672" s="14" t="s">
        <v>1338</v>
      </c>
      <c r="H672" s="14" t="s">
        <v>21</v>
      </c>
      <c r="I672" s="14" t="s">
        <v>2650</v>
      </c>
      <c r="J672" s="14" t="str">
        <f>IF(messy_clinic_appointments[[#This Row],[billing_amount]] &lt; 200, "Low", IF(messy_clinic_appointments[[#This Row],[billing_amount]]&lt;= 400, "Medium", "High"))</f>
        <v>High</v>
      </c>
      <c r="K672" s="14" t="s">
        <v>2026</v>
      </c>
      <c r="L672" s="2">
        <f>DATEDIF(messy_clinic_appointments[[#This Row],[booking_date]],messy_clinic_appointments[[#This Row],[appointment_date]],"d")</f>
        <v>418</v>
      </c>
      <c r="M672" s="14" t="str">
        <f>IF(messy_clinic_appointments[[#This Row],[days_to_appointment]]&gt;365, "Review", "OK")</f>
        <v>Review</v>
      </c>
    </row>
    <row r="673" spans="1:13" x14ac:dyDescent="0.25">
      <c r="A673">
        <v>1009</v>
      </c>
      <c r="B673" s="14" t="s">
        <v>1339</v>
      </c>
      <c r="C673">
        <v>64</v>
      </c>
      <c r="D673" s="14" t="s">
        <v>2014</v>
      </c>
      <c r="E673" s="1">
        <v>45869</v>
      </c>
      <c r="F673" s="1">
        <v>45527</v>
      </c>
      <c r="G673" s="14" t="s">
        <v>1340</v>
      </c>
      <c r="H673" s="14" t="s">
        <v>18</v>
      </c>
      <c r="I673" s="14" t="s">
        <v>2651</v>
      </c>
      <c r="J673" s="14" t="str">
        <f>IF(messy_clinic_appointments[[#This Row],[billing_amount]] &lt; 200, "Low", IF(messy_clinic_appointments[[#This Row],[billing_amount]]&lt;= 400, "Medium", "High"))</f>
        <v>High</v>
      </c>
      <c r="K673" s="14" t="s">
        <v>2013</v>
      </c>
      <c r="L673" s="2">
        <f>DATEDIF(messy_clinic_appointments[[#This Row],[booking_date]],messy_clinic_appointments[[#This Row],[appointment_date]],"d")</f>
        <v>342</v>
      </c>
      <c r="M673" s="14" t="str">
        <f>IF(messy_clinic_appointments[[#This Row],[days_to_appointment]]&gt;365, "Review", "OK")</f>
        <v>OK</v>
      </c>
    </row>
    <row r="674" spans="1:13" x14ac:dyDescent="0.25">
      <c r="A674">
        <v>1021</v>
      </c>
      <c r="B674" s="14" t="s">
        <v>1341</v>
      </c>
      <c r="C674">
        <v>28</v>
      </c>
      <c r="D674" s="14" t="s">
        <v>30</v>
      </c>
      <c r="E674" s="1">
        <v>45884</v>
      </c>
      <c r="F674" s="1">
        <v>45613</v>
      </c>
      <c r="G674" s="14" t="s">
        <v>1342</v>
      </c>
      <c r="H674" s="14" t="s">
        <v>12</v>
      </c>
      <c r="I674" s="14" t="s">
        <v>2652</v>
      </c>
      <c r="J674" s="14" t="str">
        <f>IF(messy_clinic_appointments[[#This Row],[billing_amount]] &lt; 200, "Low", IF(messy_clinic_appointments[[#This Row],[billing_amount]]&lt;= 400, "Medium", "High"))</f>
        <v>High</v>
      </c>
      <c r="K674" s="14" t="s">
        <v>28</v>
      </c>
      <c r="L674" s="2">
        <f>DATEDIF(messy_clinic_appointments[[#This Row],[booking_date]],messy_clinic_appointments[[#This Row],[appointment_date]],"d")</f>
        <v>271</v>
      </c>
      <c r="M674" s="14" t="str">
        <f>IF(messy_clinic_appointments[[#This Row],[days_to_appointment]]&gt;365, "Review", "OK")</f>
        <v>OK</v>
      </c>
    </row>
    <row r="675" spans="1:13" x14ac:dyDescent="0.25">
      <c r="A675">
        <v>1046</v>
      </c>
      <c r="B675" s="14" t="s">
        <v>1343</v>
      </c>
      <c r="C675">
        <v>68</v>
      </c>
      <c r="D675" s="14" t="s">
        <v>2022</v>
      </c>
      <c r="E675" s="1">
        <v>46097</v>
      </c>
      <c r="F675" s="1">
        <v>45418</v>
      </c>
      <c r="G675" s="14" t="s">
        <v>1344</v>
      </c>
      <c r="H675" s="14" t="s">
        <v>15</v>
      </c>
      <c r="I675" s="14" t="s">
        <v>2653</v>
      </c>
      <c r="J675" s="14" t="str">
        <f>IF(messy_clinic_appointments[[#This Row],[billing_amount]] &lt; 200, "Low", IF(messy_clinic_appointments[[#This Row],[billing_amount]]&lt;= 400, "Medium", "High"))</f>
        <v>High</v>
      </c>
      <c r="K675" s="14" t="s">
        <v>2013</v>
      </c>
      <c r="L675" s="2">
        <f>DATEDIF(messy_clinic_appointments[[#This Row],[booking_date]],messy_clinic_appointments[[#This Row],[appointment_date]],"d")</f>
        <v>679</v>
      </c>
      <c r="M675" s="14" t="str">
        <f>IF(messy_clinic_appointments[[#This Row],[days_to_appointment]]&gt;365, "Review", "OK")</f>
        <v>Review</v>
      </c>
    </row>
    <row r="676" spans="1:13" x14ac:dyDescent="0.25">
      <c r="A676">
        <v>1044</v>
      </c>
      <c r="B676" s="14" t="s">
        <v>1345</v>
      </c>
      <c r="C676">
        <v>67</v>
      </c>
      <c r="D676" s="14" t="s">
        <v>2022</v>
      </c>
      <c r="E676" s="1">
        <v>45759</v>
      </c>
      <c r="F676" s="1">
        <v>45486</v>
      </c>
      <c r="G676" s="14" t="s">
        <v>1346</v>
      </c>
      <c r="H676" s="14" t="s">
        <v>18</v>
      </c>
      <c r="I676" s="14" t="s">
        <v>2654</v>
      </c>
      <c r="J676" s="14" t="str">
        <f>IF(messy_clinic_appointments[[#This Row],[billing_amount]] &lt; 200, "Low", IF(messy_clinic_appointments[[#This Row],[billing_amount]]&lt;= 400, "Medium", "High"))</f>
        <v>High</v>
      </c>
      <c r="K676" s="14" t="s">
        <v>2026</v>
      </c>
      <c r="L676" s="2">
        <f>DATEDIF(messy_clinic_appointments[[#This Row],[booking_date]],messy_clinic_appointments[[#This Row],[appointment_date]],"d")</f>
        <v>273</v>
      </c>
      <c r="M676" s="14" t="str">
        <f>IF(messy_clinic_appointments[[#This Row],[days_to_appointment]]&gt;365, "Review", "OK")</f>
        <v>OK</v>
      </c>
    </row>
    <row r="677" spans="1:13" x14ac:dyDescent="0.25">
      <c r="A677">
        <v>1058</v>
      </c>
      <c r="B677" s="14" t="s">
        <v>1347</v>
      </c>
      <c r="C677">
        <v>37</v>
      </c>
      <c r="D677" s="14" t="s">
        <v>2010</v>
      </c>
      <c r="E677" s="1">
        <v>46057</v>
      </c>
      <c r="F677" s="1">
        <v>45971</v>
      </c>
      <c r="G677" s="14" t="s">
        <v>1348</v>
      </c>
      <c r="H677" s="14" t="s">
        <v>15</v>
      </c>
      <c r="I677" s="14" t="s">
        <v>2655</v>
      </c>
      <c r="J677" s="14" t="str">
        <f>IF(messy_clinic_appointments[[#This Row],[billing_amount]] &lt; 200, "Low", IF(messy_clinic_appointments[[#This Row],[billing_amount]]&lt;= 400, "Medium", "High"))</f>
        <v>High</v>
      </c>
      <c r="K677" s="14" t="s">
        <v>2013</v>
      </c>
      <c r="L677" s="2">
        <f>DATEDIF(messy_clinic_appointments[[#This Row],[booking_date]],messy_clinic_appointments[[#This Row],[appointment_date]],"d")</f>
        <v>86</v>
      </c>
      <c r="M677" s="14" t="str">
        <f>IF(messy_clinic_appointments[[#This Row],[days_to_appointment]]&gt;365, "Review", "OK")</f>
        <v>OK</v>
      </c>
    </row>
    <row r="678" spans="1:13" x14ac:dyDescent="0.25">
      <c r="A678">
        <v>1004</v>
      </c>
      <c r="B678" s="14" t="s">
        <v>1349</v>
      </c>
      <c r="C678">
        <v>53</v>
      </c>
      <c r="D678" s="14" t="s">
        <v>24</v>
      </c>
      <c r="E678" s="1">
        <v>45878</v>
      </c>
      <c r="F678" s="1">
        <v>45479</v>
      </c>
      <c r="G678" s="14" t="s">
        <v>1350</v>
      </c>
      <c r="H678" s="14" t="s">
        <v>18</v>
      </c>
      <c r="I678" s="14" t="s">
        <v>2656</v>
      </c>
      <c r="J678" s="14" t="str">
        <f>IF(messy_clinic_appointments[[#This Row],[billing_amount]] &lt; 200, "Low", IF(messy_clinic_appointments[[#This Row],[billing_amount]]&lt;= 400, "Medium", "High"))</f>
        <v>High</v>
      </c>
      <c r="K678" s="14" t="s">
        <v>28</v>
      </c>
      <c r="L678" s="2">
        <f>DATEDIF(messy_clinic_appointments[[#This Row],[booking_date]],messy_clinic_appointments[[#This Row],[appointment_date]],"d")</f>
        <v>399</v>
      </c>
      <c r="M678" s="14" t="str">
        <f>IF(messy_clinic_appointments[[#This Row],[days_to_appointment]]&gt;365, "Review", "OK")</f>
        <v>Review</v>
      </c>
    </row>
    <row r="679" spans="1:13" x14ac:dyDescent="0.25">
      <c r="A679">
        <v>1088</v>
      </c>
      <c r="B679" s="14" t="s">
        <v>1351</v>
      </c>
      <c r="C679">
        <v>21</v>
      </c>
      <c r="D679" s="14" t="s">
        <v>2014</v>
      </c>
      <c r="E679" s="1">
        <v>45973</v>
      </c>
      <c r="F679" s="1">
        <v>45769</v>
      </c>
      <c r="G679" s="14" t="s">
        <v>1352</v>
      </c>
      <c r="H679" s="14" t="s">
        <v>18</v>
      </c>
      <c r="I679" s="14" t="s">
        <v>2657</v>
      </c>
      <c r="J679" s="14" t="str">
        <f>IF(messy_clinic_appointments[[#This Row],[billing_amount]] &lt; 200, "Low", IF(messy_clinic_appointments[[#This Row],[billing_amount]]&lt;= 400, "Medium", "High"))</f>
        <v>High</v>
      </c>
      <c r="K679" s="14" t="s">
        <v>2039</v>
      </c>
      <c r="L679" s="2">
        <f>DATEDIF(messy_clinic_appointments[[#This Row],[booking_date]],messy_clinic_appointments[[#This Row],[appointment_date]],"d")</f>
        <v>204</v>
      </c>
      <c r="M679" s="14" t="str">
        <f>IF(messy_clinic_appointments[[#This Row],[days_to_appointment]]&gt;365, "Review", "OK")</f>
        <v>OK</v>
      </c>
    </row>
    <row r="680" spans="1:13" x14ac:dyDescent="0.25">
      <c r="A680">
        <v>1035</v>
      </c>
      <c r="B680" s="14" t="s">
        <v>1353</v>
      </c>
      <c r="C680">
        <v>53</v>
      </c>
      <c r="D680" s="14" t="s">
        <v>2014</v>
      </c>
      <c r="E680" s="1">
        <v>46048</v>
      </c>
      <c r="F680" s="1">
        <v>45562</v>
      </c>
      <c r="G680" s="14" t="s">
        <v>1354</v>
      </c>
      <c r="H680" s="14" t="s">
        <v>18</v>
      </c>
      <c r="I680" s="14" t="s">
        <v>2658</v>
      </c>
      <c r="J680" s="14" t="str">
        <f>IF(messy_clinic_appointments[[#This Row],[billing_amount]] &lt; 200, "Low", IF(messy_clinic_appointments[[#This Row],[billing_amount]]&lt;= 400, "Medium", "High"))</f>
        <v>High</v>
      </c>
      <c r="K680" s="14" t="s">
        <v>2010</v>
      </c>
      <c r="L680" s="2">
        <f>DATEDIF(messy_clinic_appointments[[#This Row],[booking_date]],messy_clinic_appointments[[#This Row],[appointment_date]],"d")</f>
        <v>486</v>
      </c>
      <c r="M680" s="14" t="str">
        <f>IF(messy_clinic_appointments[[#This Row],[days_to_appointment]]&gt;365, "Review", "OK")</f>
        <v>Review</v>
      </c>
    </row>
    <row r="681" spans="1:13" x14ac:dyDescent="0.25">
      <c r="A681">
        <v>1025</v>
      </c>
      <c r="B681" s="14" t="s">
        <v>1355</v>
      </c>
      <c r="C681">
        <v>69</v>
      </c>
      <c r="D681" s="14" t="s">
        <v>50</v>
      </c>
      <c r="E681" s="1">
        <v>45753</v>
      </c>
      <c r="F681" s="1">
        <v>45501</v>
      </c>
      <c r="G681" s="14" t="s">
        <v>1356</v>
      </c>
      <c r="H681" s="14" t="s">
        <v>15</v>
      </c>
      <c r="I681" s="14" t="s">
        <v>2659</v>
      </c>
      <c r="J681" s="14" t="str">
        <f>IF(messy_clinic_appointments[[#This Row],[billing_amount]] &lt; 200, "Low", IF(messy_clinic_appointments[[#This Row],[billing_amount]]&lt;= 400, "Medium", "High"))</f>
        <v>High</v>
      </c>
      <c r="K681" s="14" t="s">
        <v>2039</v>
      </c>
      <c r="L681" s="2">
        <f>DATEDIF(messy_clinic_appointments[[#This Row],[booking_date]],messy_clinic_appointments[[#This Row],[appointment_date]],"d")</f>
        <v>252</v>
      </c>
      <c r="M681" s="14" t="str">
        <f>IF(messy_clinic_appointments[[#This Row],[days_to_appointment]]&gt;365, "Review", "OK")</f>
        <v>OK</v>
      </c>
    </row>
    <row r="682" spans="1:13" x14ac:dyDescent="0.25">
      <c r="A682">
        <v>1068</v>
      </c>
      <c r="B682" s="14" t="s">
        <v>1357</v>
      </c>
      <c r="C682">
        <v>25</v>
      </c>
      <c r="D682" s="14" t="s">
        <v>2011</v>
      </c>
      <c r="E682" s="1">
        <v>46064</v>
      </c>
      <c r="F682" s="1">
        <v>45828</v>
      </c>
      <c r="G682" s="14" t="s">
        <v>1358</v>
      </c>
      <c r="H682" s="14" t="s">
        <v>18</v>
      </c>
      <c r="I682" s="14" t="s">
        <v>2660</v>
      </c>
      <c r="J682" s="14" t="str">
        <f>IF(messy_clinic_appointments[[#This Row],[billing_amount]] &lt; 200, "Low", IF(messy_clinic_appointments[[#This Row],[billing_amount]]&lt;= 400, "Medium", "High"))</f>
        <v>High</v>
      </c>
      <c r="K682" s="14" t="s">
        <v>2039</v>
      </c>
      <c r="L682" s="2">
        <f>DATEDIF(messy_clinic_appointments[[#This Row],[booking_date]],messy_clinic_appointments[[#This Row],[appointment_date]],"d")</f>
        <v>236</v>
      </c>
      <c r="M682" s="14" t="str">
        <f>IF(messy_clinic_appointments[[#This Row],[days_to_appointment]]&gt;365, "Review", "OK")</f>
        <v>OK</v>
      </c>
    </row>
    <row r="683" spans="1:13" x14ac:dyDescent="0.25">
      <c r="A683">
        <v>1014</v>
      </c>
      <c r="B683" s="14" t="s">
        <v>1359</v>
      </c>
      <c r="C683">
        <v>61</v>
      </c>
      <c r="D683" s="14" t="s">
        <v>24</v>
      </c>
      <c r="E683" s="1">
        <v>45852</v>
      </c>
      <c r="F683" s="1">
        <v>45648</v>
      </c>
      <c r="G683" s="14" t="s">
        <v>1360</v>
      </c>
      <c r="H683" s="14" t="s">
        <v>12</v>
      </c>
      <c r="I683" s="14" t="s">
        <v>2661</v>
      </c>
      <c r="J683" s="14" t="str">
        <f>IF(messy_clinic_appointments[[#This Row],[billing_amount]] &lt; 200, "Low", IF(messy_clinic_appointments[[#This Row],[billing_amount]]&lt;= 400, "Medium", "High"))</f>
        <v>High</v>
      </c>
      <c r="K683" s="14" t="s">
        <v>2010</v>
      </c>
      <c r="L683" s="2">
        <f>DATEDIF(messy_clinic_appointments[[#This Row],[booking_date]],messy_clinic_appointments[[#This Row],[appointment_date]],"d")</f>
        <v>204</v>
      </c>
      <c r="M683" s="14" t="str">
        <f>IF(messy_clinic_appointments[[#This Row],[days_to_appointment]]&gt;365, "Review", "OK")</f>
        <v>OK</v>
      </c>
    </row>
    <row r="684" spans="1:13" x14ac:dyDescent="0.25">
      <c r="A684">
        <v>1059</v>
      </c>
      <c r="B684" s="14" t="s">
        <v>1361</v>
      </c>
      <c r="C684">
        <v>23</v>
      </c>
      <c r="D684" s="14" t="s">
        <v>50</v>
      </c>
      <c r="E684" s="1">
        <v>45910</v>
      </c>
      <c r="F684" s="1">
        <v>45405</v>
      </c>
      <c r="G684" s="14" t="s">
        <v>1362</v>
      </c>
      <c r="H684" s="14" t="s">
        <v>21</v>
      </c>
      <c r="I684" s="14" t="s">
        <v>2662</v>
      </c>
      <c r="J684" s="14" t="str">
        <f>IF(messy_clinic_appointments[[#This Row],[billing_amount]] &lt; 200, "Low", IF(messy_clinic_appointments[[#This Row],[billing_amount]]&lt;= 400, "Medium", "High"))</f>
        <v>High</v>
      </c>
      <c r="K684" s="14" t="s">
        <v>2013</v>
      </c>
      <c r="L684" s="2">
        <f>DATEDIF(messy_clinic_appointments[[#This Row],[booking_date]],messy_clinic_appointments[[#This Row],[appointment_date]],"d")</f>
        <v>505</v>
      </c>
      <c r="M684" s="14" t="str">
        <f>IF(messy_clinic_appointments[[#This Row],[days_to_appointment]]&gt;365, "Review", "OK")</f>
        <v>Review</v>
      </c>
    </row>
    <row r="685" spans="1:13" x14ac:dyDescent="0.25">
      <c r="A685">
        <v>1021</v>
      </c>
      <c r="B685" s="14" t="s">
        <v>1363</v>
      </c>
      <c r="C685">
        <v>61</v>
      </c>
      <c r="D685" s="14" t="s">
        <v>2011</v>
      </c>
      <c r="E685" s="1">
        <v>46085</v>
      </c>
      <c r="F685" s="1">
        <v>45879</v>
      </c>
      <c r="G685" s="14" t="s">
        <v>1364</v>
      </c>
      <c r="H685" s="14" t="s">
        <v>18</v>
      </c>
      <c r="I685" s="14" t="s">
        <v>2663</v>
      </c>
      <c r="J685" s="14" t="str">
        <f>IF(messy_clinic_appointments[[#This Row],[billing_amount]] &lt; 200, "Low", IF(messy_clinic_appointments[[#This Row],[billing_amount]]&lt;= 400, "Medium", "High"))</f>
        <v>High</v>
      </c>
      <c r="K685" s="14" t="s">
        <v>28</v>
      </c>
      <c r="L685" s="2">
        <f>DATEDIF(messy_clinic_appointments[[#This Row],[booking_date]],messy_clinic_appointments[[#This Row],[appointment_date]],"d")</f>
        <v>206</v>
      </c>
      <c r="M685" s="14" t="str">
        <f>IF(messy_clinic_appointments[[#This Row],[days_to_appointment]]&gt;365, "Review", "OK")</f>
        <v>OK</v>
      </c>
    </row>
    <row r="686" spans="1:13" x14ac:dyDescent="0.25">
      <c r="A686">
        <v>1029</v>
      </c>
      <c r="B686" s="14" t="s">
        <v>1365</v>
      </c>
      <c r="C686">
        <v>69</v>
      </c>
      <c r="D686" s="14" t="s">
        <v>2022</v>
      </c>
      <c r="E686" s="1">
        <v>45804</v>
      </c>
      <c r="F686" s="1">
        <v>45767</v>
      </c>
      <c r="G686" s="14" t="s">
        <v>1366</v>
      </c>
      <c r="H686" s="14" t="s">
        <v>15</v>
      </c>
      <c r="I686" s="14" t="s">
        <v>2664</v>
      </c>
      <c r="J686" s="14" t="str">
        <f>IF(messy_clinic_appointments[[#This Row],[billing_amount]] &lt; 200, "Low", IF(messy_clinic_appointments[[#This Row],[billing_amount]]&lt;= 400, "Medium", "High"))</f>
        <v>High</v>
      </c>
      <c r="K686" s="14" t="s">
        <v>2026</v>
      </c>
      <c r="L686" s="2">
        <f>DATEDIF(messy_clinic_appointments[[#This Row],[booking_date]],messy_clinic_appointments[[#This Row],[appointment_date]],"d")</f>
        <v>37</v>
      </c>
      <c r="M686" s="14" t="str">
        <f>IF(messy_clinic_appointments[[#This Row],[days_to_appointment]]&gt;365, "Review", "OK")</f>
        <v>OK</v>
      </c>
    </row>
    <row r="687" spans="1:13" x14ac:dyDescent="0.25">
      <c r="A687">
        <v>1005</v>
      </c>
      <c r="B687" s="14" t="s">
        <v>1367</v>
      </c>
      <c r="C687">
        <v>23</v>
      </c>
      <c r="D687" s="14" t="s">
        <v>2039</v>
      </c>
      <c r="E687" s="1">
        <v>46015</v>
      </c>
      <c r="F687" s="1">
        <v>45662</v>
      </c>
      <c r="G687" s="14" t="s">
        <v>1368</v>
      </c>
      <c r="H687" s="14" t="s">
        <v>15</v>
      </c>
      <c r="I687" s="14" t="s">
        <v>2665</v>
      </c>
      <c r="J687" s="14" t="str">
        <f>IF(messy_clinic_appointments[[#This Row],[billing_amount]] &lt; 200, "Low", IF(messy_clinic_appointments[[#This Row],[billing_amount]]&lt;= 400, "Medium", "High"))</f>
        <v>High</v>
      </c>
      <c r="K687" s="14" t="s">
        <v>2026</v>
      </c>
      <c r="L687" s="2">
        <f>DATEDIF(messy_clinic_appointments[[#This Row],[booking_date]],messy_clinic_appointments[[#This Row],[appointment_date]],"d")</f>
        <v>353</v>
      </c>
      <c r="M687" s="14" t="str">
        <f>IF(messy_clinic_appointments[[#This Row],[days_to_appointment]]&gt;365, "Review", "OK")</f>
        <v>OK</v>
      </c>
    </row>
    <row r="688" spans="1:13" x14ac:dyDescent="0.25">
      <c r="A688">
        <v>1094</v>
      </c>
      <c r="B688" s="14" t="s">
        <v>1369</v>
      </c>
      <c r="C688">
        <v>59</v>
      </c>
      <c r="D688" s="14" t="s">
        <v>2039</v>
      </c>
      <c r="E688" s="1">
        <v>45816</v>
      </c>
      <c r="F688" s="1">
        <v>45652</v>
      </c>
      <c r="G688" s="14" t="s">
        <v>1370</v>
      </c>
      <c r="H688" s="14" t="s">
        <v>15</v>
      </c>
      <c r="I688" s="14" t="s">
        <v>2666</v>
      </c>
      <c r="J688" s="14" t="str">
        <f>IF(messy_clinic_appointments[[#This Row],[billing_amount]] &lt; 200, "Low", IF(messy_clinic_appointments[[#This Row],[billing_amount]]&lt;= 400, "Medium", "High"))</f>
        <v>High</v>
      </c>
      <c r="K688" s="14" t="s">
        <v>2013</v>
      </c>
      <c r="L688" s="2">
        <f>DATEDIF(messy_clinic_appointments[[#This Row],[booking_date]],messy_clinic_appointments[[#This Row],[appointment_date]],"d")</f>
        <v>164</v>
      </c>
      <c r="M688" s="14" t="str">
        <f>IF(messy_clinic_appointments[[#This Row],[days_to_appointment]]&gt;365, "Review", "OK")</f>
        <v>OK</v>
      </c>
    </row>
    <row r="689" spans="1:13" x14ac:dyDescent="0.25">
      <c r="A689">
        <v>1065</v>
      </c>
      <c r="B689" s="14" t="s">
        <v>1371</v>
      </c>
      <c r="C689">
        <v>80</v>
      </c>
      <c r="D689" s="14" t="s">
        <v>2011</v>
      </c>
      <c r="E689" s="1">
        <v>45788</v>
      </c>
      <c r="F689" s="1">
        <v>45587</v>
      </c>
      <c r="G689" s="14" t="s">
        <v>1372</v>
      </c>
      <c r="H689" s="14" t="s">
        <v>12</v>
      </c>
      <c r="I689" s="14" t="s">
        <v>2667</v>
      </c>
      <c r="J689" s="14" t="str">
        <f>IF(messy_clinic_appointments[[#This Row],[billing_amount]] &lt; 200, "Low", IF(messy_clinic_appointments[[#This Row],[billing_amount]]&lt;= 400, "Medium", "High"))</f>
        <v>High</v>
      </c>
      <c r="K689" s="14" t="s">
        <v>2039</v>
      </c>
      <c r="L689" s="2">
        <f>DATEDIF(messy_clinic_appointments[[#This Row],[booking_date]],messy_clinic_appointments[[#This Row],[appointment_date]],"d")</f>
        <v>201</v>
      </c>
      <c r="M689" s="14" t="str">
        <f>IF(messy_clinic_appointments[[#This Row],[days_to_appointment]]&gt;365, "Review", "OK")</f>
        <v>OK</v>
      </c>
    </row>
    <row r="690" spans="1:13" x14ac:dyDescent="0.25">
      <c r="A690">
        <v>1058</v>
      </c>
      <c r="B690" s="14" t="s">
        <v>1373</v>
      </c>
      <c r="C690">
        <v>27</v>
      </c>
      <c r="D690" s="14" t="s">
        <v>50</v>
      </c>
      <c r="E690" s="1">
        <v>45863</v>
      </c>
      <c r="F690" s="1">
        <v>45532</v>
      </c>
      <c r="G690" s="14" t="s">
        <v>1374</v>
      </c>
      <c r="H690" s="14" t="s">
        <v>15</v>
      </c>
      <c r="I690" s="14" t="s">
        <v>2668</v>
      </c>
      <c r="J690" s="14" t="str">
        <f>IF(messy_clinic_appointments[[#This Row],[billing_amount]] &lt; 200, "Low", IF(messy_clinic_appointments[[#This Row],[billing_amount]]&lt;= 400, "Medium", "High"))</f>
        <v>High</v>
      </c>
      <c r="K690" s="14" t="s">
        <v>22</v>
      </c>
      <c r="L690" s="2">
        <f>DATEDIF(messy_clinic_appointments[[#This Row],[booking_date]],messy_clinic_appointments[[#This Row],[appointment_date]],"d")</f>
        <v>331</v>
      </c>
      <c r="M690" s="14" t="str">
        <f>IF(messy_clinic_appointments[[#This Row],[days_to_appointment]]&gt;365, "Review", "OK")</f>
        <v>OK</v>
      </c>
    </row>
    <row r="691" spans="1:13" x14ac:dyDescent="0.25">
      <c r="A691">
        <v>1076</v>
      </c>
      <c r="B691" s="14" t="s">
        <v>1375</v>
      </c>
      <c r="C691">
        <v>39</v>
      </c>
      <c r="D691" s="14" t="s">
        <v>2008</v>
      </c>
      <c r="E691" s="1">
        <v>45807</v>
      </c>
      <c r="F691" s="1">
        <v>45783</v>
      </c>
      <c r="G691" s="14" t="s">
        <v>1376</v>
      </c>
      <c r="H691" s="14" t="s">
        <v>21</v>
      </c>
      <c r="I691" s="14" t="s">
        <v>2669</v>
      </c>
      <c r="J691" s="14" t="str">
        <f>IF(messy_clinic_appointments[[#This Row],[billing_amount]] &lt; 200, "Low", IF(messy_clinic_appointments[[#This Row],[billing_amount]]&lt;= 400, "Medium", "High"))</f>
        <v>High</v>
      </c>
      <c r="K691" s="14" t="s">
        <v>28</v>
      </c>
      <c r="L691" s="2">
        <f>DATEDIF(messy_clinic_appointments[[#This Row],[booking_date]],messy_clinic_appointments[[#This Row],[appointment_date]],"d")</f>
        <v>24</v>
      </c>
      <c r="M691" s="14" t="str">
        <f>IF(messy_clinic_appointments[[#This Row],[days_to_appointment]]&gt;365, "Review", "OK")</f>
        <v>OK</v>
      </c>
    </row>
    <row r="692" spans="1:13" x14ac:dyDescent="0.25">
      <c r="A692">
        <v>1073</v>
      </c>
      <c r="B692" s="14" t="s">
        <v>1377</v>
      </c>
      <c r="C692">
        <v>52</v>
      </c>
      <c r="D692" s="14" t="s">
        <v>50</v>
      </c>
      <c r="E692" s="1">
        <v>45925</v>
      </c>
      <c r="F692" s="1">
        <v>45668</v>
      </c>
      <c r="G692" s="14" t="s">
        <v>1378</v>
      </c>
      <c r="H692" s="14" t="s">
        <v>12</v>
      </c>
      <c r="I692" s="14" t="s">
        <v>2670</v>
      </c>
      <c r="J692" s="14" t="str">
        <f>IF(messy_clinic_appointments[[#This Row],[billing_amount]] &lt; 200, "Low", IF(messy_clinic_appointments[[#This Row],[billing_amount]]&lt;= 400, "Medium", "High"))</f>
        <v>High</v>
      </c>
      <c r="K692" s="14" t="s">
        <v>2039</v>
      </c>
      <c r="L692" s="2">
        <f>DATEDIF(messy_clinic_appointments[[#This Row],[booking_date]],messy_clinic_appointments[[#This Row],[appointment_date]],"d")</f>
        <v>257</v>
      </c>
      <c r="M692" s="14" t="str">
        <f>IF(messy_clinic_appointments[[#This Row],[days_to_appointment]]&gt;365, "Review", "OK")</f>
        <v>OK</v>
      </c>
    </row>
    <row r="693" spans="1:13" x14ac:dyDescent="0.25">
      <c r="A693">
        <v>1054</v>
      </c>
      <c r="B693" s="14" t="s">
        <v>1999</v>
      </c>
      <c r="C693">
        <v>66</v>
      </c>
      <c r="D693" s="14" t="s">
        <v>50</v>
      </c>
      <c r="E693" s="1">
        <v>45755</v>
      </c>
      <c r="F693" s="1">
        <v>45659</v>
      </c>
      <c r="G693" s="14" t="s">
        <v>1379</v>
      </c>
      <c r="H693" s="14" t="s">
        <v>15</v>
      </c>
      <c r="I693" s="14" t="s">
        <v>2671</v>
      </c>
      <c r="J693" s="14" t="str">
        <f>IF(messy_clinic_appointments[[#This Row],[billing_amount]] &lt; 200, "Low", IF(messy_clinic_appointments[[#This Row],[billing_amount]]&lt;= 400, "Medium", "High"))</f>
        <v>High</v>
      </c>
      <c r="K693" s="14" t="s">
        <v>2010</v>
      </c>
      <c r="L693" s="2">
        <f>DATEDIF(messy_clinic_appointments[[#This Row],[booking_date]],messy_clinic_appointments[[#This Row],[appointment_date]],"d")</f>
        <v>96</v>
      </c>
      <c r="M693" s="14" t="str">
        <f>IF(messy_clinic_appointments[[#This Row],[days_to_appointment]]&gt;365, "Review", "OK")</f>
        <v>OK</v>
      </c>
    </row>
    <row r="694" spans="1:13" x14ac:dyDescent="0.25">
      <c r="A694">
        <v>1020</v>
      </c>
      <c r="B694" s="14" t="s">
        <v>1380</v>
      </c>
      <c r="C694">
        <v>52</v>
      </c>
      <c r="D694" s="14" t="s">
        <v>2022</v>
      </c>
      <c r="E694" s="1">
        <v>46069</v>
      </c>
      <c r="F694" s="1">
        <v>45730</v>
      </c>
      <c r="G694" s="14" t="s">
        <v>1381</v>
      </c>
      <c r="H694" s="14" t="s">
        <v>21</v>
      </c>
      <c r="I694" s="14" t="s">
        <v>2672</v>
      </c>
      <c r="J694" s="14" t="str">
        <f>IF(messy_clinic_appointments[[#This Row],[billing_amount]] &lt; 200, "Low", IF(messy_clinic_appointments[[#This Row],[billing_amount]]&lt;= 400, "Medium", "High"))</f>
        <v>High</v>
      </c>
      <c r="K694" s="14" t="s">
        <v>2039</v>
      </c>
      <c r="L694" s="2">
        <f>DATEDIF(messy_clinic_appointments[[#This Row],[booking_date]],messy_clinic_appointments[[#This Row],[appointment_date]],"d")</f>
        <v>339</v>
      </c>
      <c r="M694" s="14" t="str">
        <f>IF(messy_clinic_appointments[[#This Row],[days_to_appointment]]&gt;365, "Review", "OK")</f>
        <v>OK</v>
      </c>
    </row>
    <row r="695" spans="1:13" x14ac:dyDescent="0.25">
      <c r="A695">
        <v>1087</v>
      </c>
      <c r="B695" s="14" t="s">
        <v>1382</v>
      </c>
      <c r="C695">
        <v>78</v>
      </c>
      <c r="D695" s="14" t="s">
        <v>50</v>
      </c>
      <c r="E695" s="1">
        <v>46044</v>
      </c>
      <c r="F695" s="1">
        <v>45815</v>
      </c>
      <c r="G695" s="14" t="s">
        <v>1383</v>
      </c>
      <c r="H695" s="14" t="s">
        <v>21</v>
      </c>
      <c r="I695" s="14" t="s">
        <v>2673</v>
      </c>
      <c r="J695" s="14" t="str">
        <f>IF(messy_clinic_appointments[[#This Row],[billing_amount]] &lt; 200, "Low", IF(messy_clinic_appointments[[#This Row],[billing_amount]]&lt;= 400, "Medium", "High"))</f>
        <v>High</v>
      </c>
      <c r="K695" s="14" t="s">
        <v>22</v>
      </c>
      <c r="L695" s="2">
        <f>DATEDIF(messy_clinic_appointments[[#This Row],[booking_date]],messy_clinic_appointments[[#This Row],[appointment_date]],"d")</f>
        <v>229</v>
      </c>
      <c r="M695" s="14" t="str">
        <f>IF(messy_clinic_appointments[[#This Row],[days_to_appointment]]&gt;365, "Review", "OK")</f>
        <v>OK</v>
      </c>
    </row>
    <row r="696" spans="1:13" x14ac:dyDescent="0.25">
      <c r="A696">
        <v>1012</v>
      </c>
      <c r="B696" s="14" t="s">
        <v>1384</v>
      </c>
      <c r="C696">
        <v>45</v>
      </c>
      <c r="D696" s="14" t="s">
        <v>2039</v>
      </c>
      <c r="E696" s="1">
        <v>45863</v>
      </c>
      <c r="F696" s="1">
        <v>45535</v>
      </c>
      <c r="G696" s="14" t="s">
        <v>1385</v>
      </c>
      <c r="H696" s="14" t="s">
        <v>15</v>
      </c>
      <c r="I696" s="14" t="s">
        <v>2674</v>
      </c>
      <c r="J696" s="14" t="str">
        <f>IF(messy_clinic_appointments[[#This Row],[billing_amount]] &lt; 200, "Low", IF(messy_clinic_appointments[[#This Row],[billing_amount]]&lt;= 400, "Medium", "High"))</f>
        <v>High</v>
      </c>
      <c r="K696" s="14" t="s">
        <v>22</v>
      </c>
      <c r="L696" s="2">
        <f>DATEDIF(messy_clinic_appointments[[#This Row],[booking_date]],messy_clinic_appointments[[#This Row],[appointment_date]],"d")</f>
        <v>328</v>
      </c>
      <c r="M696" s="14" t="str">
        <f>IF(messy_clinic_appointments[[#This Row],[days_to_appointment]]&gt;365, "Review", "OK")</f>
        <v>OK</v>
      </c>
    </row>
    <row r="697" spans="1:13" x14ac:dyDescent="0.25">
      <c r="A697">
        <v>1085</v>
      </c>
      <c r="B697" s="14" t="s">
        <v>1386</v>
      </c>
      <c r="C697">
        <v>30</v>
      </c>
      <c r="D697" s="14" t="s">
        <v>50</v>
      </c>
      <c r="E697" s="1">
        <v>46014</v>
      </c>
      <c r="F697" s="1">
        <v>45455</v>
      </c>
      <c r="G697" s="14" t="s">
        <v>1387</v>
      </c>
      <c r="H697" s="14" t="s">
        <v>18</v>
      </c>
      <c r="I697" s="14" t="s">
        <v>2675</v>
      </c>
      <c r="J697" s="14" t="str">
        <f>IF(messy_clinic_appointments[[#This Row],[billing_amount]] &lt; 200, "Low", IF(messy_clinic_appointments[[#This Row],[billing_amount]]&lt;= 400, "Medium", "High"))</f>
        <v>High</v>
      </c>
      <c r="K697" s="14" t="s">
        <v>2010</v>
      </c>
      <c r="L697" s="2">
        <f>DATEDIF(messy_clinic_appointments[[#This Row],[booking_date]],messy_clinic_appointments[[#This Row],[appointment_date]],"d")</f>
        <v>559</v>
      </c>
      <c r="M697" s="14" t="str">
        <f>IF(messy_clinic_appointments[[#This Row],[days_to_appointment]]&gt;365, "Review", "OK")</f>
        <v>Review</v>
      </c>
    </row>
    <row r="698" spans="1:13" x14ac:dyDescent="0.25">
      <c r="A698">
        <v>1012</v>
      </c>
      <c r="B698" s="14" t="s">
        <v>1388</v>
      </c>
      <c r="C698">
        <v>30</v>
      </c>
      <c r="D698" s="14" t="s">
        <v>2011</v>
      </c>
      <c r="E698" s="1">
        <v>45994</v>
      </c>
      <c r="F698" s="1">
        <v>45430</v>
      </c>
      <c r="G698" s="14" t="s">
        <v>1389</v>
      </c>
      <c r="H698" s="14" t="s">
        <v>18</v>
      </c>
      <c r="I698" s="14" t="s">
        <v>2676</v>
      </c>
      <c r="J698" s="14" t="str">
        <f>IF(messy_clinic_appointments[[#This Row],[billing_amount]] &lt; 200, "Low", IF(messy_clinic_appointments[[#This Row],[billing_amount]]&lt;= 400, "Medium", "High"))</f>
        <v>High</v>
      </c>
      <c r="K698" s="14" t="s">
        <v>2010</v>
      </c>
      <c r="L698" s="2">
        <f>DATEDIF(messy_clinic_appointments[[#This Row],[booking_date]],messy_clinic_appointments[[#This Row],[appointment_date]],"d")</f>
        <v>564</v>
      </c>
      <c r="M698" s="14" t="str">
        <f>IF(messy_clinic_appointments[[#This Row],[days_to_appointment]]&gt;365, "Review", "OK")</f>
        <v>Review</v>
      </c>
    </row>
    <row r="699" spans="1:13" x14ac:dyDescent="0.25">
      <c r="A699">
        <v>1063</v>
      </c>
      <c r="B699" s="14" t="s">
        <v>1390</v>
      </c>
      <c r="C699">
        <v>46</v>
      </c>
      <c r="D699" s="14" t="s">
        <v>2014</v>
      </c>
      <c r="E699" s="1">
        <v>45948</v>
      </c>
      <c r="F699" s="1">
        <v>45568</v>
      </c>
      <c r="G699" s="14" t="s">
        <v>1391</v>
      </c>
      <c r="H699" s="14" t="s">
        <v>15</v>
      </c>
      <c r="I699" s="14" t="s">
        <v>2677</v>
      </c>
      <c r="J699" s="14" t="str">
        <f>IF(messy_clinic_appointments[[#This Row],[billing_amount]] &lt; 200, "Low", IF(messy_clinic_appointments[[#This Row],[billing_amount]]&lt;= 400, "Medium", "High"))</f>
        <v>High</v>
      </c>
      <c r="K699" s="14" t="s">
        <v>2026</v>
      </c>
      <c r="L699" s="2">
        <f>DATEDIF(messy_clinic_appointments[[#This Row],[booking_date]],messy_clinic_appointments[[#This Row],[appointment_date]],"d")</f>
        <v>380</v>
      </c>
      <c r="M699" s="14" t="str">
        <f>IF(messy_clinic_appointments[[#This Row],[days_to_appointment]]&gt;365, "Review", "OK")</f>
        <v>Review</v>
      </c>
    </row>
    <row r="700" spans="1:13" x14ac:dyDescent="0.25">
      <c r="A700">
        <v>1046</v>
      </c>
      <c r="B700" s="14" t="s">
        <v>772</v>
      </c>
      <c r="C700">
        <v>28</v>
      </c>
      <c r="D700" s="14" t="s">
        <v>2010</v>
      </c>
      <c r="E700" s="1">
        <v>45767</v>
      </c>
      <c r="F700" s="1">
        <v>45505</v>
      </c>
      <c r="G700" s="14" t="s">
        <v>1392</v>
      </c>
      <c r="H700" s="14" t="s">
        <v>15</v>
      </c>
      <c r="I700" s="14" t="s">
        <v>2678</v>
      </c>
      <c r="J700" s="14" t="str">
        <f>IF(messy_clinic_appointments[[#This Row],[billing_amount]] &lt; 200, "Low", IF(messy_clinic_appointments[[#This Row],[billing_amount]]&lt;= 400, "Medium", "High"))</f>
        <v>High</v>
      </c>
      <c r="K700" s="14" t="s">
        <v>2013</v>
      </c>
      <c r="L700" s="2">
        <f>DATEDIF(messy_clinic_appointments[[#This Row],[booking_date]],messy_clinic_appointments[[#This Row],[appointment_date]],"d")</f>
        <v>262</v>
      </c>
      <c r="M700" s="14" t="str">
        <f>IF(messy_clinic_appointments[[#This Row],[days_to_appointment]]&gt;365, "Review", "OK")</f>
        <v>OK</v>
      </c>
    </row>
    <row r="701" spans="1:13" x14ac:dyDescent="0.25">
      <c r="A701">
        <v>1031</v>
      </c>
      <c r="B701" s="14" t="s">
        <v>1393</v>
      </c>
      <c r="C701">
        <v>57</v>
      </c>
      <c r="D701" s="14" t="s">
        <v>2039</v>
      </c>
      <c r="E701" s="1">
        <v>45808</v>
      </c>
      <c r="F701" s="1">
        <v>45702</v>
      </c>
      <c r="G701" s="14" t="s">
        <v>1394</v>
      </c>
      <c r="H701" s="14" t="s">
        <v>15</v>
      </c>
      <c r="I701" s="14" t="s">
        <v>2679</v>
      </c>
      <c r="J701" s="14" t="str">
        <f>IF(messy_clinic_appointments[[#This Row],[billing_amount]] &lt; 200, "Low", IF(messy_clinic_appointments[[#This Row],[billing_amount]]&lt;= 400, "Medium", "High"))</f>
        <v>High</v>
      </c>
      <c r="K701" s="14" t="s">
        <v>22</v>
      </c>
      <c r="L701" s="2">
        <f>DATEDIF(messy_clinic_appointments[[#This Row],[booking_date]],messy_clinic_appointments[[#This Row],[appointment_date]],"d")</f>
        <v>106</v>
      </c>
      <c r="M701" s="14" t="str">
        <f>IF(messy_clinic_appointments[[#This Row],[days_to_appointment]]&gt;365, "Review", "OK")</f>
        <v>OK</v>
      </c>
    </row>
    <row r="702" spans="1:13" x14ac:dyDescent="0.25">
      <c r="A702">
        <v>1098</v>
      </c>
      <c r="B702" s="14" t="s">
        <v>1395</v>
      </c>
      <c r="C702">
        <v>27</v>
      </c>
      <c r="D702" s="14" t="s">
        <v>24</v>
      </c>
      <c r="E702" s="1">
        <v>46063</v>
      </c>
      <c r="F702" s="1">
        <v>45837</v>
      </c>
      <c r="G702" s="14" t="s">
        <v>1396</v>
      </c>
      <c r="H702" s="14" t="s">
        <v>21</v>
      </c>
      <c r="I702" s="14" t="s">
        <v>2680</v>
      </c>
      <c r="J702" s="14" t="str">
        <f>IF(messy_clinic_appointments[[#This Row],[billing_amount]] &lt; 200, "Low", IF(messy_clinic_appointments[[#This Row],[billing_amount]]&lt;= 400, "Medium", "High"))</f>
        <v>High</v>
      </c>
      <c r="K702" s="14" t="s">
        <v>2026</v>
      </c>
      <c r="L702" s="2">
        <f>DATEDIF(messy_clinic_appointments[[#This Row],[booking_date]],messy_clinic_appointments[[#This Row],[appointment_date]],"d")</f>
        <v>226</v>
      </c>
      <c r="M702" s="14" t="str">
        <f>IF(messy_clinic_appointments[[#This Row],[days_to_appointment]]&gt;365, "Review", "OK")</f>
        <v>OK</v>
      </c>
    </row>
    <row r="703" spans="1:13" x14ac:dyDescent="0.25">
      <c r="A703">
        <v>1021</v>
      </c>
      <c r="B703" s="14" t="s">
        <v>1397</v>
      </c>
      <c r="C703">
        <v>63</v>
      </c>
      <c r="D703" s="14" t="s">
        <v>2022</v>
      </c>
      <c r="E703" s="1">
        <v>45843</v>
      </c>
      <c r="F703" s="1">
        <v>45829</v>
      </c>
      <c r="G703" s="14" t="s">
        <v>1398</v>
      </c>
      <c r="H703" s="14" t="s">
        <v>18</v>
      </c>
      <c r="I703" s="14" t="s">
        <v>2681</v>
      </c>
      <c r="J703" s="14" t="str">
        <f>IF(messy_clinic_appointments[[#This Row],[billing_amount]] &lt; 200, "Low", IF(messy_clinic_appointments[[#This Row],[billing_amount]]&lt;= 400, "Medium", "High"))</f>
        <v>High</v>
      </c>
      <c r="K703" s="14" t="s">
        <v>2010</v>
      </c>
      <c r="L703" s="2">
        <f>DATEDIF(messy_clinic_appointments[[#This Row],[booking_date]],messy_clinic_appointments[[#This Row],[appointment_date]],"d")</f>
        <v>14</v>
      </c>
      <c r="M703" s="14" t="str">
        <f>IF(messy_clinic_appointments[[#This Row],[days_to_appointment]]&gt;365, "Review", "OK")</f>
        <v>OK</v>
      </c>
    </row>
    <row r="704" spans="1:13" x14ac:dyDescent="0.25">
      <c r="A704">
        <v>1085</v>
      </c>
      <c r="B704" s="14" t="s">
        <v>1399</v>
      </c>
      <c r="C704">
        <v>25</v>
      </c>
      <c r="D704" s="14" t="s">
        <v>2011</v>
      </c>
      <c r="E704" s="1">
        <v>45943</v>
      </c>
      <c r="F704" s="1">
        <v>45729</v>
      </c>
      <c r="G704" s="14" t="s">
        <v>1400</v>
      </c>
      <c r="H704" s="14" t="s">
        <v>21</v>
      </c>
      <c r="I704" s="14" t="s">
        <v>2682</v>
      </c>
      <c r="J704" s="14" t="str">
        <f>IF(messy_clinic_appointments[[#This Row],[billing_amount]] &lt; 200, "Low", IF(messy_clinic_appointments[[#This Row],[billing_amount]]&lt;= 400, "Medium", "High"))</f>
        <v>High</v>
      </c>
      <c r="K704" s="14" t="s">
        <v>28</v>
      </c>
      <c r="L704" s="2">
        <f>DATEDIF(messy_clinic_appointments[[#This Row],[booking_date]],messy_clinic_appointments[[#This Row],[appointment_date]],"d")</f>
        <v>214</v>
      </c>
      <c r="M704" s="14" t="str">
        <f>IF(messy_clinic_appointments[[#This Row],[days_to_appointment]]&gt;365, "Review", "OK")</f>
        <v>OK</v>
      </c>
    </row>
    <row r="705" spans="1:13" x14ac:dyDescent="0.25">
      <c r="A705">
        <v>1015</v>
      </c>
      <c r="B705" s="14" t="s">
        <v>1401</v>
      </c>
      <c r="C705">
        <v>84</v>
      </c>
      <c r="D705" s="14" t="s">
        <v>2039</v>
      </c>
      <c r="E705" s="1">
        <v>46106</v>
      </c>
      <c r="F705" s="1">
        <v>45900</v>
      </c>
      <c r="G705" s="14" t="s">
        <v>1402</v>
      </c>
      <c r="H705" s="14" t="s">
        <v>12</v>
      </c>
      <c r="I705" s="14" t="s">
        <v>2683</v>
      </c>
      <c r="J705" s="14" t="str">
        <f>IF(messy_clinic_appointments[[#This Row],[billing_amount]] &lt; 200, "Low", IF(messy_clinic_appointments[[#This Row],[billing_amount]]&lt;= 400, "Medium", "High"))</f>
        <v>High</v>
      </c>
      <c r="K705" s="14" t="s">
        <v>2010</v>
      </c>
      <c r="L705" s="2">
        <f>DATEDIF(messy_clinic_appointments[[#This Row],[booking_date]],messy_clinic_appointments[[#This Row],[appointment_date]],"d")</f>
        <v>206</v>
      </c>
      <c r="M705" s="14" t="str">
        <f>IF(messy_clinic_appointments[[#This Row],[days_to_appointment]]&gt;365, "Review", "OK")</f>
        <v>OK</v>
      </c>
    </row>
    <row r="706" spans="1:13" x14ac:dyDescent="0.25">
      <c r="A706">
        <v>1015</v>
      </c>
      <c r="B706" s="14" t="s">
        <v>1403</v>
      </c>
      <c r="C706">
        <v>86</v>
      </c>
      <c r="D706" s="14" t="s">
        <v>24</v>
      </c>
      <c r="E706" s="1">
        <v>45922</v>
      </c>
      <c r="F706" s="1">
        <v>45488</v>
      </c>
      <c r="G706" s="14" t="s">
        <v>1404</v>
      </c>
      <c r="H706" s="14" t="s">
        <v>15</v>
      </c>
      <c r="I706" s="14" t="s">
        <v>2684</v>
      </c>
      <c r="J706" s="14" t="str">
        <f>IF(messy_clinic_appointments[[#This Row],[billing_amount]] &lt; 200, "Low", IF(messy_clinic_appointments[[#This Row],[billing_amount]]&lt;= 400, "Medium", "High"))</f>
        <v>High</v>
      </c>
      <c r="K706" s="14" t="s">
        <v>28</v>
      </c>
      <c r="L706" s="2">
        <f>DATEDIF(messy_clinic_appointments[[#This Row],[booking_date]],messy_clinic_appointments[[#This Row],[appointment_date]],"d")</f>
        <v>434</v>
      </c>
      <c r="M706" s="14" t="str">
        <f>IF(messy_clinic_appointments[[#This Row],[days_to_appointment]]&gt;365, "Review", "OK")</f>
        <v>Review</v>
      </c>
    </row>
    <row r="707" spans="1:13" x14ac:dyDescent="0.25">
      <c r="A707">
        <v>1008</v>
      </c>
      <c r="B707" s="14" t="s">
        <v>1405</v>
      </c>
      <c r="C707">
        <v>40</v>
      </c>
      <c r="D707" s="14" t="s">
        <v>2039</v>
      </c>
      <c r="E707" s="1">
        <v>45960</v>
      </c>
      <c r="F707" s="1">
        <v>45504</v>
      </c>
      <c r="G707" s="14" t="s">
        <v>1406</v>
      </c>
      <c r="H707" s="14" t="s">
        <v>15</v>
      </c>
      <c r="I707" s="14" t="s">
        <v>2685</v>
      </c>
      <c r="J707" s="14" t="str">
        <f>IF(messy_clinic_appointments[[#This Row],[billing_amount]] &lt; 200, "Low", IF(messy_clinic_appointments[[#This Row],[billing_amount]]&lt;= 400, "Medium", "High"))</f>
        <v>High</v>
      </c>
      <c r="K707" s="14" t="s">
        <v>2026</v>
      </c>
      <c r="L707" s="2">
        <f>DATEDIF(messy_clinic_appointments[[#This Row],[booking_date]],messy_clinic_appointments[[#This Row],[appointment_date]],"d")</f>
        <v>456</v>
      </c>
      <c r="M707" s="14" t="str">
        <f>IF(messy_clinic_appointments[[#This Row],[days_to_appointment]]&gt;365, "Review", "OK")</f>
        <v>Review</v>
      </c>
    </row>
    <row r="708" spans="1:13" x14ac:dyDescent="0.25">
      <c r="A708">
        <v>1080</v>
      </c>
      <c r="B708" s="14" t="s">
        <v>1407</v>
      </c>
      <c r="C708">
        <v>78</v>
      </c>
      <c r="D708" s="14" t="s">
        <v>2022</v>
      </c>
      <c r="E708" s="1">
        <v>46055</v>
      </c>
      <c r="F708" s="1">
        <v>45975</v>
      </c>
      <c r="G708" s="14" t="s">
        <v>1408</v>
      </c>
      <c r="H708" s="14" t="s">
        <v>12</v>
      </c>
      <c r="I708" s="14" t="s">
        <v>2686</v>
      </c>
      <c r="J708" s="14" t="str">
        <f>IF(messy_clinic_appointments[[#This Row],[billing_amount]] &lt; 200, "Low", IF(messy_clinic_appointments[[#This Row],[billing_amount]]&lt;= 400, "Medium", "High"))</f>
        <v>High</v>
      </c>
      <c r="K708" s="14" t="s">
        <v>22</v>
      </c>
      <c r="L708" s="2">
        <f>DATEDIF(messy_clinic_appointments[[#This Row],[booking_date]],messy_clinic_appointments[[#This Row],[appointment_date]],"d")</f>
        <v>80</v>
      </c>
      <c r="M708" s="14" t="str">
        <f>IF(messy_clinic_appointments[[#This Row],[days_to_appointment]]&gt;365, "Review", "OK")</f>
        <v>OK</v>
      </c>
    </row>
    <row r="709" spans="1:13" x14ac:dyDescent="0.25">
      <c r="A709">
        <v>1067</v>
      </c>
      <c r="B709" s="14" t="s">
        <v>1409</v>
      </c>
      <c r="C709">
        <v>28</v>
      </c>
      <c r="D709" s="14" t="s">
        <v>50</v>
      </c>
      <c r="E709" s="1">
        <v>46029</v>
      </c>
      <c r="F709" s="1">
        <v>45892</v>
      </c>
      <c r="G709" s="14" t="s">
        <v>1410</v>
      </c>
      <c r="H709" s="14" t="s">
        <v>12</v>
      </c>
      <c r="I709" s="14" t="s">
        <v>2687</v>
      </c>
      <c r="J709" s="14" t="str">
        <f>IF(messy_clinic_appointments[[#This Row],[billing_amount]] &lt; 200, "Low", IF(messy_clinic_appointments[[#This Row],[billing_amount]]&lt;= 400, "Medium", "High"))</f>
        <v>High</v>
      </c>
      <c r="K709" s="14" t="s">
        <v>2013</v>
      </c>
      <c r="L709" s="2">
        <f>DATEDIF(messy_clinic_appointments[[#This Row],[booking_date]],messy_clinic_appointments[[#This Row],[appointment_date]],"d")</f>
        <v>137</v>
      </c>
      <c r="M709" s="14" t="str">
        <f>IF(messy_clinic_appointments[[#This Row],[days_to_appointment]]&gt;365, "Review", "OK")</f>
        <v>OK</v>
      </c>
    </row>
    <row r="710" spans="1:13" x14ac:dyDescent="0.25">
      <c r="A710">
        <v>1043</v>
      </c>
      <c r="B710" s="14" t="s">
        <v>1411</v>
      </c>
      <c r="C710">
        <v>80</v>
      </c>
      <c r="D710" s="14" t="s">
        <v>2011</v>
      </c>
      <c r="E710" s="1">
        <v>45928</v>
      </c>
      <c r="F710" s="1">
        <v>45534</v>
      </c>
      <c r="G710" s="14" t="s">
        <v>1412</v>
      </c>
      <c r="H710" s="14" t="s">
        <v>18</v>
      </c>
      <c r="I710" s="14" t="s">
        <v>2688</v>
      </c>
      <c r="J710" s="14" t="str">
        <f>IF(messy_clinic_appointments[[#This Row],[billing_amount]] &lt; 200, "Low", IF(messy_clinic_appointments[[#This Row],[billing_amount]]&lt;= 400, "Medium", "High"))</f>
        <v>High</v>
      </c>
      <c r="K710" s="14" t="s">
        <v>2010</v>
      </c>
      <c r="L710" s="2">
        <f>DATEDIF(messy_clinic_appointments[[#This Row],[booking_date]],messy_clinic_appointments[[#This Row],[appointment_date]],"d")</f>
        <v>394</v>
      </c>
      <c r="M710" s="14" t="str">
        <f>IF(messy_clinic_appointments[[#This Row],[days_to_appointment]]&gt;365, "Review", "OK")</f>
        <v>Review</v>
      </c>
    </row>
    <row r="711" spans="1:13" x14ac:dyDescent="0.25">
      <c r="A711">
        <v>1058</v>
      </c>
      <c r="B711" s="14" t="s">
        <v>1413</v>
      </c>
      <c r="C711">
        <v>34</v>
      </c>
      <c r="D711" s="14" t="s">
        <v>50</v>
      </c>
      <c r="E711" s="1">
        <v>45770</v>
      </c>
      <c r="F711" s="1">
        <v>45634</v>
      </c>
      <c r="G711" s="14" t="s">
        <v>1414</v>
      </c>
      <c r="H711" s="14" t="s">
        <v>15</v>
      </c>
      <c r="I711" s="14" t="s">
        <v>24</v>
      </c>
      <c r="J711" s="14" t="str">
        <f>IF(messy_clinic_appointments[[#This Row],[billing_amount]] &lt; 200, "Low", IF(messy_clinic_appointments[[#This Row],[billing_amount]]&lt;= 400, "Medium", "High"))</f>
        <v>High</v>
      </c>
      <c r="K711" s="14" t="s">
        <v>2010</v>
      </c>
      <c r="L711" s="2">
        <f>DATEDIF(messy_clinic_appointments[[#This Row],[booking_date]],messy_clinic_appointments[[#This Row],[appointment_date]],"d")</f>
        <v>136</v>
      </c>
      <c r="M711" s="14" t="str">
        <f>IF(messy_clinic_appointments[[#This Row],[days_to_appointment]]&gt;365, "Review", "OK")</f>
        <v>OK</v>
      </c>
    </row>
    <row r="712" spans="1:13" x14ac:dyDescent="0.25">
      <c r="A712">
        <v>1001</v>
      </c>
      <c r="B712" s="14" t="s">
        <v>1415</v>
      </c>
      <c r="C712">
        <v>35</v>
      </c>
      <c r="D712" s="14" t="s">
        <v>2022</v>
      </c>
      <c r="E712" s="1">
        <v>45852</v>
      </c>
      <c r="F712" s="1">
        <v>45475</v>
      </c>
      <c r="G712" s="14" t="s">
        <v>1416</v>
      </c>
      <c r="H712" s="14" t="s">
        <v>15</v>
      </c>
      <c r="I712" s="14" t="s">
        <v>2689</v>
      </c>
      <c r="J712" s="14" t="str">
        <f>IF(messy_clinic_appointments[[#This Row],[billing_amount]] &lt; 200, "Low", IF(messy_clinic_appointments[[#This Row],[billing_amount]]&lt;= 400, "Medium", "High"))</f>
        <v>High</v>
      </c>
      <c r="K712" s="14" t="s">
        <v>2039</v>
      </c>
      <c r="L712" s="2">
        <f>DATEDIF(messy_clinic_appointments[[#This Row],[booking_date]],messy_clinic_appointments[[#This Row],[appointment_date]],"d")</f>
        <v>377</v>
      </c>
      <c r="M712" s="14" t="str">
        <f>IF(messy_clinic_appointments[[#This Row],[days_to_appointment]]&gt;365, "Review", "OK")</f>
        <v>Review</v>
      </c>
    </row>
    <row r="713" spans="1:13" x14ac:dyDescent="0.25">
      <c r="A713">
        <v>1012</v>
      </c>
      <c r="B713" s="14" t="s">
        <v>1417</v>
      </c>
      <c r="C713">
        <v>36</v>
      </c>
      <c r="D713" s="14" t="s">
        <v>2010</v>
      </c>
      <c r="E713" s="1">
        <v>46106</v>
      </c>
      <c r="F713" s="1">
        <v>45415</v>
      </c>
      <c r="G713" s="14" t="s">
        <v>1418</v>
      </c>
      <c r="H713" s="14" t="s">
        <v>12</v>
      </c>
      <c r="I713" s="14" t="s">
        <v>2690</v>
      </c>
      <c r="J713" s="14" t="str">
        <f>IF(messy_clinic_appointments[[#This Row],[billing_amount]] &lt; 200, "Low", IF(messy_clinic_appointments[[#This Row],[billing_amount]]&lt;= 400, "Medium", "High"))</f>
        <v>High</v>
      </c>
      <c r="K713" s="14" t="s">
        <v>2026</v>
      </c>
      <c r="L713" s="2">
        <f>DATEDIF(messy_clinic_appointments[[#This Row],[booking_date]],messy_clinic_appointments[[#This Row],[appointment_date]],"d")</f>
        <v>691</v>
      </c>
      <c r="M713" s="14" t="str">
        <f>IF(messy_clinic_appointments[[#This Row],[days_to_appointment]]&gt;365, "Review", "OK")</f>
        <v>Review</v>
      </c>
    </row>
    <row r="714" spans="1:13" x14ac:dyDescent="0.25">
      <c r="A714">
        <v>1066</v>
      </c>
      <c r="B714" s="14" t="s">
        <v>1419</v>
      </c>
      <c r="C714">
        <v>65</v>
      </c>
      <c r="D714" s="14" t="s">
        <v>50</v>
      </c>
      <c r="E714" s="1">
        <v>45879</v>
      </c>
      <c r="F714" s="1">
        <v>45663</v>
      </c>
      <c r="G714" s="14" t="s">
        <v>1420</v>
      </c>
      <c r="H714" s="14" t="s">
        <v>15</v>
      </c>
      <c r="I714" s="14" t="s">
        <v>2691</v>
      </c>
      <c r="J714" s="14" t="str">
        <f>IF(messy_clinic_appointments[[#This Row],[billing_amount]] &lt; 200, "Low", IF(messy_clinic_appointments[[#This Row],[billing_amount]]&lt;= 400, "Medium", "High"))</f>
        <v>High</v>
      </c>
      <c r="K714" s="14" t="s">
        <v>28</v>
      </c>
      <c r="L714" s="2">
        <f>DATEDIF(messy_clinic_appointments[[#This Row],[booking_date]],messy_clinic_appointments[[#This Row],[appointment_date]],"d")</f>
        <v>216</v>
      </c>
      <c r="M714" s="14" t="str">
        <f>IF(messy_clinic_appointments[[#This Row],[days_to_appointment]]&gt;365, "Review", "OK")</f>
        <v>OK</v>
      </c>
    </row>
    <row r="715" spans="1:13" x14ac:dyDescent="0.25">
      <c r="A715">
        <v>1015</v>
      </c>
      <c r="B715" s="14" t="s">
        <v>1421</v>
      </c>
      <c r="C715">
        <v>29</v>
      </c>
      <c r="D715" s="14" t="s">
        <v>2022</v>
      </c>
      <c r="E715" s="1">
        <v>45819</v>
      </c>
      <c r="F715" s="1">
        <v>45475</v>
      </c>
      <c r="G715" s="14" t="s">
        <v>1422</v>
      </c>
      <c r="H715" s="14" t="s">
        <v>12</v>
      </c>
      <c r="I715" s="14" t="s">
        <v>2692</v>
      </c>
      <c r="J715" s="14" t="str">
        <f>IF(messy_clinic_appointments[[#This Row],[billing_amount]] &lt; 200, "Low", IF(messy_clinic_appointments[[#This Row],[billing_amount]]&lt;= 400, "Medium", "High"))</f>
        <v>High</v>
      </c>
      <c r="K715" s="14" t="s">
        <v>2013</v>
      </c>
      <c r="L715" s="2">
        <f>DATEDIF(messy_clinic_appointments[[#This Row],[booking_date]],messy_clinic_appointments[[#This Row],[appointment_date]],"d")</f>
        <v>344</v>
      </c>
      <c r="M715" s="14" t="str">
        <f>IF(messy_clinic_appointments[[#This Row],[days_to_appointment]]&gt;365, "Review", "OK")</f>
        <v>OK</v>
      </c>
    </row>
    <row r="716" spans="1:13" x14ac:dyDescent="0.25">
      <c r="A716">
        <v>1024</v>
      </c>
      <c r="B716" s="14" t="s">
        <v>1423</v>
      </c>
      <c r="C716">
        <v>22</v>
      </c>
      <c r="D716" s="14" t="s">
        <v>24</v>
      </c>
      <c r="E716" s="1">
        <v>45848</v>
      </c>
      <c r="F716" s="1">
        <v>45489</v>
      </c>
      <c r="G716" s="14" t="s">
        <v>1424</v>
      </c>
      <c r="H716" s="14" t="s">
        <v>18</v>
      </c>
      <c r="I716" s="14" t="s">
        <v>2693</v>
      </c>
      <c r="J716" s="14" t="str">
        <f>IF(messy_clinic_appointments[[#This Row],[billing_amount]] &lt; 200, "Low", IF(messy_clinic_appointments[[#This Row],[billing_amount]]&lt;= 400, "Medium", "High"))</f>
        <v>High</v>
      </c>
      <c r="K716" s="14" t="s">
        <v>2039</v>
      </c>
      <c r="L716" s="2">
        <f>DATEDIF(messy_clinic_appointments[[#This Row],[booking_date]],messy_clinic_appointments[[#This Row],[appointment_date]],"d")</f>
        <v>359</v>
      </c>
      <c r="M716" s="14" t="str">
        <f>IF(messy_clinic_appointments[[#This Row],[days_to_appointment]]&gt;365, "Review", "OK")</f>
        <v>OK</v>
      </c>
    </row>
    <row r="717" spans="1:13" x14ac:dyDescent="0.25">
      <c r="A717">
        <v>1013</v>
      </c>
      <c r="B717" s="14" t="s">
        <v>1425</v>
      </c>
      <c r="C717">
        <v>69</v>
      </c>
      <c r="D717" s="14" t="s">
        <v>50</v>
      </c>
      <c r="E717" s="1">
        <v>46043</v>
      </c>
      <c r="F717" s="1">
        <v>45444</v>
      </c>
      <c r="G717" s="14" t="s">
        <v>1426</v>
      </c>
      <c r="H717" s="14" t="s">
        <v>21</v>
      </c>
      <c r="I717" s="14" t="s">
        <v>2694</v>
      </c>
      <c r="J717" s="14" t="str">
        <f>IF(messy_clinic_appointments[[#This Row],[billing_amount]] &lt; 200, "Low", IF(messy_clinic_appointments[[#This Row],[billing_amount]]&lt;= 400, "Medium", "High"))</f>
        <v>High</v>
      </c>
      <c r="K717" s="14" t="s">
        <v>2010</v>
      </c>
      <c r="L717" s="2">
        <f>DATEDIF(messy_clinic_appointments[[#This Row],[booking_date]],messy_clinic_appointments[[#This Row],[appointment_date]],"d")</f>
        <v>599</v>
      </c>
      <c r="M717" s="14" t="str">
        <f>IF(messy_clinic_appointments[[#This Row],[days_to_appointment]]&gt;365, "Review", "OK")</f>
        <v>Review</v>
      </c>
    </row>
    <row r="718" spans="1:13" x14ac:dyDescent="0.25">
      <c r="A718">
        <v>1024</v>
      </c>
      <c r="B718" s="14" t="s">
        <v>1427</v>
      </c>
      <c r="C718">
        <v>35</v>
      </c>
      <c r="D718" s="14" t="s">
        <v>2014</v>
      </c>
      <c r="E718" s="1">
        <v>45886</v>
      </c>
      <c r="F718" s="1">
        <v>45875</v>
      </c>
      <c r="G718" s="14" t="s">
        <v>1428</v>
      </c>
      <c r="H718" s="14" t="s">
        <v>18</v>
      </c>
      <c r="I718" s="14" t="s">
        <v>2695</v>
      </c>
      <c r="J718" s="14" t="str">
        <f>IF(messy_clinic_appointments[[#This Row],[billing_amount]] &lt; 200, "Low", IF(messy_clinic_appointments[[#This Row],[billing_amount]]&lt;= 400, "Medium", "High"))</f>
        <v>High</v>
      </c>
      <c r="K718" s="14" t="s">
        <v>2010</v>
      </c>
      <c r="L718" s="2">
        <f>DATEDIF(messy_clinic_appointments[[#This Row],[booking_date]],messy_clinic_appointments[[#This Row],[appointment_date]],"d")</f>
        <v>11</v>
      </c>
      <c r="M718" s="14" t="str">
        <f>IF(messy_clinic_appointments[[#This Row],[days_to_appointment]]&gt;365, "Review", "OK")</f>
        <v>OK</v>
      </c>
    </row>
    <row r="719" spans="1:13" x14ac:dyDescent="0.25">
      <c r="A719">
        <v>1061</v>
      </c>
      <c r="B719" s="14" t="s">
        <v>1429</v>
      </c>
      <c r="C719">
        <v>59</v>
      </c>
      <c r="D719" s="14" t="s">
        <v>2011</v>
      </c>
      <c r="E719" s="1">
        <v>45942</v>
      </c>
      <c r="F719" s="1">
        <v>45823</v>
      </c>
      <c r="G719" s="14" t="s">
        <v>1430</v>
      </c>
      <c r="H719" s="14" t="s">
        <v>15</v>
      </c>
      <c r="I719" s="14" t="s">
        <v>2696</v>
      </c>
      <c r="J719" s="14" t="str">
        <f>IF(messy_clinic_appointments[[#This Row],[billing_amount]] &lt; 200, "Low", IF(messy_clinic_appointments[[#This Row],[billing_amount]]&lt;= 400, "Medium", "High"))</f>
        <v>High</v>
      </c>
      <c r="K719" s="14" t="s">
        <v>2013</v>
      </c>
      <c r="L719" s="2">
        <f>DATEDIF(messy_clinic_appointments[[#This Row],[booking_date]],messy_clinic_appointments[[#This Row],[appointment_date]],"d")</f>
        <v>119</v>
      </c>
      <c r="M719" s="14" t="str">
        <f>IF(messy_clinic_appointments[[#This Row],[days_to_appointment]]&gt;365, "Review", "OK")</f>
        <v>OK</v>
      </c>
    </row>
    <row r="720" spans="1:13" x14ac:dyDescent="0.25">
      <c r="A720">
        <v>1095</v>
      </c>
      <c r="B720" s="14" t="s">
        <v>1431</v>
      </c>
      <c r="C720">
        <v>56</v>
      </c>
      <c r="D720" s="14" t="s">
        <v>2010</v>
      </c>
      <c r="E720" s="1">
        <v>45812</v>
      </c>
      <c r="F720" s="1">
        <v>45441</v>
      </c>
      <c r="G720" s="14" t="s">
        <v>1432</v>
      </c>
      <c r="H720" s="14" t="s">
        <v>12</v>
      </c>
      <c r="I720" s="14" t="s">
        <v>2697</v>
      </c>
      <c r="J720" s="14" t="str">
        <f>IF(messy_clinic_appointments[[#This Row],[billing_amount]] &lt; 200, "Low", IF(messy_clinic_appointments[[#This Row],[billing_amount]]&lt;= 400, "Medium", "High"))</f>
        <v>High</v>
      </c>
      <c r="K720" s="14" t="s">
        <v>2013</v>
      </c>
      <c r="L720" s="2">
        <f>DATEDIF(messy_clinic_appointments[[#This Row],[booking_date]],messy_clinic_appointments[[#This Row],[appointment_date]],"d")</f>
        <v>371</v>
      </c>
      <c r="M720" s="14" t="str">
        <f>IF(messy_clinic_appointments[[#This Row],[days_to_appointment]]&gt;365, "Review", "OK")</f>
        <v>Review</v>
      </c>
    </row>
    <row r="721" spans="1:13" x14ac:dyDescent="0.25">
      <c r="A721">
        <v>1048</v>
      </c>
      <c r="B721" s="14" t="s">
        <v>1433</v>
      </c>
      <c r="C721">
        <v>67</v>
      </c>
      <c r="D721" s="14" t="s">
        <v>2022</v>
      </c>
      <c r="E721" s="1">
        <v>45988</v>
      </c>
      <c r="F721" s="1">
        <v>45503</v>
      </c>
      <c r="G721" s="14" t="s">
        <v>1434</v>
      </c>
      <c r="H721" s="14" t="s">
        <v>18</v>
      </c>
      <c r="I721" s="14" t="s">
        <v>2698</v>
      </c>
      <c r="J721" s="14" t="str">
        <f>IF(messy_clinic_appointments[[#This Row],[billing_amount]] &lt; 200, "Low", IF(messy_clinic_appointments[[#This Row],[billing_amount]]&lt;= 400, "Medium", "High"))</f>
        <v>High</v>
      </c>
      <c r="K721" s="14" t="s">
        <v>22</v>
      </c>
      <c r="L721" s="2">
        <f>DATEDIF(messy_clinic_appointments[[#This Row],[booking_date]],messy_clinic_appointments[[#This Row],[appointment_date]],"d")</f>
        <v>485</v>
      </c>
      <c r="M721" s="14" t="str">
        <f>IF(messy_clinic_appointments[[#This Row],[days_to_appointment]]&gt;365, "Review", "OK")</f>
        <v>Review</v>
      </c>
    </row>
    <row r="722" spans="1:13" x14ac:dyDescent="0.25">
      <c r="A722">
        <v>1033</v>
      </c>
      <c r="B722" s="14" t="s">
        <v>1435</v>
      </c>
      <c r="C722">
        <v>64</v>
      </c>
      <c r="D722" s="14" t="s">
        <v>2011</v>
      </c>
      <c r="E722" s="1">
        <v>45916</v>
      </c>
      <c r="F722" s="1">
        <v>45680</v>
      </c>
      <c r="G722" s="14" t="s">
        <v>1436</v>
      </c>
      <c r="H722" s="14" t="s">
        <v>21</v>
      </c>
      <c r="I722" s="14" t="s">
        <v>2699</v>
      </c>
      <c r="J722" s="14" t="str">
        <f>IF(messy_clinic_appointments[[#This Row],[billing_amount]] &lt; 200, "Low", IF(messy_clinic_appointments[[#This Row],[billing_amount]]&lt;= 400, "Medium", "High"))</f>
        <v>High</v>
      </c>
      <c r="K722" s="14" t="s">
        <v>2010</v>
      </c>
      <c r="L722" s="2">
        <f>DATEDIF(messy_clinic_appointments[[#This Row],[booking_date]],messy_clinic_appointments[[#This Row],[appointment_date]],"d")</f>
        <v>236</v>
      </c>
      <c r="M722" s="14" t="str">
        <f>IF(messy_clinic_appointments[[#This Row],[days_to_appointment]]&gt;365, "Review", "OK")</f>
        <v>OK</v>
      </c>
    </row>
    <row r="723" spans="1:13" x14ac:dyDescent="0.25">
      <c r="A723">
        <v>1085</v>
      </c>
      <c r="B723" s="14" t="s">
        <v>1437</v>
      </c>
      <c r="C723">
        <v>22</v>
      </c>
      <c r="D723" s="14" t="s">
        <v>2008</v>
      </c>
      <c r="E723" s="1">
        <v>45932</v>
      </c>
      <c r="F723" s="1">
        <v>45842</v>
      </c>
      <c r="G723" s="14" t="s">
        <v>1438</v>
      </c>
      <c r="H723" s="14" t="s">
        <v>21</v>
      </c>
      <c r="I723" s="14" t="s">
        <v>2700</v>
      </c>
      <c r="J723" s="14" t="str">
        <f>IF(messy_clinic_appointments[[#This Row],[billing_amount]] &lt; 200, "Low", IF(messy_clinic_appointments[[#This Row],[billing_amount]]&lt;= 400, "Medium", "High"))</f>
        <v>High</v>
      </c>
      <c r="K723" s="14" t="s">
        <v>2039</v>
      </c>
      <c r="L723" s="2">
        <f>DATEDIF(messy_clinic_appointments[[#This Row],[booking_date]],messy_clinic_appointments[[#This Row],[appointment_date]],"d")</f>
        <v>90</v>
      </c>
      <c r="M723" s="14" t="str">
        <f>IF(messy_clinic_appointments[[#This Row],[days_to_appointment]]&gt;365, "Review", "OK")</f>
        <v>OK</v>
      </c>
    </row>
    <row r="724" spans="1:13" x14ac:dyDescent="0.25">
      <c r="A724">
        <v>1003</v>
      </c>
      <c r="B724" s="14" t="s">
        <v>1439</v>
      </c>
      <c r="C724">
        <v>89</v>
      </c>
      <c r="D724" s="14" t="s">
        <v>30</v>
      </c>
      <c r="E724" s="1">
        <v>46013</v>
      </c>
      <c r="F724" s="1">
        <v>45724</v>
      </c>
      <c r="G724" s="14" t="s">
        <v>1440</v>
      </c>
      <c r="H724" s="14" t="s">
        <v>21</v>
      </c>
      <c r="I724" s="14" t="s">
        <v>2701</v>
      </c>
      <c r="J724" s="14" t="str">
        <f>IF(messy_clinic_appointments[[#This Row],[billing_amount]] &lt; 200, "Low", IF(messy_clinic_appointments[[#This Row],[billing_amount]]&lt;= 400, "Medium", "High"))</f>
        <v>High</v>
      </c>
      <c r="K724" s="14" t="s">
        <v>28</v>
      </c>
      <c r="L724" s="2">
        <f>DATEDIF(messy_clinic_appointments[[#This Row],[booking_date]],messy_clinic_appointments[[#This Row],[appointment_date]],"d")</f>
        <v>289</v>
      </c>
      <c r="M724" s="14" t="str">
        <f>IF(messy_clinic_appointments[[#This Row],[days_to_appointment]]&gt;365, "Review", "OK")</f>
        <v>OK</v>
      </c>
    </row>
    <row r="725" spans="1:13" x14ac:dyDescent="0.25">
      <c r="A725">
        <v>1030</v>
      </c>
      <c r="B725" s="14" t="s">
        <v>1441</v>
      </c>
      <c r="C725">
        <v>72</v>
      </c>
      <c r="D725" s="14" t="s">
        <v>2011</v>
      </c>
      <c r="E725" s="1">
        <v>45787</v>
      </c>
      <c r="F725" s="1">
        <v>45715</v>
      </c>
      <c r="G725" s="14" t="s">
        <v>825</v>
      </c>
      <c r="H725" s="14" t="s">
        <v>18</v>
      </c>
      <c r="I725" s="14" t="s">
        <v>2702</v>
      </c>
      <c r="J725" s="14" t="str">
        <f>IF(messy_clinic_appointments[[#This Row],[billing_amount]] &lt; 200, "Low", IF(messy_clinic_appointments[[#This Row],[billing_amount]]&lt;= 400, "Medium", "High"))</f>
        <v>High</v>
      </c>
      <c r="K725" s="14" t="s">
        <v>22</v>
      </c>
      <c r="L725" s="2">
        <f>DATEDIF(messy_clinic_appointments[[#This Row],[booking_date]],messy_clinic_appointments[[#This Row],[appointment_date]],"d")</f>
        <v>72</v>
      </c>
      <c r="M725" s="14" t="str">
        <f>IF(messy_clinic_appointments[[#This Row],[days_to_appointment]]&gt;365, "Review", "OK")</f>
        <v>OK</v>
      </c>
    </row>
    <row r="726" spans="1:13" x14ac:dyDescent="0.25">
      <c r="A726">
        <v>1083</v>
      </c>
      <c r="B726" s="14" t="s">
        <v>1442</v>
      </c>
      <c r="C726">
        <v>40</v>
      </c>
      <c r="D726" s="14" t="s">
        <v>2008</v>
      </c>
      <c r="E726" s="1">
        <v>45966</v>
      </c>
      <c r="F726" s="1">
        <v>45519</v>
      </c>
      <c r="G726" s="14" t="s">
        <v>1443</v>
      </c>
      <c r="H726" s="14" t="s">
        <v>15</v>
      </c>
      <c r="I726" s="14" t="s">
        <v>2703</v>
      </c>
      <c r="J726" s="14" t="str">
        <f>IF(messy_clinic_appointments[[#This Row],[billing_amount]] &lt; 200, "Low", IF(messy_clinic_appointments[[#This Row],[billing_amount]]&lt;= 400, "Medium", "High"))</f>
        <v>High</v>
      </c>
      <c r="K726" s="14" t="s">
        <v>2039</v>
      </c>
      <c r="L726" s="2">
        <f>DATEDIF(messy_clinic_appointments[[#This Row],[booking_date]],messy_clinic_appointments[[#This Row],[appointment_date]],"d")</f>
        <v>447</v>
      </c>
      <c r="M726" s="14" t="str">
        <f>IF(messy_clinic_appointments[[#This Row],[days_to_appointment]]&gt;365, "Review", "OK")</f>
        <v>Review</v>
      </c>
    </row>
    <row r="727" spans="1:13" x14ac:dyDescent="0.25">
      <c r="A727">
        <v>1004</v>
      </c>
      <c r="B727" s="14" t="s">
        <v>1444</v>
      </c>
      <c r="C727">
        <v>36</v>
      </c>
      <c r="D727" s="14" t="s">
        <v>2039</v>
      </c>
      <c r="E727" s="1">
        <v>46047</v>
      </c>
      <c r="F727" s="1">
        <v>45595</v>
      </c>
      <c r="G727" s="14" t="s">
        <v>1445</v>
      </c>
      <c r="H727" s="14" t="s">
        <v>12</v>
      </c>
      <c r="I727" s="14" t="s">
        <v>2704</v>
      </c>
      <c r="J727" s="14" t="str">
        <f>IF(messy_clinic_appointments[[#This Row],[billing_amount]] &lt; 200, "Low", IF(messy_clinic_appointments[[#This Row],[billing_amount]]&lt;= 400, "Medium", "High"))</f>
        <v>High</v>
      </c>
      <c r="K727" s="14" t="s">
        <v>28</v>
      </c>
      <c r="L727" s="2">
        <f>DATEDIF(messy_clinic_appointments[[#This Row],[booking_date]],messy_clinic_appointments[[#This Row],[appointment_date]],"d")</f>
        <v>452</v>
      </c>
      <c r="M727" s="14" t="str">
        <f>IF(messy_clinic_appointments[[#This Row],[days_to_appointment]]&gt;365, "Review", "OK")</f>
        <v>Review</v>
      </c>
    </row>
    <row r="728" spans="1:13" x14ac:dyDescent="0.25">
      <c r="A728">
        <v>1051</v>
      </c>
      <c r="B728" s="14" t="s">
        <v>1446</v>
      </c>
      <c r="C728">
        <v>71</v>
      </c>
      <c r="D728" s="14" t="s">
        <v>30</v>
      </c>
      <c r="E728" s="1">
        <v>46049</v>
      </c>
      <c r="F728" s="1">
        <v>45723</v>
      </c>
      <c r="G728" s="14" t="s">
        <v>1447</v>
      </c>
      <c r="H728" s="14" t="s">
        <v>12</v>
      </c>
      <c r="I728" s="14" t="s">
        <v>2705</v>
      </c>
      <c r="J728" s="14" t="str">
        <f>IF(messy_clinic_appointments[[#This Row],[billing_amount]] &lt; 200, "Low", IF(messy_clinic_appointments[[#This Row],[billing_amount]]&lt;= 400, "Medium", "High"))</f>
        <v>High</v>
      </c>
      <c r="K728" s="14" t="s">
        <v>2010</v>
      </c>
      <c r="L728" s="2">
        <f>DATEDIF(messy_clinic_appointments[[#This Row],[booking_date]],messy_clinic_appointments[[#This Row],[appointment_date]],"d")</f>
        <v>326</v>
      </c>
      <c r="M728" s="14" t="str">
        <f>IF(messy_clinic_appointments[[#This Row],[days_to_appointment]]&gt;365, "Review", "OK")</f>
        <v>OK</v>
      </c>
    </row>
    <row r="729" spans="1:13" x14ac:dyDescent="0.25">
      <c r="A729">
        <v>1059</v>
      </c>
      <c r="B729" s="14" t="s">
        <v>1448</v>
      </c>
      <c r="C729">
        <v>81</v>
      </c>
      <c r="D729" s="14" t="s">
        <v>30</v>
      </c>
      <c r="E729" s="1">
        <v>45744</v>
      </c>
      <c r="F729" s="1">
        <v>45704</v>
      </c>
      <c r="G729" s="14" t="s">
        <v>1449</v>
      </c>
      <c r="H729" s="14" t="s">
        <v>12</v>
      </c>
      <c r="I729" s="14" t="s">
        <v>2706</v>
      </c>
      <c r="J729" s="14" t="str">
        <f>IF(messy_clinic_appointments[[#This Row],[billing_amount]] &lt; 200, "Low", IF(messy_clinic_appointments[[#This Row],[billing_amount]]&lt;= 400, "Medium", "High"))</f>
        <v>High</v>
      </c>
      <c r="K729" s="14" t="s">
        <v>22</v>
      </c>
      <c r="L729" s="2">
        <f>DATEDIF(messy_clinic_appointments[[#This Row],[booking_date]],messy_clinic_appointments[[#This Row],[appointment_date]],"d")</f>
        <v>40</v>
      </c>
      <c r="M729" s="14" t="str">
        <f>IF(messy_clinic_appointments[[#This Row],[days_to_appointment]]&gt;365, "Review", "OK")</f>
        <v>OK</v>
      </c>
    </row>
    <row r="730" spans="1:13" x14ac:dyDescent="0.25">
      <c r="A730">
        <v>1044</v>
      </c>
      <c r="B730" s="14" t="s">
        <v>1450</v>
      </c>
      <c r="C730">
        <v>21</v>
      </c>
      <c r="D730" s="14" t="s">
        <v>2010</v>
      </c>
      <c r="E730" s="1">
        <v>45765</v>
      </c>
      <c r="F730" s="1">
        <v>45559</v>
      </c>
      <c r="G730" s="14" t="s">
        <v>1451</v>
      </c>
      <c r="H730" s="14" t="s">
        <v>21</v>
      </c>
      <c r="I730" s="14" t="s">
        <v>2707</v>
      </c>
      <c r="J730" s="14" t="str">
        <f>IF(messy_clinic_appointments[[#This Row],[billing_amount]] &lt; 200, "Low", IF(messy_clinic_appointments[[#This Row],[billing_amount]]&lt;= 400, "Medium", "High"))</f>
        <v>High</v>
      </c>
      <c r="K730" s="14" t="s">
        <v>2013</v>
      </c>
      <c r="L730" s="2">
        <f>DATEDIF(messy_clinic_appointments[[#This Row],[booking_date]],messy_clinic_appointments[[#This Row],[appointment_date]],"d")</f>
        <v>206</v>
      </c>
      <c r="M730" s="14" t="str">
        <f>IF(messy_clinic_appointments[[#This Row],[days_to_appointment]]&gt;365, "Review", "OK")</f>
        <v>OK</v>
      </c>
    </row>
    <row r="731" spans="1:13" x14ac:dyDescent="0.25">
      <c r="A731">
        <v>1068</v>
      </c>
      <c r="B731" s="14" t="s">
        <v>1452</v>
      </c>
      <c r="C731">
        <v>87</v>
      </c>
      <c r="D731" s="14" t="s">
        <v>24</v>
      </c>
      <c r="E731" s="1">
        <v>45899</v>
      </c>
      <c r="F731" s="1">
        <v>45641</v>
      </c>
      <c r="G731" s="14" t="s">
        <v>1453</v>
      </c>
      <c r="H731" s="14" t="s">
        <v>21</v>
      </c>
      <c r="I731" s="14" t="s">
        <v>2708</v>
      </c>
      <c r="J731" s="14" t="str">
        <f>IF(messy_clinic_appointments[[#This Row],[billing_amount]] &lt; 200, "Low", IF(messy_clinic_appointments[[#This Row],[billing_amount]]&lt;= 400, "Medium", "High"))</f>
        <v>High</v>
      </c>
      <c r="K731" s="14" t="s">
        <v>2026</v>
      </c>
      <c r="L731" s="2">
        <f>DATEDIF(messy_clinic_appointments[[#This Row],[booking_date]],messy_clinic_appointments[[#This Row],[appointment_date]],"d")</f>
        <v>258</v>
      </c>
      <c r="M731" s="14" t="str">
        <f>IF(messy_clinic_appointments[[#This Row],[days_to_appointment]]&gt;365, "Review", "OK")</f>
        <v>OK</v>
      </c>
    </row>
    <row r="732" spans="1:13" x14ac:dyDescent="0.25">
      <c r="A732">
        <v>1024</v>
      </c>
      <c r="B732" s="14" t="s">
        <v>1454</v>
      </c>
      <c r="C732">
        <v>60</v>
      </c>
      <c r="D732" s="14" t="s">
        <v>2008</v>
      </c>
      <c r="E732" s="1">
        <v>45858</v>
      </c>
      <c r="F732" s="1">
        <v>45617</v>
      </c>
      <c r="G732" s="14" t="s">
        <v>1455</v>
      </c>
      <c r="H732" s="14" t="s">
        <v>12</v>
      </c>
      <c r="I732" s="14" t="s">
        <v>2709</v>
      </c>
      <c r="J732" s="14" t="str">
        <f>IF(messy_clinic_appointments[[#This Row],[billing_amount]] &lt; 200, "Low", IF(messy_clinic_appointments[[#This Row],[billing_amount]]&lt;= 400, "Medium", "High"))</f>
        <v>High</v>
      </c>
      <c r="K732" s="14" t="s">
        <v>22</v>
      </c>
      <c r="L732" s="2">
        <f>DATEDIF(messy_clinic_appointments[[#This Row],[booking_date]],messy_clinic_appointments[[#This Row],[appointment_date]],"d")</f>
        <v>241</v>
      </c>
      <c r="M732" s="14" t="str">
        <f>IF(messy_clinic_appointments[[#This Row],[days_to_appointment]]&gt;365, "Review", "OK")</f>
        <v>OK</v>
      </c>
    </row>
    <row r="733" spans="1:13" x14ac:dyDescent="0.25">
      <c r="A733">
        <v>1010</v>
      </c>
      <c r="B733" s="14" t="s">
        <v>1456</v>
      </c>
      <c r="C733">
        <v>72</v>
      </c>
      <c r="D733" s="14" t="s">
        <v>2011</v>
      </c>
      <c r="E733" s="1">
        <v>46069</v>
      </c>
      <c r="F733" s="1">
        <v>45480</v>
      </c>
      <c r="G733" s="14" t="s">
        <v>1457</v>
      </c>
      <c r="H733" s="14" t="s">
        <v>21</v>
      </c>
      <c r="I733" s="14" t="s">
        <v>2710</v>
      </c>
      <c r="J733" s="14" t="str">
        <f>IF(messy_clinic_appointments[[#This Row],[billing_amount]] &lt; 200, "Low", IF(messy_clinic_appointments[[#This Row],[billing_amount]]&lt;= 400, "Medium", "High"))</f>
        <v>High</v>
      </c>
      <c r="K733" s="14" t="s">
        <v>22</v>
      </c>
      <c r="L733" s="2">
        <f>DATEDIF(messy_clinic_appointments[[#This Row],[booking_date]],messy_clinic_appointments[[#This Row],[appointment_date]],"d")</f>
        <v>589</v>
      </c>
      <c r="M733" s="14" t="str">
        <f>IF(messy_clinic_appointments[[#This Row],[days_to_appointment]]&gt;365, "Review", "OK")</f>
        <v>Review</v>
      </c>
    </row>
    <row r="734" spans="1:13" x14ac:dyDescent="0.25">
      <c r="A734">
        <v>1099</v>
      </c>
      <c r="B734" s="14" t="s">
        <v>1458</v>
      </c>
      <c r="C734">
        <v>25</v>
      </c>
      <c r="D734" s="14" t="s">
        <v>2010</v>
      </c>
      <c r="E734" s="1">
        <v>45768</v>
      </c>
      <c r="F734" s="1">
        <v>45555</v>
      </c>
      <c r="G734" s="14" t="s">
        <v>1459</v>
      </c>
      <c r="H734" s="14" t="s">
        <v>12</v>
      </c>
      <c r="I734" s="14" t="s">
        <v>2711</v>
      </c>
      <c r="J734" s="14" t="str">
        <f>IF(messy_clinic_appointments[[#This Row],[billing_amount]] &lt; 200, "Low", IF(messy_clinic_appointments[[#This Row],[billing_amount]]&lt;= 400, "Medium", "High"))</f>
        <v>High</v>
      </c>
      <c r="K734" s="14" t="s">
        <v>22</v>
      </c>
      <c r="L734" s="2">
        <f>DATEDIF(messy_clinic_appointments[[#This Row],[booking_date]],messy_clinic_appointments[[#This Row],[appointment_date]],"d")</f>
        <v>213</v>
      </c>
      <c r="M734" s="14" t="str">
        <f>IF(messy_clinic_appointments[[#This Row],[days_to_appointment]]&gt;365, "Review", "OK")</f>
        <v>OK</v>
      </c>
    </row>
    <row r="735" spans="1:13" x14ac:dyDescent="0.25">
      <c r="A735">
        <v>1060</v>
      </c>
      <c r="B735" s="14" t="s">
        <v>1460</v>
      </c>
      <c r="C735">
        <v>39</v>
      </c>
      <c r="D735" s="14" t="s">
        <v>50</v>
      </c>
      <c r="E735" s="1">
        <v>46031</v>
      </c>
      <c r="F735" s="1">
        <v>45828</v>
      </c>
      <c r="G735" s="14" t="s">
        <v>1461</v>
      </c>
      <c r="H735" s="14" t="s">
        <v>12</v>
      </c>
      <c r="I735" s="14" t="s">
        <v>2712</v>
      </c>
      <c r="J735" s="14" t="str">
        <f>IF(messy_clinic_appointments[[#This Row],[billing_amount]] &lt; 200, "Low", IF(messy_clinic_appointments[[#This Row],[billing_amount]]&lt;= 400, "Medium", "High"))</f>
        <v>High</v>
      </c>
      <c r="K735" s="14" t="s">
        <v>2039</v>
      </c>
      <c r="L735" s="2">
        <f>DATEDIF(messy_clinic_appointments[[#This Row],[booking_date]],messy_clinic_appointments[[#This Row],[appointment_date]],"d")</f>
        <v>203</v>
      </c>
      <c r="M735" s="14" t="str">
        <f>IF(messy_clinic_appointments[[#This Row],[days_to_appointment]]&gt;365, "Review", "OK")</f>
        <v>OK</v>
      </c>
    </row>
    <row r="736" spans="1:13" x14ac:dyDescent="0.25">
      <c r="A736">
        <v>1044</v>
      </c>
      <c r="B736" s="14" t="s">
        <v>1462</v>
      </c>
      <c r="C736">
        <v>63</v>
      </c>
      <c r="D736" s="14" t="s">
        <v>2008</v>
      </c>
      <c r="E736" s="1">
        <v>45919</v>
      </c>
      <c r="F736" s="1">
        <v>45695</v>
      </c>
      <c r="G736" s="14" t="s">
        <v>1463</v>
      </c>
      <c r="H736" s="14" t="s">
        <v>21</v>
      </c>
      <c r="I736" s="14" t="s">
        <v>2713</v>
      </c>
      <c r="J736" s="14" t="str">
        <f>IF(messy_clinic_appointments[[#This Row],[billing_amount]] &lt; 200, "Low", IF(messy_clinic_appointments[[#This Row],[billing_amount]]&lt;= 400, "Medium", "High"))</f>
        <v>High</v>
      </c>
      <c r="K736" s="14" t="s">
        <v>2026</v>
      </c>
      <c r="L736" s="2">
        <f>DATEDIF(messy_clinic_appointments[[#This Row],[booking_date]],messy_clinic_appointments[[#This Row],[appointment_date]],"d")</f>
        <v>224</v>
      </c>
      <c r="M736" s="14" t="str">
        <f>IF(messy_clinic_appointments[[#This Row],[days_to_appointment]]&gt;365, "Review", "OK")</f>
        <v>OK</v>
      </c>
    </row>
    <row r="737" spans="1:13" x14ac:dyDescent="0.25">
      <c r="A737">
        <v>1047</v>
      </c>
      <c r="B737" s="14" t="s">
        <v>1464</v>
      </c>
      <c r="C737">
        <v>33</v>
      </c>
      <c r="D737" s="14" t="s">
        <v>2010</v>
      </c>
      <c r="E737" s="1">
        <v>46071</v>
      </c>
      <c r="F737" s="1">
        <v>45445</v>
      </c>
      <c r="G737" s="14" t="s">
        <v>1465</v>
      </c>
      <c r="H737" s="14" t="s">
        <v>21</v>
      </c>
      <c r="I737" s="14" t="s">
        <v>2714</v>
      </c>
      <c r="J737" s="14" t="str">
        <f>IF(messy_clinic_appointments[[#This Row],[billing_amount]] &lt; 200, "Low", IF(messy_clinic_appointments[[#This Row],[billing_amount]]&lt;= 400, "Medium", "High"))</f>
        <v>High</v>
      </c>
      <c r="K737" s="14" t="s">
        <v>2010</v>
      </c>
      <c r="L737" s="2">
        <f>DATEDIF(messy_clinic_appointments[[#This Row],[booking_date]],messy_clinic_appointments[[#This Row],[appointment_date]],"d")</f>
        <v>626</v>
      </c>
      <c r="M737" s="14" t="str">
        <f>IF(messy_clinic_appointments[[#This Row],[days_to_appointment]]&gt;365, "Review", "OK")</f>
        <v>Review</v>
      </c>
    </row>
    <row r="738" spans="1:13" x14ac:dyDescent="0.25">
      <c r="A738">
        <v>1063</v>
      </c>
      <c r="B738" s="14" t="s">
        <v>1466</v>
      </c>
      <c r="C738">
        <v>88</v>
      </c>
      <c r="D738" s="14" t="s">
        <v>30</v>
      </c>
      <c r="E738" s="1">
        <v>45995</v>
      </c>
      <c r="F738" s="1">
        <v>45941</v>
      </c>
      <c r="G738" s="14" t="s">
        <v>1467</v>
      </c>
      <c r="H738" s="14" t="s">
        <v>15</v>
      </c>
      <c r="I738" s="14" t="s">
        <v>2715</v>
      </c>
      <c r="J738" s="14" t="str">
        <f>IF(messy_clinic_appointments[[#This Row],[billing_amount]] &lt; 200, "Low", IF(messy_clinic_appointments[[#This Row],[billing_amount]]&lt;= 400, "Medium", "High"))</f>
        <v>High</v>
      </c>
      <c r="K738" s="14" t="s">
        <v>22</v>
      </c>
      <c r="L738" s="2">
        <f>DATEDIF(messy_clinic_appointments[[#This Row],[booking_date]],messy_clinic_appointments[[#This Row],[appointment_date]],"d")</f>
        <v>54</v>
      </c>
      <c r="M738" s="14" t="str">
        <f>IF(messy_clinic_appointments[[#This Row],[days_to_appointment]]&gt;365, "Review", "OK")</f>
        <v>OK</v>
      </c>
    </row>
    <row r="739" spans="1:13" x14ac:dyDescent="0.25">
      <c r="A739">
        <v>1036</v>
      </c>
      <c r="B739" s="14" t="s">
        <v>1468</v>
      </c>
      <c r="C739">
        <v>44</v>
      </c>
      <c r="D739" s="14" t="s">
        <v>2010</v>
      </c>
      <c r="E739" s="1">
        <v>45943</v>
      </c>
      <c r="F739" s="1">
        <v>45459</v>
      </c>
      <c r="G739" s="14" t="s">
        <v>1469</v>
      </c>
      <c r="H739" s="14" t="s">
        <v>15</v>
      </c>
      <c r="I739" s="14" t="s">
        <v>2716</v>
      </c>
      <c r="J739" s="14" t="str">
        <f>IF(messy_clinic_appointments[[#This Row],[billing_amount]] &lt; 200, "Low", IF(messy_clinic_appointments[[#This Row],[billing_amount]]&lt;= 400, "Medium", "High"))</f>
        <v>High</v>
      </c>
      <c r="K739" s="14" t="s">
        <v>2010</v>
      </c>
      <c r="L739" s="2">
        <f>DATEDIF(messy_clinic_appointments[[#This Row],[booking_date]],messy_clinic_appointments[[#This Row],[appointment_date]],"d")</f>
        <v>484</v>
      </c>
      <c r="M739" s="14" t="str">
        <f>IF(messy_clinic_appointments[[#This Row],[days_to_appointment]]&gt;365, "Review", "OK")</f>
        <v>Review</v>
      </c>
    </row>
    <row r="740" spans="1:13" x14ac:dyDescent="0.25">
      <c r="A740">
        <v>1002</v>
      </c>
      <c r="B740" s="14" t="s">
        <v>1470</v>
      </c>
      <c r="C740">
        <v>28</v>
      </c>
      <c r="D740" s="14" t="s">
        <v>2039</v>
      </c>
      <c r="E740" s="1">
        <v>45810</v>
      </c>
      <c r="F740" s="1">
        <v>45464</v>
      </c>
      <c r="G740" s="14" t="s">
        <v>1471</v>
      </c>
      <c r="H740" s="14" t="s">
        <v>18</v>
      </c>
      <c r="I740" s="14" t="s">
        <v>2717</v>
      </c>
      <c r="J740" s="14" t="str">
        <f>IF(messy_clinic_appointments[[#This Row],[billing_amount]] &lt; 200, "Low", IF(messy_clinic_appointments[[#This Row],[billing_amount]]&lt;= 400, "Medium", "High"))</f>
        <v>High</v>
      </c>
      <c r="K740" s="14" t="s">
        <v>2039</v>
      </c>
      <c r="L740" s="2">
        <f>DATEDIF(messy_clinic_appointments[[#This Row],[booking_date]],messy_clinic_appointments[[#This Row],[appointment_date]],"d")</f>
        <v>346</v>
      </c>
      <c r="M740" s="14" t="str">
        <f>IF(messy_clinic_appointments[[#This Row],[days_to_appointment]]&gt;365, "Review", "OK")</f>
        <v>OK</v>
      </c>
    </row>
    <row r="741" spans="1:13" x14ac:dyDescent="0.25">
      <c r="A741">
        <v>1075</v>
      </c>
      <c r="B741" s="14" t="s">
        <v>1472</v>
      </c>
      <c r="C741">
        <v>25</v>
      </c>
      <c r="D741" s="14" t="s">
        <v>2008</v>
      </c>
      <c r="E741" s="1">
        <v>45903</v>
      </c>
      <c r="F741" s="1">
        <v>45592</v>
      </c>
      <c r="G741" s="14" t="s">
        <v>1473</v>
      </c>
      <c r="H741" s="14" t="s">
        <v>15</v>
      </c>
      <c r="I741" s="14" t="s">
        <v>2718</v>
      </c>
      <c r="J741" s="14" t="str">
        <f>IF(messy_clinic_appointments[[#This Row],[billing_amount]] &lt; 200, "Low", IF(messy_clinic_appointments[[#This Row],[billing_amount]]&lt;= 400, "Medium", "High"))</f>
        <v>High</v>
      </c>
      <c r="K741" s="14" t="s">
        <v>2013</v>
      </c>
      <c r="L741" s="2">
        <f>DATEDIF(messy_clinic_appointments[[#This Row],[booking_date]],messy_clinic_appointments[[#This Row],[appointment_date]],"d")</f>
        <v>311</v>
      </c>
      <c r="M741" s="14" t="str">
        <f>IF(messy_clinic_appointments[[#This Row],[days_to_appointment]]&gt;365, "Review", "OK")</f>
        <v>OK</v>
      </c>
    </row>
    <row r="742" spans="1:13" x14ac:dyDescent="0.25">
      <c r="A742">
        <v>1090</v>
      </c>
      <c r="B742" s="14" t="s">
        <v>1474</v>
      </c>
      <c r="C742">
        <v>85</v>
      </c>
      <c r="D742" s="14" t="s">
        <v>2022</v>
      </c>
      <c r="E742" s="1">
        <v>46042</v>
      </c>
      <c r="F742" s="1">
        <v>45726</v>
      </c>
      <c r="G742" s="14" t="s">
        <v>2000</v>
      </c>
      <c r="H742" s="14" t="s">
        <v>18</v>
      </c>
      <c r="I742" s="14" t="s">
        <v>2719</v>
      </c>
      <c r="J742" s="14" t="str">
        <f>IF(messy_clinic_appointments[[#This Row],[billing_amount]] &lt; 200, "Low", IF(messy_clinic_appointments[[#This Row],[billing_amount]]&lt;= 400, "Medium", "High"))</f>
        <v>High</v>
      </c>
      <c r="K742" s="14" t="s">
        <v>22</v>
      </c>
      <c r="L742" s="2">
        <f>DATEDIF(messy_clinic_appointments[[#This Row],[booking_date]],messy_clinic_appointments[[#This Row],[appointment_date]],"d")</f>
        <v>316</v>
      </c>
      <c r="M742" s="14" t="str">
        <f>IF(messy_clinic_appointments[[#This Row],[days_to_appointment]]&gt;365, "Review", "OK")</f>
        <v>OK</v>
      </c>
    </row>
    <row r="743" spans="1:13" x14ac:dyDescent="0.25">
      <c r="A743">
        <v>1000</v>
      </c>
      <c r="B743" s="14" t="s">
        <v>1475</v>
      </c>
      <c r="C743">
        <v>18</v>
      </c>
      <c r="D743" s="14" t="s">
        <v>2022</v>
      </c>
      <c r="E743" s="1">
        <v>45883</v>
      </c>
      <c r="F743" s="1">
        <v>45757</v>
      </c>
      <c r="G743" s="14" t="s">
        <v>1476</v>
      </c>
      <c r="H743" s="14" t="s">
        <v>15</v>
      </c>
      <c r="I743" s="14" t="s">
        <v>2720</v>
      </c>
      <c r="J743" s="14" t="str">
        <f>IF(messy_clinic_appointments[[#This Row],[billing_amount]] &lt; 200, "Low", IF(messy_clinic_appointments[[#This Row],[billing_amount]]&lt;= 400, "Medium", "High"))</f>
        <v>High</v>
      </c>
      <c r="K743" s="14" t="s">
        <v>2039</v>
      </c>
      <c r="L743" s="2">
        <f>DATEDIF(messy_clinic_appointments[[#This Row],[booking_date]],messy_clinic_appointments[[#This Row],[appointment_date]],"d")</f>
        <v>126</v>
      </c>
      <c r="M743" s="14" t="str">
        <f>IF(messy_clinic_appointments[[#This Row],[days_to_appointment]]&gt;365, "Review", "OK")</f>
        <v>OK</v>
      </c>
    </row>
    <row r="744" spans="1:13" x14ac:dyDescent="0.25">
      <c r="A744">
        <v>1073</v>
      </c>
      <c r="B744" s="14" t="s">
        <v>1477</v>
      </c>
      <c r="C744">
        <v>75</v>
      </c>
      <c r="D744" s="14" t="s">
        <v>24</v>
      </c>
      <c r="E744" s="1">
        <v>46028</v>
      </c>
      <c r="F744" s="1">
        <v>45710</v>
      </c>
      <c r="G744" s="14" t="s">
        <v>1478</v>
      </c>
      <c r="H744" s="14" t="s">
        <v>21</v>
      </c>
      <c r="I744" s="14" t="s">
        <v>2721</v>
      </c>
      <c r="J744" s="14" t="str">
        <f>IF(messy_clinic_appointments[[#This Row],[billing_amount]] &lt; 200, "Low", IF(messy_clinic_appointments[[#This Row],[billing_amount]]&lt;= 400, "Medium", "High"))</f>
        <v>High</v>
      </c>
      <c r="K744" s="14" t="s">
        <v>2026</v>
      </c>
      <c r="L744" s="2">
        <f>DATEDIF(messy_clinic_appointments[[#This Row],[booking_date]],messy_clinic_appointments[[#This Row],[appointment_date]],"d")</f>
        <v>318</v>
      </c>
      <c r="M744" s="14" t="str">
        <f>IF(messy_clinic_appointments[[#This Row],[days_to_appointment]]&gt;365, "Review", "OK")</f>
        <v>OK</v>
      </c>
    </row>
    <row r="745" spans="1:13" x14ac:dyDescent="0.25">
      <c r="A745">
        <v>1075</v>
      </c>
      <c r="B745" s="14" t="s">
        <v>1479</v>
      </c>
      <c r="C745">
        <v>73</v>
      </c>
      <c r="D745" s="14" t="s">
        <v>2010</v>
      </c>
      <c r="E745" s="1">
        <v>45752</v>
      </c>
      <c r="F745" s="1">
        <v>45646</v>
      </c>
      <c r="G745" s="14" t="s">
        <v>1480</v>
      </c>
      <c r="H745" s="14" t="s">
        <v>18</v>
      </c>
      <c r="I745" s="14" t="s">
        <v>2722</v>
      </c>
      <c r="J745" s="14" t="str">
        <f>IF(messy_clinic_appointments[[#This Row],[billing_amount]] &lt; 200, "Low", IF(messy_clinic_appointments[[#This Row],[billing_amount]]&lt;= 400, "Medium", "High"))</f>
        <v>High</v>
      </c>
      <c r="K745" s="14" t="s">
        <v>2039</v>
      </c>
      <c r="L745" s="2">
        <f>DATEDIF(messy_clinic_appointments[[#This Row],[booking_date]],messy_clinic_appointments[[#This Row],[appointment_date]],"d")</f>
        <v>106</v>
      </c>
      <c r="M745" s="14" t="str">
        <f>IF(messy_clinic_appointments[[#This Row],[days_to_appointment]]&gt;365, "Review", "OK")</f>
        <v>OK</v>
      </c>
    </row>
    <row r="746" spans="1:13" x14ac:dyDescent="0.25">
      <c r="A746">
        <v>1033</v>
      </c>
      <c r="B746" s="14" t="s">
        <v>1481</v>
      </c>
      <c r="C746">
        <v>58</v>
      </c>
      <c r="D746" s="14" t="s">
        <v>50</v>
      </c>
      <c r="E746" s="1">
        <v>45801</v>
      </c>
      <c r="F746" s="1">
        <v>45544</v>
      </c>
      <c r="G746" s="14" t="s">
        <v>1482</v>
      </c>
      <c r="H746" s="14" t="s">
        <v>15</v>
      </c>
      <c r="I746" s="14" t="s">
        <v>2723</v>
      </c>
      <c r="J746" s="14" t="str">
        <f>IF(messy_clinic_appointments[[#This Row],[billing_amount]] &lt; 200, "Low", IF(messy_clinic_appointments[[#This Row],[billing_amount]]&lt;= 400, "Medium", "High"))</f>
        <v>High</v>
      </c>
      <c r="K746" s="14" t="s">
        <v>2010</v>
      </c>
      <c r="L746" s="2">
        <f>DATEDIF(messy_clinic_appointments[[#This Row],[booking_date]],messy_clinic_appointments[[#This Row],[appointment_date]],"d")</f>
        <v>257</v>
      </c>
      <c r="M746" s="14" t="str">
        <f>IF(messy_clinic_appointments[[#This Row],[days_to_appointment]]&gt;365, "Review", "OK")</f>
        <v>OK</v>
      </c>
    </row>
    <row r="747" spans="1:13" x14ac:dyDescent="0.25">
      <c r="A747">
        <v>1051</v>
      </c>
      <c r="B747" s="14" t="s">
        <v>709</v>
      </c>
      <c r="C747">
        <v>52</v>
      </c>
      <c r="D747" s="14" t="s">
        <v>50</v>
      </c>
      <c r="E747" s="1">
        <v>45961</v>
      </c>
      <c r="F747" s="1">
        <v>45536</v>
      </c>
      <c r="G747" s="14" t="s">
        <v>1483</v>
      </c>
      <c r="H747" s="14" t="s">
        <v>18</v>
      </c>
      <c r="I747" s="14" t="s">
        <v>24</v>
      </c>
      <c r="J747" s="14" t="str">
        <f>IF(messy_clinic_appointments[[#This Row],[billing_amount]] &lt; 200, "Low", IF(messy_clinic_appointments[[#This Row],[billing_amount]]&lt;= 400, "Medium", "High"))</f>
        <v>High</v>
      </c>
      <c r="K747" s="14" t="s">
        <v>2039</v>
      </c>
      <c r="L747" s="2">
        <f>DATEDIF(messy_clinic_appointments[[#This Row],[booking_date]],messy_clinic_appointments[[#This Row],[appointment_date]],"d")</f>
        <v>425</v>
      </c>
      <c r="M747" s="14" t="str">
        <f>IF(messy_clinic_appointments[[#This Row],[days_to_appointment]]&gt;365, "Review", "OK")</f>
        <v>Review</v>
      </c>
    </row>
    <row r="748" spans="1:13" x14ac:dyDescent="0.25">
      <c r="A748">
        <v>1021</v>
      </c>
      <c r="B748" s="14" t="s">
        <v>1484</v>
      </c>
      <c r="C748">
        <v>41</v>
      </c>
      <c r="D748" s="14" t="s">
        <v>2014</v>
      </c>
      <c r="E748" s="1">
        <v>45911</v>
      </c>
      <c r="F748" s="1">
        <v>45626</v>
      </c>
      <c r="G748" s="14" t="s">
        <v>2001</v>
      </c>
      <c r="H748" s="14" t="s">
        <v>21</v>
      </c>
      <c r="I748" s="14" t="s">
        <v>2724</v>
      </c>
      <c r="J748" s="14" t="str">
        <f>IF(messy_clinic_appointments[[#This Row],[billing_amount]] &lt; 200, "Low", IF(messy_clinic_appointments[[#This Row],[billing_amount]]&lt;= 400, "Medium", "High"))</f>
        <v>High</v>
      </c>
      <c r="K748" s="14" t="s">
        <v>22</v>
      </c>
      <c r="L748" s="2">
        <f>DATEDIF(messy_clinic_appointments[[#This Row],[booking_date]],messy_clinic_appointments[[#This Row],[appointment_date]],"d")</f>
        <v>285</v>
      </c>
      <c r="M748" s="14" t="str">
        <f>IF(messy_clinic_appointments[[#This Row],[days_to_appointment]]&gt;365, "Review", "OK")</f>
        <v>OK</v>
      </c>
    </row>
    <row r="749" spans="1:13" x14ac:dyDescent="0.25">
      <c r="A749">
        <v>1052</v>
      </c>
      <c r="B749" s="14" t="s">
        <v>1485</v>
      </c>
      <c r="C749">
        <v>80</v>
      </c>
      <c r="D749" s="14" t="s">
        <v>2039</v>
      </c>
      <c r="E749" s="1">
        <v>45781</v>
      </c>
      <c r="F749" s="1">
        <v>45555</v>
      </c>
      <c r="G749" s="14" t="s">
        <v>1486</v>
      </c>
      <c r="H749" s="14" t="s">
        <v>12</v>
      </c>
      <c r="I749" s="14" t="s">
        <v>2725</v>
      </c>
      <c r="J749" s="14" t="str">
        <f>IF(messy_clinic_appointments[[#This Row],[billing_amount]] &lt; 200, "Low", IF(messy_clinic_appointments[[#This Row],[billing_amount]]&lt;= 400, "Medium", "High"))</f>
        <v>High</v>
      </c>
      <c r="K749" s="14" t="s">
        <v>2026</v>
      </c>
      <c r="L749" s="2">
        <f>DATEDIF(messy_clinic_appointments[[#This Row],[booking_date]],messy_clinic_appointments[[#This Row],[appointment_date]],"d")</f>
        <v>226</v>
      </c>
      <c r="M749" s="14" t="str">
        <f>IF(messy_clinic_appointments[[#This Row],[days_to_appointment]]&gt;365, "Review", "OK")</f>
        <v>OK</v>
      </c>
    </row>
    <row r="750" spans="1:13" x14ac:dyDescent="0.25">
      <c r="A750">
        <v>1028</v>
      </c>
      <c r="B750" s="14" t="s">
        <v>1487</v>
      </c>
      <c r="C750">
        <v>24</v>
      </c>
      <c r="D750" s="14" t="s">
        <v>30</v>
      </c>
      <c r="E750" s="1">
        <v>46085</v>
      </c>
      <c r="F750" s="1">
        <v>45749</v>
      </c>
      <c r="G750" s="14" t="s">
        <v>1488</v>
      </c>
      <c r="H750" s="14" t="s">
        <v>21</v>
      </c>
      <c r="I750" s="14" t="s">
        <v>2726</v>
      </c>
      <c r="J750" s="14" t="str">
        <f>IF(messy_clinic_appointments[[#This Row],[billing_amount]] &lt; 200, "Low", IF(messy_clinic_appointments[[#This Row],[billing_amount]]&lt;= 400, "Medium", "High"))</f>
        <v>High</v>
      </c>
      <c r="K750" s="14" t="s">
        <v>2013</v>
      </c>
      <c r="L750" s="2">
        <f>DATEDIF(messy_clinic_appointments[[#This Row],[booking_date]],messy_clinic_appointments[[#This Row],[appointment_date]],"d")</f>
        <v>336</v>
      </c>
      <c r="M750" s="14" t="str">
        <f>IF(messy_clinic_appointments[[#This Row],[days_to_appointment]]&gt;365, "Review", "OK")</f>
        <v>OK</v>
      </c>
    </row>
    <row r="751" spans="1:13" x14ac:dyDescent="0.25">
      <c r="A751">
        <v>1062</v>
      </c>
      <c r="B751" s="14" t="s">
        <v>2002</v>
      </c>
      <c r="C751">
        <v>23</v>
      </c>
      <c r="D751" s="14" t="s">
        <v>30</v>
      </c>
      <c r="E751" s="1">
        <v>46051</v>
      </c>
      <c r="F751" s="1">
        <v>45474</v>
      </c>
      <c r="G751" s="14" t="s">
        <v>1489</v>
      </c>
      <c r="H751" s="14" t="s">
        <v>15</v>
      </c>
      <c r="I751" s="14" t="s">
        <v>2727</v>
      </c>
      <c r="J751" s="14" t="str">
        <f>IF(messy_clinic_appointments[[#This Row],[billing_amount]] &lt; 200, "Low", IF(messy_clinic_appointments[[#This Row],[billing_amount]]&lt;= 400, "Medium", "High"))</f>
        <v>High</v>
      </c>
      <c r="K751" s="14" t="s">
        <v>22</v>
      </c>
      <c r="L751" s="2">
        <f>DATEDIF(messy_clinic_appointments[[#This Row],[booking_date]],messy_clinic_appointments[[#This Row],[appointment_date]],"d")</f>
        <v>577</v>
      </c>
      <c r="M751" s="14" t="str">
        <f>IF(messy_clinic_appointments[[#This Row],[days_to_appointment]]&gt;365, "Review", "OK")</f>
        <v>Review</v>
      </c>
    </row>
    <row r="752" spans="1:13" x14ac:dyDescent="0.25">
      <c r="A752">
        <v>1088</v>
      </c>
      <c r="B752" s="14" t="s">
        <v>1490</v>
      </c>
      <c r="C752">
        <v>80</v>
      </c>
      <c r="D752" s="14" t="s">
        <v>2011</v>
      </c>
      <c r="E752" s="1">
        <v>45839</v>
      </c>
      <c r="F752" s="1">
        <v>45608</v>
      </c>
      <c r="G752" s="14" t="s">
        <v>1491</v>
      </c>
      <c r="H752" s="14" t="s">
        <v>21</v>
      </c>
      <c r="I752" s="14" t="s">
        <v>2728</v>
      </c>
      <c r="J752" s="14" t="str">
        <f>IF(messy_clinic_appointments[[#This Row],[billing_amount]] &lt; 200, "Low", IF(messy_clinic_appointments[[#This Row],[billing_amount]]&lt;= 400, "Medium", "High"))</f>
        <v>High</v>
      </c>
      <c r="K752" s="14" t="s">
        <v>2013</v>
      </c>
      <c r="L752" s="2">
        <f>DATEDIF(messy_clinic_appointments[[#This Row],[booking_date]],messy_clinic_appointments[[#This Row],[appointment_date]],"d")</f>
        <v>231</v>
      </c>
      <c r="M752" s="14" t="str">
        <f>IF(messy_clinic_appointments[[#This Row],[days_to_appointment]]&gt;365, "Review", "OK")</f>
        <v>OK</v>
      </c>
    </row>
    <row r="753" spans="1:13" x14ac:dyDescent="0.25">
      <c r="A753">
        <v>1028</v>
      </c>
      <c r="B753" s="14" t="s">
        <v>1492</v>
      </c>
      <c r="C753">
        <v>26</v>
      </c>
      <c r="D753" s="14" t="s">
        <v>2039</v>
      </c>
      <c r="E753" s="1">
        <v>45915</v>
      </c>
      <c r="F753" s="1">
        <v>45790</v>
      </c>
      <c r="G753" s="14" t="s">
        <v>1493</v>
      </c>
      <c r="H753" s="14" t="s">
        <v>12</v>
      </c>
      <c r="I753" s="14" t="s">
        <v>2729</v>
      </c>
      <c r="J753" s="14" t="str">
        <f>IF(messy_clinic_appointments[[#This Row],[billing_amount]] &lt; 200, "Low", IF(messy_clinic_appointments[[#This Row],[billing_amount]]&lt;= 400, "Medium", "High"))</f>
        <v>High</v>
      </c>
      <c r="K753" s="14" t="s">
        <v>2013</v>
      </c>
      <c r="L753" s="2">
        <f>DATEDIF(messy_clinic_appointments[[#This Row],[booking_date]],messy_clinic_appointments[[#This Row],[appointment_date]],"d")</f>
        <v>125</v>
      </c>
      <c r="M753" s="14" t="str">
        <f>IF(messy_clinic_appointments[[#This Row],[days_to_appointment]]&gt;365, "Review", "OK")</f>
        <v>OK</v>
      </c>
    </row>
    <row r="754" spans="1:13" x14ac:dyDescent="0.25">
      <c r="A754">
        <v>1050</v>
      </c>
      <c r="B754" s="14" t="s">
        <v>1494</v>
      </c>
      <c r="C754">
        <v>65</v>
      </c>
      <c r="D754" s="14" t="s">
        <v>2022</v>
      </c>
      <c r="E754" s="1">
        <v>46085</v>
      </c>
      <c r="F754" s="1">
        <v>45444</v>
      </c>
      <c r="G754" s="14" t="s">
        <v>1495</v>
      </c>
      <c r="H754" s="14" t="s">
        <v>21</v>
      </c>
      <c r="I754" s="14" t="s">
        <v>2730</v>
      </c>
      <c r="J754" s="14" t="str">
        <f>IF(messy_clinic_appointments[[#This Row],[billing_amount]] &lt; 200, "Low", IF(messy_clinic_appointments[[#This Row],[billing_amount]]&lt;= 400, "Medium", "High"))</f>
        <v>High</v>
      </c>
      <c r="K754" s="14" t="s">
        <v>2013</v>
      </c>
      <c r="L754" s="2">
        <f>DATEDIF(messy_clinic_appointments[[#This Row],[booking_date]],messy_clinic_appointments[[#This Row],[appointment_date]],"d")</f>
        <v>641</v>
      </c>
      <c r="M754" s="14" t="str">
        <f>IF(messy_clinic_appointments[[#This Row],[days_to_appointment]]&gt;365, "Review", "OK")</f>
        <v>Review</v>
      </c>
    </row>
    <row r="755" spans="1:13" x14ac:dyDescent="0.25">
      <c r="A755">
        <v>1004</v>
      </c>
      <c r="B755" s="14" t="s">
        <v>1496</v>
      </c>
      <c r="C755">
        <v>54</v>
      </c>
      <c r="D755" s="14" t="s">
        <v>2014</v>
      </c>
      <c r="E755" s="1">
        <v>45903</v>
      </c>
      <c r="F755" s="1">
        <v>45708</v>
      </c>
      <c r="G755" s="14" t="s">
        <v>1497</v>
      </c>
      <c r="H755" s="14" t="s">
        <v>12</v>
      </c>
      <c r="I755" s="14" t="s">
        <v>2731</v>
      </c>
      <c r="J755" s="14" t="str">
        <f>IF(messy_clinic_appointments[[#This Row],[billing_amount]] &lt; 200, "Low", IF(messy_clinic_appointments[[#This Row],[billing_amount]]&lt;= 400, "Medium", "High"))</f>
        <v>High</v>
      </c>
      <c r="K755" s="14" t="s">
        <v>22</v>
      </c>
      <c r="L755" s="2">
        <f>DATEDIF(messy_clinic_appointments[[#This Row],[booking_date]],messy_clinic_appointments[[#This Row],[appointment_date]],"d")</f>
        <v>195</v>
      </c>
      <c r="M755" s="14" t="str">
        <f>IF(messy_clinic_appointments[[#This Row],[days_to_appointment]]&gt;365, "Review", "OK")</f>
        <v>OK</v>
      </c>
    </row>
    <row r="756" spans="1:13" x14ac:dyDescent="0.25">
      <c r="A756">
        <v>1044</v>
      </c>
      <c r="B756" s="14" t="s">
        <v>1498</v>
      </c>
      <c r="C756">
        <v>58</v>
      </c>
      <c r="D756" s="14" t="s">
        <v>2022</v>
      </c>
      <c r="E756" s="1">
        <v>45818</v>
      </c>
      <c r="F756" s="1">
        <v>45506</v>
      </c>
      <c r="G756" s="14" t="s">
        <v>1499</v>
      </c>
      <c r="H756" s="14" t="s">
        <v>15</v>
      </c>
      <c r="I756" s="14" t="s">
        <v>24</v>
      </c>
      <c r="J756" s="14" t="str">
        <f>IF(messy_clinic_appointments[[#This Row],[billing_amount]] &lt; 200, "Low", IF(messy_clinic_appointments[[#This Row],[billing_amount]]&lt;= 400, "Medium", "High"))</f>
        <v>High</v>
      </c>
      <c r="K756" s="14" t="s">
        <v>22</v>
      </c>
      <c r="L756" s="2">
        <f>DATEDIF(messy_clinic_appointments[[#This Row],[booking_date]],messy_clinic_appointments[[#This Row],[appointment_date]],"d")</f>
        <v>312</v>
      </c>
      <c r="M756" s="14" t="str">
        <f>IF(messy_clinic_appointments[[#This Row],[days_to_appointment]]&gt;365, "Review", "OK")</f>
        <v>OK</v>
      </c>
    </row>
    <row r="757" spans="1:13" x14ac:dyDescent="0.25">
      <c r="A757">
        <v>1030</v>
      </c>
      <c r="B757" s="14" t="s">
        <v>1500</v>
      </c>
      <c r="C757">
        <v>42</v>
      </c>
      <c r="D757" s="14" t="s">
        <v>50</v>
      </c>
      <c r="E757" s="1">
        <v>45954</v>
      </c>
      <c r="F757" s="1">
        <v>45623</v>
      </c>
      <c r="G757" s="14" t="s">
        <v>1501</v>
      </c>
      <c r="H757" s="14" t="s">
        <v>18</v>
      </c>
      <c r="I757" s="14" t="s">
        <v>2732</v>
      </c>
      <c r="J757" s="14" t="str">
        <f>IF(messy_clinic_appointments[[#This Row],[billing_amount]] &lt; 200, "Low", IF(messy_clinic_appointments[[#This Row],[billing_amount]]&lt;= 400, "Medium", "High"))</f>
        <v>High</v>
      </c>
      <c r="K757" s="14" t="s">
        <v>2013</v>
      </c>
      <c r="L757" s="2">
        <f>DATEDIF(messy_clinic_appointments[[#This Row],[booking_date]],messy_clinic_appointments[[#This Row],[appointment_date]],"d")</f>
        <v>331</v>
      </c>
      <c r="M757" s="14" t="str">
        <f>IF(messy_clinic_appointments[[#This Row],[days_to_appointment]]&gt;365, "Review", "OK")</f>
        <v>OK</v>
      </c>
    </row>
    <row r="758" spans="1:13" x14ac:dyDescent="0.25">
      <c r="A758">
        <v>1073</v>
      </c>
      <c r="B758" s="14" t="s">
        <v>1502</v>
      </c>
      <c r="C758">
        <v>84</v>
      </c>
      <c r="D758" s="14" t="s">
        <v>2022</v>
      </c>
      <c r="E758" s="1">
        <v>45929</v>
      </c>
      <c r="F758" s="1">
        <v>45467</v>
      </c>
      <c r="G758" s="14" t="s">
        <v>1503</v>
      </c>
      <c r="H758" s="14" t="s">
        <v>18</v>
      </c>
      <c r="I758" s="14" t="s">
        <v>2733</v>
      </c>
      <c r="J758" s="14" t="str">
        <f>IF(messy_clinic_appointments[[#This Row],[billing_amount]] &lt; 200, "Low", IF(messy_clinic_appointments[[#This Row],[billing_amount]]&lt;= 400, "Medium", "High"))</f>
        <v>High</v>
      </c>
      <c r="K758" s="14" t="s">
        <v>22</v>
      </c>
      <c r="L758" s="2">
        <f>DATEDIF(messy_clinic_appointments[[#This Row],[booking_date]],messy_clinic_appointments[[#This Row],[appointment_date]],"d")</f>
        <v>462</v>
      </c>
      <c r="M758" s="14" t="str">
        <f>IF(messy_clinic_appointments[[#This Row],[days_to_appointment]]&gt;365, "Review", "OK")</f>
        <v>Review</v>
      </c>
    </row>
    <row r="759" spans="1:13" x14ac:dyDescent="0.25">
      <c r="A759">
        <v>1018</v>
      </c>
      <c r="B759" s="14" t="s">
        <v>1504</v>
      </c>
      <c r="C759">
        <v>55</v>
      </c>
      <c r="D759" s="14" t="s">
        <v>2010</v>
      </c>
      <c r="E759" s="1">
        <v>46014</v>
      </c>
      <c r="F759" s="1">
        <v>45711</v>
      </c>
      <c r="G759" s="14" t="s">
        <v>1505</v>
      </c>
      <c r="H759" s="14" t="s">
        <v>18</v>
      </c>
      <c r="I759" s="14" t="s">
        <v>2734</v>
      </c>
      <c r="J759" s="14" t="str">
        <f>IF(messy_clinic_appointments[[#This Row],[billing_amount]] &lt; 200, "Low", IF(messy_clinic_appointments[[#This Row],[billing_amount]]&lt;= 400, "Medium", "High"))</f>
        <v>High</v>
      </c>
      <c r="K759" s="14" t="s">
        <v>2039</v>
      </c>
      <c r="L759" s="2">
        <f>DATEDIF(messy_clinic_appointments[[#This Row],[booking_date]],messy_clinic_appointments[[#This Row],[appointment_date]],"d")</f>
        <v>303</v>
      </c>
      <c r="M759" s="14" t="str">
        <f>IF(messy_clinic_appointments[[#This Row],[days_to_appointment]]&gt;365, "Review", "OK")</f>
        <v>OK</v>
      </c>
    </row>
    <row r="760" spans="1:13" x14ac:dyDescent="0.25">
      <c r="A760">
        <v>1062</v>
      </c>
      <c r="B760" s="14" t="s">
        <v>1506</v>
      </c>
      <c r="C760">
        <v>84</v>
      </c>
      <c r="D760" s="14" t="s">
        <v>2008</v>
      </c>
      <c r="E760" s="1">
        <v>45896</v>
      </c>
      <c r="F760" s="1">
        <v>45445</v>
      </c>
      <c r="G760" s="14" t="s">
        <v>1507</v>
      </c>
      <c r="H760" s="14" t="s">
        <v>12</v>
      </c>
      <c r="I760" s="14" t="s">
        <v>2735</v>
      </c>
      <c r="J760" s="14" t="str">
        <f>IF(messy_clinic_appointments[[#This Row],[billing_amount]] &lt; 200, "Low", IF(messy_clinic_appointments[[#This Row],[billing_amount]]&lt;= 400, "Medium", "High"))</f>
        <v>High</v>
      </c>
      <c r="K760" s="14" t="s">
        <v>22</v>
      </c>
      <c r="L760" s="2">
        <f>DATEDIF(messy_clinic_appointments[[#This Row],[booking_date]],messy_clinic_appointments[[#This Row],[appointment_date]],"d")</f>
        <v>451</v>
      </c>
      <c r="M760" s="14" t="str">
        <f>IF(messy_clinic_appointments[[#This Row],[days_to_appointment]]&gt;365, "Review", "OK")</f>
        <v>Review</v>
      </c>
    </row>
    <row r="761" spans="1:13" x14ac:dyDescent="0.25">
      <c r="A761">
        <v>1014</v>
      </c>
      <c r="B761" s="14" t="s">
        <v>1508</v>
      </c>
      <c r="C761">
        <v>67</v>
      </c>
      <c r="D761" s="14" t="s">
        <v>30</v>
      </c>
      <c r="E761" s="1">
        <v>46107</v>
      </c>
      <c r="F761" s="1">
        <v>46088</v>
      </c>
      <c r="G761" s="14" t="s">
        <v>1509</v>
      </c>
      <c r="H761" s="14" t="s">
        <v>21</v>
      </c>
      <c r="I761" s="14" t="s">
        <v>2736</v>
      </c>
      <c r="J761" s="14" t="str">
        <f>IF(messy_clinic_appointments[[#This Row],[billing_amount]] &lt; 200, "Low", IF(messy_clinic_appointments[[#This Row],[billing_amount]]&lt;= 400, "Medium", "High"))</f>
        <v>High</v>
      </c>
      <c r="K761" s="14" t="s">
        <v>2026</v>
      </c>
      <c r="L761" s="2">
        <f>DATEDIF(messy_clinic_appointments[[#This Row],[booking_date]],messy_clinic_appointments[[#This Row],[appointment_date]],"d")</f>
        <v>19</v>
      </c>
      <c r="M761" s="14" t="str">
        <f>IF(messy_clinic_appointments[[#This Row],[days_to_appointment]]&gt;365, "Review", "OK")</f>
        <v>OK</v>
      </c>
    </row>
    <row r="762" spans="1:13" x14ac:dyDescent="0.25">
      <c r="A762">
        <v>1030</v>
      </c>
      <c r="B762" s="14" t="s">
        <v>1510</v>
      </c>
      <c r="C762">
        <v>40</v>
      </c>
      <c r="D762" s="14" t="s">
        <v>50</v>
      </c>
      <c r="E762" s="1">
        <v>45994</v>
      </c>
      <c r="F762" s="1">
        <v>45908</v>
      </c>
      <c r="G762" s="14" t="s">
        <v>1511</v>
      </c>
      <c r="H762" s="14" t="s">
        <v>15</v>
      </c>
      <c r="I762" s="14" t="s">
        <v>2737</v>
      </c>
      <c r="J762" s="14" t="str">
        <f>IF(messy_clinic_appointments[[#This Row],[billing_amount]] &lt; 200, "Low", IF(messy_clinic_appointments[[#This Row],[billing_amount]]&lt;= 400, "Medium", "High"))</f>
        <v>High</v>
      </c>
      <c r="K762" s="14" t="s">
        <v>2013</v>
      </c>
      <c r="L762" s="2">
        <f>DATEDIF(messy_clinic_appointments[[#This Row],[booking_date]],messy_clinic_appointments[[#This Row],[appointment_date]],"d")</f>
        <v>86</v>
      </c>
      <c r="M762" s="14" t="str">
        <f>IF(messy_clinic_appointments[[#This Row],[days_to_appointment]]&gt;365, "Review", "OK")</f>
        <v>OK</v>
      </c>
    </row>
    <row r="763" spans="1:13" x14ac:dyDescent="0.25">
      <c r="A763">
        <v>1081</v>
      </c>
      <c r="B763" s="14" t="s">
        <v>1512</v>
      </c>
      <c r="C763">
        <v>72</v>
      </c>
      <c r="D763" s="14" t="s">
        <v>30</v>
      </c>
      <c r="E763" s="1">
        <v>45751</v>
      </c>
      <c r="F763" s="1">
        <v>45643</v>
      </c>
      <c r="G763" s="14" t="s">
        <v>1513</v>
      </c>
      <c r="H763" s="14" t="s">
        <v>21</v>
      </c>
      <c r="I763" s="14" t="s">
        <v>2738</v>
      </c>
      <c r="J763" s="14" t="str">
        <f>IF(messy_clinic_appointments[[#This Row],[billing_amount]] &lt; 200, "Low", IF(messy_clinic_appointments[[#This Row],[billing_amount]]&lt;= 400, "Medium", "High"))</f>
        <v>High</v>
      </c>
      <c r="K763" s="14" t="s">
        <v>22</v>
      </c>
      <c r="L763" s="2">
        <f>DATEDIF(messy_clinic_appointments[[#This Row],[booking_date]],messy_clinic_appointments[[#This Row],[appointment_date]],"d")</f>
        <v>108</v>
      </c>
      <c r="M763" s="14" t="str">
        <f>IF(messy_clinic_appointments[[#This Row],[days_to_appointment]]&gt;365, "Review", "OK")</f>
        <v>OK</v>
      </c>
    </row>
    <row r="764" spans="1:13" x14ac:dyDescent="0.25">
      <c r="A764">
        <v>1065</v>
      </c>
      <c r="B764" s="14" t="s">
        <v>1514</v>
      </c>
      <c r="C764">
        <v>32</v>
      </c>
      <c r="D764" s="14" t="s">
        <v>50</v>
      </c>
      <c r="E764" s="1">
        <v>45790</v>
      </c>
      <c r="F764" s="1">
        <v>45525</v>
      </c>
      <c r="G764" s="14" t="s">
        <v>1515</v>
      </c>
      <c r="H764" s="14" t="s">
        <v>12</v>
      </c>
      <c r="I764" s="14" t="s">
        <v>2739</v>
      </c>
      <c r="J764" s="14" t="str">
        <f>IF(messy_clinic_appointments[[#This Row],[billing_amount]] &lt; 200, "Low", IF(messy_clinic_appointments[[#This Row],[billing_amount]]&lt;= 400, "Medium", "High"))</f>
        <v>High</v>
      </c>
      <c r="K764" s="14" t="s">
        <v>2010</v>
      </c>
      <c r="L764" s="2">
        <f>DATEDIF(messy_clinic_appointments[[#This Row],[booking_date]],messy_clinic_appointments[[#This Row],[appointment_date]],"d")</f>
        <v>265</v>
      </c>
      <c r="M764" s="14" t="str">
        <f>IF(messy_clinic_appointments[[#This Row],[days_to_appointment]]&gt;365, "Review", "OK")</f>
        <v>OK</v>
      </c>
    </row>
    <row r="765" spans="1:13" x14ac:dyDescent="0.25">
      <c r="A765">
        <v>1081</v>
      </c>
      <c r="B765" s="14" t="s">
        <v>1516</v>
      </c>
      <c r="C765">
        <v>65</v>
      </c>
      <c r="D765" s="14" t="s">
        <v>2011</v>
      </c>
      <c r="E765" s="1">
        <v>45937</v>
      </c>
      <c r="F765" s="1">
        <v>45635</v>
      </c>
      <c r="G765" s="14" t="s">
        <v>1517</v>
      </c>
      <c r="H765" s="14" t="s">
        <v>15</v>
      </c>
      <c r="I765" s="14" t="s">
        <v>24</v>
      </c>
      <c r="J765" s="14" t="str">
        <f>IF(messy_clinic_appointments[[#This Row],[billing_amount]] &lt; 200, "Low", IF(messy_clinic_appointments[[#This Row],[billing_amount]]&lt;= 400, "Medium", "High"))</f>
        <v>High</v>
      </c>
      <c r="K765" s="14" t="s">
        <v>22</v>
      </c>
      <c r="L765" s="2">
        <f>DATEDIF(messy_clinic_appointments[[#This Row],[booking_date]],messy_clinic_appointments[[#This Row],[appointment_date]],"d")</f>
        <v>302</v>
      </c>
      <c r="M765" s="14" t="str">
        <f>IF(messy_clinic_appointments[[#This Row],[days_to_appointment]]&gt;365, "Review", "OK")</f>
        <v>OK</v>
      </c>
    </row>
    <row r="766" spans="1:13" x14ac:dyDescent="0.25">
      <c r="A766">
        <v>1017</v>
      </c>
      <c r="B766" s="14" t="s">
        <v>1518</v>
      </c>
      <c r="C766">
        <v>82</v>
      </c>
      <c r="D766" s="14" t="s">
        <v>30</v>
      </c>
      <c r="E766" s="1">
        <v>46037</v>
      </c>
      <c r="F766" s="1">
        <v>45862</v>
      </c>
      <c r="G766" s="14" t="s">
        <v>1519</v>
      </c>
      <c r="H766" s="14" t="s">
        <v>21</v>
      </c>
      <c r="I766" s="14" t="s">
        <v>2740</v>
      </c>
      <c r="J766" s="14" t="str">
        <f>IF(messy_clinic_appointments[[#This Row],[billing_amount]] &lt; 200, "Low", IF(messy_clinic_appointments[[#This Row],[billing_amount]]&lt;= 400, "Medium", "High"))</f>
        <v>High</v>
      </c>
      <c r="K766" s="14" t="s">
        <v>2039</v>
      </c>
      <c r="L766" s="2">
        <f>DATEDIF(messy_clinic_appointments[[#This Row],[booking_date]],messy_clinic_appointments[[#This Row],[appointment_date]],"d")</f>
        <v>175</v>
      </c>
      <c r="M766" s="14" t="str">
        <f>IF(messy_clinic_appointments[[#This Row],[days_to_appointment]]&gt;365, "Review", "OK")</f>
        <v>OK</v>
      </c>
    </row>
    <row r="767" spans="1:13" x14ac:dyDescent="0.25">
      <c r="A767">
        <v>1001</v>
      </c>
      <c r="B767" s="14" t="s">
        <v>1520</v>
      </c>
      <c r="C767">
        <v>61</v>
      </c>
      <c r="D767" s="14" t="s">
        <v>50</v>
      </c>
      <c r="E767" s="1">
        <v>45954</v>
      </c>
      <c r="F767" s="1">
        <v>45890</v>
      </c>
      <c r="G767" s="14" t="s">
        <v>1521</v>
      </c>
      <c r="H767" s="14" t="s">
        <v>15</v>
      </c>
      <c r="I767" s="14" t="s">
        <v>2741</v>
      </c>
      <c r="J767" s="14" t="str">
        <f>IF(messy_clinic_appointments[[#This Row],[billing_amount]] &lt; 200, "Low", IF(messy_clinic_appointments[[#This Row],[billing_amount]]&lt;= 400, "Medium", "High"))</f>
        <v>High</v>
      </c>
      <c r="K767" s="14" t="s">
        <v>28</v>
      </c>
      <c r="L767" s="2">
        <f>DATEDIF(messy_clinic_appointments[[#This Row],[booking_date]],messy_clinic_appointments[[#This Row],[appointment_date]],"d")</f>
        <v>64</v>
      </c>
      <c r="M767" s="14" t="str">
        <f>IF(messy_clinic_appointments[[#This Row],[days_to_appointment]]&gt;365, "Review", "OK")</f>
        <v>OK</v>
      </c>
    </row>
    <row r="768" spans="1:13" x14ac:dyDescent="0.25">
      <c r="A768">
        <v>1042</v>
      </c>
      <c r="B768" s="14" t="s">
        <v>1522</v>
      </c>
      <c r="C768">
        <v>75</v>
      </c>
      <c r="D768" s="14" t="s">
        <v>2022</v>
      </c>
      <c r="E768" s="1">
        <v>46008</v>
      </c>
      <c r="F768" s="1">
        <v>45557</v>
      </c>
      <c r="G768" s="14" t="s">
        <v>1523</v>
      </c>
      <c r="H768" s="14" t="s">
        <v>18</v>
      </c>
      <c r="I768" s="14" t="s">
        <v>2742</v>
      </c>
      <c r="J768" s="14" t="str">
        <f>IF(messy_clinic_appointments[[#This Row],[billing_amount]] &lt; 200, "Low", IF(messy_clinic_appointments[[#This Row],[billing_amount]]&lt;= 400, "Medium", "High"))</f>
        <v>High</v>
      </c>
      <c r="K768" s="14" t="s">
        <v>2039</v>
      </c>
      <c r="L768" s="2">
        <f>DATEDIF(messy_clinic_appointments[[#This Row],[booking_date]],messy_clinic_appointments[[#This Row],[appointment_date]],"d")</f>
        <v>451</v>
      </c>
      <c r="M768" s="14" t="str">
        <f>IF(messy_clinic_appointments[[#This Row],[days_to_appointment]]&gt;365, "Review", "OK")</f>
        <v>Review</v>
      </c>
    </row>
    <row r="769" spans="1:13" x14ac:dyDescent="0.25">
      <c r="A769">
        <v>1015</v>
      </c>
      <c r="B769" s="14" t="s">
        <v>1524</v>
      </c>
      <c r="C769">
        <v>35</v>
      </c>
      <c r="D769" s="14" t="s">
        <v>30</v>
      </c>
      <c r="E769" s="1">
        <v>45959</v>
      </c>
      <c r="F769" s="1">
        <v>45821</v>
      </c>
      <c r="G769" s="14" t="s">
        <v>1525</v>
      </c>
      <c r="H769" s="14" t="s">
        <v>21</v>
      </c>
      <c r="I769" s="14" t="s">
        <v>2743</v>
      </c>
      <c r="J769" s="14" t="str">
        <f>IF(messy_clinic_appointments[[#This Row],[billing_amount]] &lt; 200, "Low", IF(messy_clinic_appointments[[#This Row],[billing_amount]]&lt;= 400, "Medium", "High"))</f>
        <v>High</v>
      </c>
      <c r="K769" s="14" t="s">
        <v>2039</v>
      </c>
      <c r="L769" s="2">
        <f>DATEDIF(messy_clinic_appointments[[#This Row],[booking_date]],messy_clinic_appointments[[#This Row],[appointment_date]],"d")</f>
        <v>138</v>
      </c>
      <c r="M769" s="14" t="str">
        <f>IF(messy_clinic_appointments[[#This Row],[days_to_appointment]]&gt;365, "Review", "OK")</f>
        <v>OK</v>
      </c>
    </row>
    <row r="770" spans="1:13" x14ac:dyDescent="0.25">
      <c r="A770">
        <v>1098</v>
      </c>
      <c r="B770" s="14" t="s">
        <v>1526</v>
      </c>
      <c r="C770">
        <v>66</v>
      </c>
      <c r="D770" s="14" t="s">
        <v>2011</v>
      </c>
      <c r="E770" s="1">
        <v>45794</v>
      </c>
      <c r="F770" s="1">
        <v>45533</v>
      </c>
      <c r="G770" s="14" t="s">
        <v>1527</v>
      </c>
      <c r="H770" s="14" t="s">
        <v>18</v>
      </c>
      <c r="I770" s="14" t="s">
        <v>2744</v>
      </c>
      <c r="J770" s="14" t="str">
        <f>IF(messy_clinic_appointments[[#This Row],[billing_amount]] &lt; 200, "Low", IF(messy_clinic_appointments[[#This Row],[billing_amount]]&lt;= 400, "Medium", "High"))</f>
        <v>High</v>
      </c>
      <c r="K770" s="14" t="s">
        <v>2026</v>
      </c>
      <c r="L770" s="2">
        <f>DATEDIF(messy_clinic_appointments[[#This Row],[booking_date]],messy_clinic_appointments[[#This Row],[appointment_date]],"d")</f>
        <v>261</v>
      </c>
      <c r="M770" s="14" t="str">
        <f>IF(messy_clinic_appointments[[#This Row],[days_to_appointment]]&gt;365, "Review", "OK")</f>
        <v>OK</v>
      </c>
    </row>
    <row r="771" spans="1:13" x14ac:dyDescent="0.25">
      <c r="A771">
        <v>1099</v>
      </c>
      <c r="B771" s="14" t="s">
        <v>436</v>
      </c>
      <c r="C771">
        <v>42</v>
      </c>
      <c r="D771" s="14" t="s">
        <v>50</v>
      </c>
      <c r="E771" s="1">
        <v>45868</v>
      </c>
      <c r="F771" s="1">
        <v>45725</v>
      </c>
      <c r="G771" s="14" t="s">
        <v>1528</v>
      </c>
      <c r="H771" s="14" t="s">
        <v>12</v>
      </c>
      <c r="I771" s="14" t="s">
        <v>2745</v>
      </c>
      <c r="J771" s="14" t="str">
        <f>IF(messy_clinic_appointments[[#This Row],[billing_amount]] &lt; 200, "Low", IF(messy_clinic_appointments[[#This Row],[billing_amount]]&lt;= 400, "Medium", "High"))</f>
        <v>High</v>
      </c>
      <c r="K771" s="14" t="s">
        <v>2010</v>
      </c>
      <c r="L771" s="2">
        <f>DATEDIF(messy_clinic_appointments[[#This Row],[booking_date]],messy_clinic_appointments[[#This Row],[appointment_date]],"d")</f>
        <v>143</v>
      </c>
      <c r="M771" s="14" t="str">
        <f>IF(messy_clinic_appointments[[#This Row],[days_to_appointment]]&gt;365, "Review", "OK")</f>
        <v>OK</v>
      </c>
    </row>
    <row r="772" spans="1:13" x14ac:dyDescent="0.25">
      <c r="A772">
        <v>1032</v>
      </c>
      <c r="B772" s="14" t="s">
        <v>1529</v>
      </c>
      <c r="C772">
        <v>19</v>
      </c>
      <c r="D772" s="14" t="s">
        <v>2039</v>
      </c>
      <c r="E772" s="1">
        <v>45907</v>
      </c>
      <c r="F772" s="1">
        <v>45442</v>
      </c>
      <c r="G772" s="14" t="s">
        <v>1530</v>
      </c>
      <c r="H772" s="14" t="s">
        <v>12</v>
      </c>
      <c r="I772" s="14" t="s">
        <v>2746</v>
      </c>
      <c r="J772" s="14" t="str">
        <f>IF(messy_clinic_appointments[[#This Row],[billing_amount]] &lt; 200, "Low", IF(messy_clinic_appointments[[#This Row],[billing_amount]]&lt;= 400, "Medium", "High"))</f>
        <v>High</v>
      </c>
      <c r="K772" s="14" t="s">
        <v>2010</v>
      </c>
      <c r="L772" s="2">
        <f>DATEDIF(messy_clinic_appointments[[#This Row],[booking_date]],messy_clinic_appointments[[#This Row],[appointment_date]],"d")</f>
        <v>465</v>
      </c>
      <c r="M772" s="14" t="str">
        <f>IF(messy_clinic_appointments[[#This Row],[days_to_appointment]]&gt;365, "Review", "OK")</f>
        <v>Review</v>
      </c>
    </row>
    <row r="773" spans="1:13" x14ac:dyDescent="0.25">
      <c r="A773">
        <v>1034</v>
      </c>
      <c r="B773" s="14" t="s">
        <v>1531</v>
      </c>
      <c r="C773">
        <v>41</v>
      </c>
      <c r="D773" s="14" t="s">
        <v>2014</v>
      </c>
      <c r="E773" s="1">
        <v>46056</v>
      </c>
      <c r="F773" s="1">
        <v>45934</v>
      </c>
      <c r="G773" s="14" t="s">
        <v>1532</v>
      </c>
      <c r="H773" s="14" t="s">
        <v>12</v>
      </c>
      <c r="I773" s="14" t="s">
        <v>2747</v>
      </c>
      <c r="J773" s="14" t="str">
        <f>IF(messy_clinic_appointments[[#This Row],[billing_amount]] &lt; 200, "Low", IF(messy_clinic_appointments[[#This Row],[billing_amount]]&lt;= 400, "Medium", "High"))</f>
        <v>High</v>
      </c>
      <c r="K773" s="14" t="s">
        <v>28</v>
      </c>
      <c r="L773" s="2">
        <f>DATEDIF(messy_clinic_appointments[[#This Row],[booking_date]],messy_clinic_appointments[[#This Row],[appointment_date]],"d")</f>
        <v>122</v>
      </c>
      <c r="M773" s="14" t="str">
        <f>IF(messy_clinic_appointments[[#This Row],[days_to_appointment]]&gt;365, "Review", "OK")</f>
        <v>OK</v>
      </c>
    </row>
    <row r="774" spans="1:13" x14ac:dyDescent="0.25">
      <c r="A774">
        <v>1005</v>
      </c>
      <c r="B774" s="14" t="s">
        <v>1227</v>
      </c>
      <c r="C774">
        <v>27</v>
      </c>
      <c r="D774" s="14" t="s">
        <v>30</v>
      </c>
      <c r="E774" s="1">
        <v>45984</v>
      </c>
      <c r="F774" s="1">
        <v>45394</v>
      </c>
      <c r="G774" s="14" t="s">
        <v>1533</v>
      </c>
      <c r="H774" s="14" t="s">
        <v>21</v>
      </c>
      <c r="I774" s="14" t="s">
        <v>2748</v>
      </c>
      <c r="J774" s="14" t="str">
        <f>IF(messy_clinic_appointments[[#This Row],[billing_amount]] &lt; 200, "Low", IF(messy_clinic_appointments[[#This Row],[billing_amount]]&lt;= 400, "Medium", "High"))</f>
        <v>High</v>
      </c>
      <c r="K774" s="14" t="s">
        <v>2010</v>
      </c>
      <c r="L774" s="2">
        <f>DATEDIF(messy_clinic_appointments[[#This Row],[booking_date]],messy_clinic_appointments[[#This Row],[appointment_date]],"d")</f>
        <v>590</v>
      </c>
      <c r="M774" s="14" t="str">
        <f>IF(messy_clinic_appointments[[#This Row],[days_to_appointment]]&gt;365, "Review", "OK")</f>
        <v>Review</v>
      </c>
    </row>
    <row r="775" spans="1:13" x14ac:dyDescent="0.25">
      <c r="A775">
        <v>1050</v>
      </c>
      <c r="B775" s="14" t="s">
        <v>1534</v>
      </c>
      <c r="C775">
        <v>21</v>
      </c>
      <c r="D775" s="14" t="s">
        <v>2039</v>
      </c>
      <c r="E775" s="1">
        <v>45853</v>
      </c>
      <c r="F775" s="1">
        <v>45496</v>
      </c>
      <c r="G775" s="14" t="s">
        <v>1535</v>
      </c>
      <c r="H775" s="14" t="s">
        <v>18</v>
      </c>
      <c r="I775" s="14" t="s">
        <v>2749</v>
      </c>
      <c r="J775" s="14" t="str">
        <f>IF(messy_clinic_appointments[[#This Row],[billing_amount]] &lt; 200, "Low", IF(messy_clinic_appointments[[#This Row],[billing_amount]]&lt;= 400, "Medium", "High"))</f>
        <v>High</v>
      </c>
      <c r="K775" s="14" t="s">
        <v>2039</v>
      </c>
      <c r="L775" s="2">
        <f>DATEDIF(messy_clinic_appointments[[#This Row],[booking_date]],messy_clinic_appointments[[#This Row],[appointment_date]],"d")</f>
        <v>357</v>
      </c>
      <c r="M775" s="14" t="str">
        <f>IF(messy_clinic_appointments[[#This Row],[days_to_appointment]]&gt;365, "Review", "OK")</f>
        <v>OK</v>
      </c>
    </row>
    <row r="776" spans="1:13" x14ac:dyDescent="0.25">
      <c r="A776">
        <v>1069</v>
      </c>
      <c r="B776" s="14" t="s">
        <v>1536</v>
      </c>
      <c r="C776">
        <v>20</v>
      </c>
      <c r="D776" s="14" t="s">
        <v>2010</v>
      </c>
      <c r="E776" s="1">
        <v>45778</v>
      </c>
      <c r="F776" s="1">
        <v>45775</v>
      </c>
      <c r="G776" s="14" t="s">
        <v>1537</v>
      </c>
      <c r="H776" s="14" t="s">
        <v>15</v>
      </c>
      <c r="I776" s="14" t="s">
        <v>2750</v>
      </c>
      <c r="J776" s="14" t="str">
        <f>IF(messy_clinic_appointments[[#This Row],[billing_amount]] &lt; 200, "Low", IF(messy_clinic_appointments[[#This Row],[billing_amount]]&lt;= 400, "Medium", "High"))</f>
        <v>High</v>
      </c>
      <c r="K776" s="14" t="s">
        <v>2026</v>
      </c>
      <c r="L776" s="2">
        <f>DATEDIF(messy_clinic_appointments[[#This Row],[booking_date]],messy_clinic_appointments[[#This Row],[appointment_date]],"d")</f>
        <v>3</v>
      </c>
      <c r="M776" s="14" t="str">
        <f>IF(messy_clinic_appointments[[#This Row],[days_to_appointment]]&gt;365, "Review", "OK")</f>
        <v>OK</v>
      </c>
    </row>
    <row r="777" spans="1:13" x14ac:dyDescent="0.25">
      <c r="A777">
        <v>1001</v>
      </c>
      <c r="B777" s="14" t="s">
        <v>1538</v>
      </c>
      <c r="C777">
        <v>84</v>
      </c>
      <c r="D777" s="14" t="s">
        <v>2022</v>
      </c>
      <c r="E777" s="1">
        <v>46065</v>
      </c>
      <c r="F777" s="1">
        <v>45464</v>
      </c>
      <c r="G777" s="14" t="s">
        <v>1539</v>
      </c>
      <c r="H777" s="14" t="s">
        <v>12</v>
      </c>
      <c r="I777" s="14" t="s">
        <v>2751</v>
      </c>
      <c r="J777" s="14" t="str">
        <f>IF(messy_clinic_appointments[[#This Row],[billing_amount]] &lt; 200, "Low", IF(messy_clinic_appointments[[#This Row],[billing_amount]]&lt;= 400, "Medium", "High"))</f>
        <v>High</v>
      </c>
      <c r="K777" s="14" t="s">
        <v>22</v>
      </c>
      <c r="L777" s="2">
        <f>DATEDIF(messy_clinic_appointments[[#This Row],[booking_date]],messy_clinic_appointments[[#This Row],[appointment_date]],"d")</f>
        <v>601</v>
      </c>
      <c r="M777" s="14" t="str">
        <f>IF(messy_clinic_appointments[[#This Row],[days_to_appointment]]&gt;365, "Review", "OK")</f>
        <v>Review</v>
      </c>
    </row>
    <row r="778" spans="1:13" x14ac:dyDescent="0.25">
      <c r="A778">
        <v>1066</v>
      </c>
      <c r="B778" s="14" t="s">
        <v>1540</v>
      </c>
      <c r="C778">
        <v>74</v>
      </c>
      <c r="D778" s="14" t="s">
        <v>30</v>
      </c>
      <c r="E778" s="1">
        <v>45800</v>
      </c>
      <c r="F778" s="1">
        <v>45652</v>
      </c>
      <c r="G778" s="14" t="s">
        <v>1541</v>
      </c>
      <c r="H778" s="14" t="s">
        <v>15</v>
      </c>
      <c r="I778" s="14" t="s">
        <v>2752</v>
      </c>
      <c r="J778" s="14" t="str">
        <f>IF(messy_clinic_appointments[[#This Row],[billing_amount]] &lt; 200, "Low", IF(messy_clinic_appointments[[#This Row],[billing_amount]]&lt;= 400, "Medium", "High"))</f>
        <v>High</v>
      </c>
      <c r="K778" s="14" t="s">
        <v>2013</v>
      </c>
      <c r="L778" s="2">
        <f>DATEDIF(messy_clinic_appointments[[#This Row],[booking_date]],messy_clinic_appointments[[#This Row],[appointment_date]],"d")</f>
        <v>148</v>
      </c>
      <c r="M778" s="14" t="str">
        <f>IF(messy_clinic_appointments[[#This Row],[days_to_appointment]]&gt;365, "Review", "OK")</f>
        <v>OK</v>
      </c>
    </row>
    <row r="779" spans="1:13" x14ac:dyDescent="0.25">
      <c r="A779">
        <v>1018</v>
      </c>
      <c r="B779" s="14" t="s">
        <v>1542</v>
      </c>
      <c r="C779">
        <v>70</v>
      </c>
      <c r="D779" s="14" t="s">
        <v>2008</v>
      </c>
      <c r="E779" s="1">
        <v>45778</v>
      </c>
      <c r="F779" s="1">
        <v>45552</v>
      </c>
      <c r="G779" s="14" t="s">
        <v>1543</v>
      </c>
      <c r="H779" s="14" t="s">
        <v>12</v>
      </c>
      <c r="I779" s="14" t="s">
        <v>2753</v>
      </c>
      <c r="J779" s="14" t="str">
        <f>IF(messy_clinic_appointments[[#This Row],[billing_amount]] &lt; 200, "Low", IF(messy_clinic_appointments[[#This Row],[billing_amount]]&lt;= 400, "Medium", "High"))</f>
        <v>High</v>
      </c>
      <c r="K779" s="14" t="s">
        <v>2010</v>
      </c>
      <c r="L779" s="2">
        <f>DATEDIF(messy_clinic_appointments[[#This Row],[booking_date]],messy_clinic_appointments[[#This Row],[appointment_date]],"d")</f>
        <v>226</v>
      </c>
      <c r="M779" s="14" t="str">
        <f>IF(messy_clinic_appointments[[#This Row],[days_to_appointment]]&gt;365, "Review", "OK")</f>
        <v>OK</v>
      </c>
    </row>
    <row r="780" spans="1:13" x14ac:dyDescent="0.25">
      <c r="A780">
        <v>1033</v>
      </c>
      <c r="B780" s="14" t="s">
        <v>1544</v>
      </c>
      <c r="C780">
        <v>75</v>
      </c>
      <c r="D780" s="14" t="s">
        <v>30</v>
      </c>
      <c r="E780" s="1">
        <v>46075</v>
      </c>
      <c r="F780" s="1">
        <v>45713</v>
      </c>
      <c r="G780" s="14" t="s">
        <v>1545</v>
      </c>
      <c r="H780" s="14" t="s">
        <v>21</v>
      </c>
      <c r="I780" s="14" t="s">
        <v>2754</v>
      </c>
      <c r="J780" s="14" t="str">
        <f>IF(messy_clinic_appointments[[#This Row],[billing_amount]] &lt; 200, "Low", IF(messy_clinic_appointments[[#This Row],[billing_amount]]&lt;= 400, "Medium", "High"))</f>
        <v>High</v>
      </c>
      <c r="K780" s="14" t="s">
        <v>28</v>
      </c>
      <c r="L780" s="2">
        <f>DATEDIF(messy_clinic_appointments[[#This Row],[booking_date]],messy_clinic_appointments[[#This Row],[appointment_date]],"d")</f>
        <v>362</v>
      </c>
      <c r="M780" s="14" t="str">
        <f>IF(messy_clinic_appointments[[#This Row],[days_to_appointment]]&gt;365, "Review", "OK")</f>
        <v>OK</v>
      </c>
    </row>
    <row r="781" spans="1:13" x14ac:dyDescent="0.25">
      <c r="A781">
        <v>1094</v>
      </c>
      <c r="B781" s="14" t="s">
        <v>1546</v>
      </c>
      <c r="C781">
        <v>87</v>
      </c>
      <c r="D781" s="14" t="s">
        <v>50</v>
      </c>
      <c r="E781" s="1">
        <v>45952</v>
      </c>
      <c r="F781" s="1">
        <v>45716</v>
      </c>
      <c r="G781" s="14" t="s">
        <v>1547</v>
      </c>
      <c r="H781" s="14" t="s">
        <v>12</v>
      </c>
      <c r="I781" s="14" t="s">
        <v>2755</v>
      </c>
      <c r="J781" s="14" t="str">
        <f>IF(messy_clinic_appointments[[#This Row],[billing_amount]] &lt; 200, "Low", IF(messy_clinic_appointments[[#This Row],[billing_amount]]&lt;= 400, "Medium", "High"))</f>
        <v>High</v>
      </c>
      <c r="K781" s="14" t="s">
        <v>2010</v>
      </c>
      <c r="L781" s="2">
        <f>DATEDIF(messy_clinic_appointments[[#This Row],[booking_date]],messy_clinic_appointments[[#This Row],[appointment_date]],"d")</f>
        <v>236</v>
      </c>
      <c r="M781" s="14" t="str">
        <f>IF(messy_clinic_appointments[[#This Row],[days_to_appointment]]&gt;365, "Review", "OK")</f>
        <v>OK</v>
      </c>
    </row>
    <row r="782" spans="1:13" x14ac:dyDescent="0.25">
      <c r="A782">
        <v>1078</v>
      </c>
      <c r="B782" s="14" t="s">
        <v>1548</v>
      </c>
      <c r="C782">
        <v>52</v>
      </c>
      <c r="D782" s="14" t="s">
        <v>2008</v>
      </c>
      <c r="E782" s="1">
        <v>45985</v>
      </c>
      <c r="F782" s="1">
        <v>45422</v>
      </c>
      <c r="G782" s="14" t="s">
        <v>1549</v>
      </c>
      <c r="H782" s="14" t="s">
        <v>12</v>
      </c>
      <c r="I782" s="14" t="s">
        <v>2756</v>
      </c>
      <c r="J782" s="14" t="str">
        <f>IF(messy_clinic_appointments[[#This Row],[billing_amount]] &lt; 200, "Low", IF(messy_clinic_appointments[[#This Row],[billing_amount]]&lt;= 400, "Medium", "High"))</f>
        <v>High</v>
      </c>
      <c r="K782" s="14" t="s">
        <v>2026</v>
      </c>
      <c r="L782" s="2">
        <f>DATEDIF(messy_clinic_appointments[[#This Row],[booking_date]],messy_clinic_appointments[[#This Row],[appointment_date]],"d")</f>
        <v>563</v>
      </c>
      <c r="M782" s="14" t="str">
        <f>IF(messy_clinic_appointments[[#This Row],[days_to_appointment]]&gt;365, "Review", "OK")</f>
        <v>Review</v>
      </c>
    </row>
    <row r="783" spans="1:13" x14ac:dyDescent="0.25">
      <c r="A783">
        <v>1072</v>
      </c>
      <c r="B783" s="14" t="s">
        <v>2003</v>
      </c>
      <c r="C783">
        <v>86</v>
      </c>
      <c r="D783" s="14" t="s">
        <v>2008</v>
      </c>
      <c r="E783" s="1">
        <v>45842</v>
      </c>
      <c r="F783" s="1">
        <v>45676</v>
      </c>
      <c r="G783" s="14" t="s">
        <v>1550</v>
      </c>
      <c r="H783" s="14" t="s">
        <v>15</v>
      </c>
      <c r="I783" s="14" t="s">
        <v>2757</v>
      </c>
      <c r="J783" s="14" t="str">
        <f>IF(messy_clinic_appointments[[#This Row],[billing_amount]] &lt; 200, "Low", IF(messy_clinic_appointments[[#This Row],[billing_amount]]&lt;= 400, "Medium", "High"))</f>
        <v>High</v>
      </c>
      <c r="K783" s="14" t="s">
        <v>2013</v>
      </c>
      <c r="L783" s="2">
        <f>DATEDIF(messy_clinic_appointments[[#This Row],[booking_date]],messy_clinic_appointments[[#This Row],[appointment_date]],"d")</f>
        <v>166</v>
      </c>
      <c r="M783" s="14" t="str">
        <f>IF(messy_clinic_appointments[[#This Row],[days_to_appointment]]&gt;365, "Review", "OK")</f>
        <v>OK</v>
      </c>
    </row>
    <row r="784" spans="1:13" x14ac:dyDescent="0.25">
      <c r="A784">
        <v>1011</v>
      </c>
      <c r="B784" s="14" t="s">
        <v>1551</v>
      </c>
      <c r="C784">
        <v>65</v>
      </c>
      <c r="D784" s="14" t="s">
        <v>2008</v>
      </c>
      <c r="E784" s="1">
        <v>45923</v>
      </c>
      <c r="F784" s="1">
        <v>45383</v>
      </c>
      <c r="G784" s="14" t="s">
        <v>23</v>
      </c>
      <c r="H784" s="14" t="s">
        <v>15</v>
      </c>
      <c r="I784" s="14" t="s">
        <v>2758</v>
      </c>
      <c r="J784" s="14" t="str">
        <f>IF(messy_clinic_appointments[[#This Row],[billing_amount]] &lt; 200, "Low", IF(messy_clinic_appointments[[#This Row],[billing_amount]]&lt;= 400, "Medium", "High"))</f>
        <v>High</v>
      </c>
      <c r="K784" s="14" t="s">
        <v>2013</v>
      </c>
      <c r="L784" s="2">
        <f>DATEDIF(messy_clinic_appointments[[#This Row],[booking_date]],messy_clinic_appointments[[#This Row],[appointment_date]],"d")</f>
        <v>540</v>
      </c>
      <c r="M784" s="14" t="str">
        <f>IF(messy_clinic_appointments[[#This Row],[days_to_appointment]]&gt;365, "Review", "OK")</f>
        <v>Review</v>
      </c>
    </row>
    <row r="785" spans="1:13" x14ac:dyDescent="0.25">
      <c r="A785">
        <v>1045</v>
      </c>
      <c r="B785" s="14" t="s">
        <v>1552</v>
      </c>
      <c r="C785">
        <v>65</v>
      </c>
      <c r="D785" s="14" t="s">
        <v>2010</v>
      </c>
      <c r="E785" s="1">
        <v>45744</v>
      </c>
      <c r="F785" s="1">
        <v>45661</v>
      </c>
      <c r="G785" s="14" t="s">
        <v>1553</v>
      </c>
      <c r="H785" s="14" t="s">
        <v>15</v>
      </c>
      <c r="I785" s="14" t="s">
        <v>2759</v>
      </c>
      <c r="J785" s="14" t="str">
        <f>IF(messy_clinic_appointments[[#This Row],[billing_amount]] &lt; 200, "Low", IF(messy_clinic_appointments[[#This Row],[billing_amount]]&lt;= 400, "Medium", "High"))</f>
        <v>High</v>
      </c>
      <c r="K785" s="14" t="s">
        <v>22</v>
      </c>
      <c r="L785" s="2">
        <f>DATEDIF(messy_clinic_appointments[[#This Row],[booking_date]],messy_clinic_appointments[[#This Row],[appointment_date]],"d")</f>
        <v>83</v>
      </c>
      <c r="M785" s="14" t="str">
        <f>IF(messy_clinic_appointments[[#This Row],[days_to_appointment]]&gt;365, "Review", "OK")</f>
        <v>OK</v>
      </c>
    </row>
    <row r="786" spans="1:13" x14ac:dyDescent="0.25">
      <c r="A786">
        <v>1095</v>
      </c>
      <c r="B786" s="14" t="s">
        <v>116</v>
      </c>
      <c r="C786">
        <v>73</v>
      </c>
      <c r="D786" s="14" t="s">
        <v>2022</v>
      </c>
      <c r="E786" s="1">
        <v>46022</v>
      </c>
      <c r="F786" s="1">
        <v>45640</v>
      </c>
      <c r="G786" s="14" t="s">
        <v>1554</v>
      </c>
      <c r="H786" s="14" t="s">
        <v>18</v>
      </c>
      <c r="I786" s="14" t="s">
        <v>2760</v>
      </c>
      <c r="J786" s="14" t="str">
        <f>IF(messy_clinic_appointments[[#This Row],[billing_amount]] &lt; 200, "Low", IF(messy_clinic_appointments[[#This Row],[billing_amount]]&lt;= 400, "Medium", "High"))</f>
        <v>High</v>
      </c>
      <c r="K786" s="14" t="s">
        <v>28</v>
      </c>
      <c r="L786" s="2">
        <f>DATEDIF(messy_clinic_appointments[[#This Row],[booking_date]],messy_clinic_appointments[[#This Row],[appointment_date]],"d")</f>
        <v>382</v>
      </c>
      <c r="M786" s="14" t="str">
        <f>IF(messy_clinic_appointments[[#This Row],[days_to_appointment]]&gt;365, "Review", "OK")</f>
        <v>Review</v>
      </c>
    </row>
    <row r="787" spans="1:13" x14ac:dyDescent="0.25">
      <c r="A787">
        <v>1074</v>
      </c>
      <c r="B787" s="14" t="s">
        <v>1555</v>
      </c>
      <c r="C787">
        <v>64</v>
      </c>
      <c r="D787" s="14" t="s">
        <v>2014</v>
      </c>
      <c r="E787" s="1">
        <v>46095</v>
      </c>
      <c r="F787" s="1">
        <v>46063</v>
      </c>
      <c r="G787" s="14" t="s">
        <v>1556</v>
      </c>
      <c r="H787" s="14" t="s">
        <v>18</v>
      </c>
      <c r="I787" s="14" t="s">
        <v>2761</v>
      </c>
      <c r="J787" s="14" t="str">
        <f>IF(messy_clinic_appointments[[#This Row],[billing_amount]] &lt; 200, "Low", IF(messy_clinic_appointments[[#This Row],[billing_amount]]&lt;= 400, "Medium", "High"))</f>
        <v>High</v>
      </c>
      <c r="K787" s="14" t="s">
        <v>2013</v>
      </c>
      <c r="L787" s="2">
        <f>DATEDIF(messy_clinic_appointments[[#This Row],[booking_date]],messy_clinic_appointments[[#This Row],[appointment_date]],"d")</f>
        <v>32</v>
      </c>
      <c r="M787" s="14" t="str">
        <f>IF(messy_clinic_appointments[[#This Row],[days_to_appointment]]&gt;365, "Review", "OK")</f>
        <v>OK</v>
      </c>
    </row>
    <row r="788" spans="1:13" x14ac:dyDescent="0.25">
      <c r="A788">
        <v>1080</v>
      </c>
      <c r="B788" s="14" t="s">
        <v>1557</v>
      </c>
      <c r="C788">
        <v>49</v>
      </c>
      <c r="D788" s="14" t="s">
        <v>2022</v>
      </c>
      <c r="E788" s="1">
        <v>45960</v>
      </c>
      <c r="F788" s="1">
        <v>45820</v>
      </c>
      <c r="G788" s="14" t="s">
        <v>1558</v>
      </c>
      <c r="H788" s="14" t="s">
        <v>18</v>
      </c>
      <c r="I788" s="14" t="s">
        <v>2762</v>
      </c>
      <c r="J788" s="14" t="str">
        <f>IF(messy_clinic_appointments[[#This Row],[billing_amount]] &lt; 200, "Low", IF(messy_clinic_appointments[[#This Row],[billing_amount]]&lt;= 400, "Medium", "High"))</f>
        <v>High</v>
      </c>
      <c r="K788" s="14" t="s">
        <v>2026</v>
      </c>
      <c r="L788" s="2">
        <f>DATEDIF(messy_clinic_appointments[[#This Row],[booking_date]],messy_clinic_appointments[[#This Row],[appointment_date]],"d")</f>
        <v>140</v>
      </c>
      <c r="M788" s="14" t="str">
        <f>IF(messy_clinic_appointments[[#This Row],[days_to_appointment]]&gt;365, "Review", "OK")</f>
        <v>OK</v>
      </c>
    </row>
    <row r="789" spans="1:13" x14ac:dyDescent="0.25">
      <c r="A789">
        <v>1069</v>
      </c>
      <c r="B789" s="14" t="s">
        <v>1559</v>
      </c>
      <c r="C789">
        <v>48</v>
      </c>
      <c r="D789" s="14" t="s">
        <v>2011</v>
      </c>
      <c r="E789" s="1">
        <v>45931</v>
      </c>
      <c r="F789" s="1">
        <v>45599</v>
      </c>
      <c r="G789" s="14" t="s">
        <v>1560</v>
      </c>
      <c r="H789" s="14" t="s">
        <v>12</v>
      </c>
      <c r="I789" s="14" t="s">
        <v>2763</v>
      </c>
      <c r="J789" s="14" t="str">
        <f>IF(messy_clinic_appointments[[#This Row],[billing_amount]] &lt; 200, "Low", IF(messy_clinic_appointments[[#This Row],[billing_amount]]&lt;= 400, "Medium", "High"))</f>
        <v>High</v>
      </c>
      <c r="K789" s="14" t="s">
        <v>22</v>
      </c>
      <c r="L789" s="2">
        <f>DATEDIF(messy_clinic_appointments[[#This Row],[booking_date]],messy_clinic_appointments[[#This Row],[appointment_date]],"d")</f>
        <v>332</v>
      </c>
      <c r="M789" s="14" t="str">
        <f>IF(messy_clinic_appointments[[#This Row],[days_to_appointment]]&gt;365, "Review", "OK")</f>
        <v>OK</v>
      </c>
    </row>
    <row r="790" spans="1:13" x14ac:dyDescent="0.25">
      <c r="A790">
        <v>1051</v>
      </c>
      <c r="B790" s="14" t="s">
        <v>1561</v>
      </c>
      <c r="C790">
        <v>63</v>
      </c>
      <c r="D790" s="14" t="s">
        <v>2039</v>
      </c>
      <c r="E790" s="1">
        <v>46083</v>
      </c>
      <c r="F790" s="1">
        <v>45720</v>
      </c>
      <c r="G790" s="14" t="s">
        <v>1562</v>
      </c>
      <c r="H790" s="14" t="s">
        <v>21</v>
      </c>
      <c r="I790" s="14" t="s">
        <v>2764</v>
      </c>
      <c r="J790" s="14" t="str">
        <f>IF(messy_clinic_appointments[[#This Row],[billing_amount]] &lt; 200, "Low", IF(messy_clinic_appointments[[#This Row],[billing_amount]]&lt;= 400, "Medium", "High"))</f>
        <v>High</v>
      </c>
      <c r="K790" s="14" t="s">
        <v>28</v>
      </c>
      <c r="L790" s="2">
        <f>DATEDIF(messy_clinic_appointments[[#This Row],[booking_date]],messy_clinic_appointments[[#This Row],[appointment_date]],"d")</f>
        <v>363</v>
      </c>
      <c r="M790" s="14" t="str">
        <f>IF(messy_clinic_appointments[[#This Row],[days_to_appointment]]&gt;365, "Review", "OK")</f>
        <v>OK</v>
      </c>
    </row>
    <row r="791" spans="1:13" x14ac:dyDescent="0.25">
      <c r="A791">
        <v>1092</v>
      </c>
      <c r="B791" s="14" t="s">
        <v>1563</v>
      </c>
      <c r="C791">
        <v>44</v>
      </c>
      <c r="D791" s="14" t="s">
        <v>2039</v>
      </c>
      <c r="E791" s="1">
        <v>45992</v>
      </c>
      <c r="F791" s="1">
        <v>45504</v>
      </c>
      <c r="G791" s="14" t="s">
        <v>1564</v>
      </c>
      <c r="H791" s="14" t="s">
        <v>15</v>
      </c>
      <c r="I791" s="14" t="s">
        <v>2765</v>
      </c>
      <c r="J791" s="14" t="str">
        <f>IF(messy_clinic_appointments[[#This Row],[billing_amount]] &lt; 200, "Low", IF(messy_clinic_appointments[[#This Row],[billing_amount]]&lt;= 400, "Medium", "High"))</f>
        <v>High</v>
      </c>
      <c r="K791" s="14" t="s">
        <v>2013</v>
      </c>
      <c r="L791" s="2">
        <f>DATEDIF(messy_clinic_appointments[[#This Row],[booking_date]],messy_clinic_appointments[[#This Row],[appointment_date]],"d")</f>
        <v>488</v>
      </c>
      <c r="M791" s="14" t="str">
        <f>IF(messy_clinic_appointments[[#This Row],[days_to_appointment]]&gt;365, "Review", "OK")</f>
        <v>Review</v>
      </c>
    </row>
    <row r="792" spans="1:13" x14ac:dyDescent="0.25">
      <c r="A792">
        <v>1093</v>
      </c>
      <c r="B792" s="14" t="s">
        <v>137</v>
      </c>
      <c r="C792">
        <v>23</v>
      </c>
      <c r="D792" s="14" t="s">
        <v>50</v>
      </c>
      <c r="E792" s="1">
        <v>45909</v>
      </c>
      <c r="F792" s="1">
        <v>45621</v>
      </c>
      <c r="G792" s="14" t="s">
        <v>1565</v>
      </c>
      <c r="H792" s="14" t="s">
        <v>21</v>
      </c>
      <c r="I792" s="14" t="s">
        <v>2766</v>
      </c>
      <c r="J792" s="14" t="str">
        <f>IF(messy_clinic_appointments[[#This Row],[billing_amount]] &lt; 200, "Low", IF(messy_clinic_appointments[[#This Row],[billing_amount]]&lt;= 400, "Medium", "High"))</f>
        <v>High</v>
      </c>
      <c r="K792" s="14" t="s">
        <v>2039</v>
      </c>
      <c r="L792" s="2">
        <f>DATEDIF(messy_clinic_appointments[[#This Row],[booking_date]],messy_clinic_appointments[[#This Row],[appointment_date]],"d")</f>
        <v>288</v>
      </c>
      <c r="M792" s="14" t="str">
        <f>IF(messy_clinic_appointments[[#This Row],[days_to_appointment]]&gt;365, "Review", "OK")</f>
        <v>OK</v>
      </c>
    </row>
    <row r="793" spans="1:13" x14ac:dyDescent="0.25">
      <c r="A793">
        <v>1075</v>
      </c>
      <c r="B793" s="14" t="s">
        <v>1566</v>
      </c>
      <c r="C793">
        <v>48</v>
      </c>
      <c r="D793" s="14" t="s">
        <v>2039</v>
      </c>
      <c r="E793" s="1">
        <v>45828</v>
      </c>
      <c r="F793" s="1">
        <v>45540</v>
      </c>
      <c r="G793" s="14" t="s">
        <v>1567</v>
      </c>
      <c r="H793" s="14" t="s">
        <v>21</v>
      </c>
      <c r="I793" s="14" t="s">
        <v>24</v>
      </c>
      <c r="J793" s="14" t="str">
        <f>IF(messy_clinic_appointments[[#This Row],[billing_amount]] &lt; 200, "Low", IF(messy_clinic_appointments[[#This Row],[billing_amount]]&lt;= 400, "Medium", "High"))</f>
        <v>High</v>
      </c>
      <c r="K793" s="14" t="s">
        <v>2010</v>
      </c>
      <c r="L793" s="2">
        <f>DATEDIF(messy_clinic_appointments[[#This Row],[booking_date]],messy_clinic_appointments[[#This Row],[appointment_date]],"d")</f>
        <v>288</v>
      </c>
      <c r="M793" s="14" t="str">
        <f>IF(messy_clinic_appointments[[#This Row],[days_to_appointment]]&gt;365, "Review", "OK")</f>
        <v>OK</v>
      </c>
    </row>
    <row r="794" spans="1:13" x14ac:dyDescent="0.25">
      <c r="A794">
        <v>1055</v>
      </c>
      <c r="B794" s="14" t="s">
        <v>1568</v>
      </c>
      <c r="C794">
        <v>71</v>
      </c>
      <c r="D794" s="14" t="s">
        <v>50</v>
      </c>
      <c r="E794" s="1">
        <v>45794</v>
      </c>
      <c r="F794" s="1">
        <v>45501</v>
      </c>
      <c r="G794" s="14" t="s">
        <v>1569</v>
      </c>
      <c r="H794" s="14" t="s">
        <v>15</v>
      </c>
      <c r="I794" s="14" t="s">
        <v>2767</v>
      </c>
      <c r="J794" s="14" t="str">
        <f>IF(messy_clinic_appointments[[#This Row],[billing_amount]] &lt; 200, "Low", IF(messy_clinic_appointments[[#This Row],[billing_amount]]&lt;= 400, "Medium", "High"))</f>
        <v>High</v>
      </c>
      <c r="K794" s="14" t="s">
        <v>2013</v>
      </c>
      <c r="L794" s="2">
        <f>DATEDIF(messy_clinic_appointments[[#This Row],[booking_date]],messy_clinic_appointments[[#This Row],[appointment_date]],"d")</f>
        <v>293</v>
      </c>
      <c r="M794" s="14" t="str">
        <f>IF(messy_clinic_appointments[[#This Row],[days_to_appointment]]&gt;365, "Review", "OK")</f>
        <v>OK</v>
      </c>
    </row>
    <row r="795" spans="1:13" x14ac:dyDescent="0.25">
      <c r="A795">
        <v>1033</v>
      </c>
      <c r="B795" s="14" t="s">
        <v>1570</v>
      </c>
      <c r="C795">
        <v>74</v>
      </c>
      <c r="D795" s="14" t="s">
        <v>2039</v>
      </c>
      <c r="E795" s="1">
        <v>45886</v>
      </c>
      <c r="F795" s="1">
        <v>45586</v>
      </c>
      <c r="G795" s="14" t="s">
        <v>1571</v>
      </c>
      <c r="H795" s="14" t="s">
        <v>21</v>
      </c>
      <c r="I795" s="14" t="s">
        <v>2768</v>
      </c>
      <c r="J795" s="14" t="str">
        <f>IF(messy_clinic_appointments[[#This Row],[billing_amount]] &lt; 200, "Low", IF(messy_clinic_appointments[[#This Row],[billing_amount]]&lt;= 400, "Medium", "High"))</f>
        <v>High</v>
      </c>
      <c r="K795" s="14" t="s">
        <v>2039</v>
      </c>
      <c r="L795" s="2">
        <f>DATEDIF(messy_clinic_appointments[[#This Row],[booking_date]],messy_clinic_appointments[[#This Row],[appointment_date]],"d")</f>
        <v>300</v>
      </c>
      <c r="M795" s="14" t="str">
        <f>IF(messy_clinic_appointments[[#This Row],[days_to_appointment]]&gt;365, "Review", "OK")</f>
        <v>OK</v>
      </c>
    </row>
    <row r="796" spans="1:13" x14ac:dyDescent="0.25">
      <c r="A796">
        <v>1074</v>
      </c>
      <c r="B796" s="14" t="s">
        <v>1572</v>
      </c>
      <c r="C796">
        <v>48</v>
      </c>
      <c r="D796" s="14" t="s">
        <v>2039</v>
      </c>
      <c r="E796" s="1">
        <v>45755</v>
      </c>
      <c r="F796" s="1">
        <v>45691</v>
      </c>
      <c r="G796" s="14" t="s">
        <v>1573</v>
      </c>
      <c r="H796" s="14" t="s">
        <v>12</v>
      </c>
      <c r="I796" s="14" t="s">
        <v>2769</v>
      </c>
      <c r="J796" s="14" t="str">
        <f>IF(messy_clinic_appointments[[#This Row],[billing_amount]] &lt; 200, "Low", IF(messy_clinic_appointments[[#This Row],[billing_amount]]&lt;= 400, "Medium", "High"))</f>
        <v>High</v>
      </c>
      <c r="K796" s="14" t="s">
        <v>2039</v>
      </c>
      <c r="L796" s="2">
        <f>DATEDIF(messy_clinic_appointments[[#This Row],[booking_date]],messy_clinic_appointments[[#This Row],[appointment_date]],"d")</f>
        <v>64</v>
      </c>
      <c r="M796" s="14" t="str">
        <f>IF(messy_clinic_appointments[[#This Row],[days_to_appointment]]&gt;365, "Review", "OK")</f>
        <v>OK</v>
      </c>
    </row>
    <row r="797" spans="1:13" x14ac:dyDescent="0.25">
      <c r="A797">
        <v>1039</v>
      </c>
      <c r="B797" s="14" t="s">
        <v>1574</v>
      </c>
      <c r="C797">
        <v>58</v>
      </c>
      <c r="D797" s="14" t="s">
        <v>50</v>
      </c>
      <c r="E797" s="1">
        <v>45753</v>
      </c>
      <c r="F797" s="1">
        <v>45509</v>
      </c>
      <c r="G797" s="14" t="s">
        <v>1575</v>
      </c>
      <c r="H797" s="14" t="s">
        <v>18</v>
      </c>
      <c r="I797" s="14" t="s">
        <v>2770</v>
      </c>
      <c r="J797" s="14" t="str">
        <f>IF(messy_clinic_appointments[[#This Row],[billing_amount]] &lt; 200, "Low", IF(messy_clinic_appointments[[#This Row],[billing_amount]]&lt;= 400, "Medium", "High"))</f>
        <v>High</v>
      </c>
      <c r="K797" s="14" t="s">
        <v>2010</v>
      </c>
      <c r="L797" s="2">
        <f>DATEDIF(messy_clinic_appointments[[#This Row],[booking_date]],messy_clinic_appointments[[#This Row],[appointment_date]],"d")</f>
        <v>244</v>
      </c>
      <c r="M797" s="14" t="str">
        <f>IF(messy_clinic_appointments[[#This Row],[days_to_appointment]]&gt;365, "Review", "OK")</f>
        <v>OK</v>
      </c>
    </row>
    <row r="798" spans="1:13" x14ac:dyDescent="0.25">
      <c r="A798">
        <v>1050</v>
      </c>
      <c r="B798" s="14" t="s">
        <v>1576</v>
      </c>
      <c r="C798">
        <v>46</v>
      </c>
      <c r="D798" s="14" t="s">
        <v>30</v>
      </c>
      <c r="E798" s="1">
        <v>45763</v>
      </c>
      <c r="F798" s="1">
        <v>45589</v>
      </c>
      <c r="G798" s="14" t="s">
        <v>1577</v>
      </c>
      <c r="H798" s="14" t="s">
        <v>12</v>
      </c>
      <c r="I798" s="14" t="s">
        <v>24</v>
      </c>
      <c r="J798" s="14" t="str">
        <f>IF(messy_clinic_appointments[[#This Row],[billing_amount]] &lt; 200, "Low", IF(messy_clinic_appointments[[#This Row],[billing_amount]]&lt;= 400, "Medium", "High"))</f>
        <v>High</v>
      </c>
      <c r="K798" s="14" t="s">
        <v>2039</v>
      </c>
      <c r="L798" s="2">
        <f>DATEDIF(messy_clinic_appointments[[#This Row],[booking_date]],messy_clinic_appointments[[#This Row],[appointment_date]],"d")</f>
        <v>174</v>
      </c>
      <c r="M798" s="14" t="str">
        <f>IF(messy_clinic_appointments[[#This Row],[days_to_appointment]]&gt;365, "Review", "OK")</f>
        <v>OK</v>
      </c>
    </row>
    <row r="799" spans="1:13" x14ac:dyDescent="0.25">
      <c r="A799">
        <v>1056</v>
      </c>
      <c r="B799" s="14" t="s">
        <v>1578</v>
      </c>
      <c r="C799">
        <v>71</v>
      </c>
      <c r="D799" s="14" t="s">
        <v>30</v>
      </c>
      <c r="E799" s="1">
        <v>45984</v>
      </c>
      <c r="F799" s="1">
        <v>45885</v>
      </c>
      <c r="G799" s="14" t="s">
        <v>1579</v>
      </c>
      <c r="H799" s="14" t="s">
        <v>21</v>
      </c>
      <c r="I799" s="14" t="s">
        <v>2771</v>
      </c>
      <c r="J799" s="14" t="str">
        <f>IF(messy_clinic_appointments[[#This Row],[billing_amount]] &lt; 200, "Low", IF(messy_clinic_appointments[[#This Row],[billing_amount]]&lt;= 400, "Medium", "High"))</f>
        <v>High</v>
      </c>
      <c r="K799" s="14" t="s">
        <v>2039</v>
      </c>
      <c r="L799" s="2">
        <f>DATEDIF(messy_clinic_appointments[[#This Row],[booking_date]],messy_clinic_appointments[[#This Row],[appointment_date]],"d")</f>
        <v>99</v>
      </c>
      <c r="M799" s="14" t="str">
        <f>IF(messy_clinic_appointments[[#This Row],[days_to_appointment]]&gt;365, "Review", "OK")</f>
        <v>OK</v>
      </c>
    </row>
    <row r="800" spans="1:13" x14ac:dyDescent="0.25">
      <c r="A800">
        <v>1025</v>
      </c>
      <c r="B800" s="14" t="s">
        <v>1580</v>
      </c>
      <c r="C800">
        <v>28</v>
      </c>
      <c r="D800" s="14" t="s">
        <v>2010</v>
      </c>
      <c r="E800" s="1">
        <v>45956</v>
      </c>
      <c r="F800" s="1">
        <v>45710</v>
      </c>
      <c r="G800" s="14" t="s">
        <v>1581</v>
      </c>
      <c r="H800" s="14" t="s">
        <v>15</v>
      </c>
      <c r="I800" s="14" t="s">
        <v>2772</v>
      </c>
      <c r="J800" s="14" t="str">
        <f>IF(messy_clinic_appointments[[#This Row],[billing_amount]] &lt; 200, "Low", IF(messy_clinic_appointments[[#This Row],[billing_amount]]&lt;= 400, "Medium", "High"))</f>
        <v>High</v>
      </c>
      <c r="K800" s="14" t="s">
        <v>28</v>
      </c>
      <c r="L800" s="2">
        <f>DATEDIF(messy_clinic_appointments[[#This Row],[booking_date]],messy_clinic_appointments[[#This Row],[appointment_date]],"d")</f>
        <v>246</v>
      </c>
      <c r="M800" s="14" t="str">
        <f>IF(messy_clinic_appointments[[#This Row],[days_to_appointment]]&gt;365, "Review", "OK")</f>
        <v>OK</v>
      </c>
    </row>
    <row r="801" spans="1:13" x14ac:dyDescent="0.25">
      <c r="A801">
        <v>1037</v>
      </c>
      <c r="B801" s="14" t="s">
        <v>1582</v>
      </c>
      <c r="C801">
        <v>39</v>
      </c>
      <c r="D801" s="14" t="s">
        <v>2014</v>
      </c>
      <c r="E801" s="1">
        <v>45986</v>
      </c>
      <c r="F801" s="1">
        <v>45864</v>
      </c>
      <c r="G801" s="14" t="s">
        <v>1583</v>
      </c>
      <c r="H801" s="14" t="s">
        <v>21</v>
      </c>
      <c r="I801" s="14" t="s">
        <v>2773</v>
      </c>
      <c r="J801" s="14" t="str">
        <f>IF(messy_clinic_appointments[[#This Row],[billing_amount]] &lt; 200, "Low", IF(messy_clinic_appointments[[#This Row],[billing_amount]]&lt;= 400, "Medium", "High"))</f>
        <v>High</v>
      </c>
      <c r="K801" s="14" t="s">
        <v>2013</v>
      </c>
      <c r="L801" s="2">
        <f>DATEDIF(messy_clinic_appointments[[#This Row],[booking_date]],messy_clinic_appointments[[#This Row],[appointment_date]],"d")</f>
        <v>122</v>
      </c>
      <c r="M801" s="14" t="str">
        <f>IF(messy_clinic_appointments[[#This Row],[days_to_appointment]]&gt;365, "Review", "OK")</f>
        <v>OK</v>
      </c>
    </row>
    <row r="802" spans="1:13" x14ac:dyDescent="0.25">
      <c r="A802">
        <v>1010</v>
      </c>
      <c r="B802" s="14" t="s">
        <v>1584</v>
      </c>
      <c r="C802">
        <v>71</v>
      </c>
      <c r="D802" s="14" t="s">
        <v>30</v>
      </c>
      <c r="E802" s="1">
        <v>45838</v>
      </c>
      <c r="F802" s="1">
        <v>45517</v>
      </c>
      <c r="G802" s="14" t="s">
        <v>1585</v>
      </c>
      <c r="H802" s="14" t="s">
        <v>15</v>
      </c>
      <c r="I802" s="14" t="s">
        <v>2774</v>
      </c>
      <c r="J802" s="14" t="str">
        <f>IF(messy_clinic_appointments[[#This Row],[billing_amount]] &lt; 200, "Low", IF(messy_clinic_appointments[[#This Row],[billing_amount]]&lt;= 400, "Medium", "High"))</f>
        <v>High</v>
      </c>
      <c r="K802" s="14" t="s">
        <v>2013</v>
      </c>
      <c r="L802" s="2">
        <f>DATEDIF(messy_clinic_appointments[[#This Row],[booking_date]],messy_clinic_appointments[[#This Row],[appointment_date]],"d")</f>
        <v>321</v>
      </c>
      <c r="M802" s="14" t="str">
        <f>IF(messy_clinic_appointments[[#This Row],[days_to_appointment]]&gt;365, "Review", "OK")</f>
        <v>OK</v>
      </c>
    </row>
    <row r="803" spans="1:13" x14ac:dyDescent="0.25">
      <c r="A803">
        <v>1039</v>
      </c>
      <c r="B803" s="14" t="s">
        <v>1586</v>
      </c>
      <c r="C803">
        <v>46</v>
      </c>
      <c r="D803" s="14" t="s">
        <v>2011</v>
      </c>
      <c r="E803" s="1">
        <v>45867</v>
      </c>
      <c r="F803" s="1">
        <v>45669</v>
      </c>
      <c r="G803" s="14" t="s">
        <v>1587</v>
      </c>
      <c r="H803" s="14" t="s">
        <v>12</v>
      </c>
      <c r="I803" s="14" t="s">
        <v>2775</v>
      </c>
      <c r="J803" s="14" t="str">
        <f>IF(messy_clinic_appointments[[#This Row],[billing_amount]] &lt; 200, "Low", IF(messy_clinic_appointments[[#This Row],[billing_amount]]&lt;= 400, "Medium", "High"))</f>
        <v>High</v>
      </c>
      <c r="K803" s="14" t="s">
        <v>2010</v>
      </c>
      <c r="L803" s="2">
        <f>DATEDIF(messy_clinic_appointments[[#This Row],[booking_date]],messy_clinic_appointments[[#This Row],[appointment_date]],"d")</f>
        <v>198</v>
      </c>
      <c r="M803" s="14" t="str">
        <f>IF(messy_clinic_appointments[[#This Row],[days_to_appointment]]&gt;365, "Review", "OK")</f>
        <v>OK</v>
      </c>
    </row>
    <row r="804" spans="1:13" x14ac:dyDescent="0.25">
      <c r="A804">
        <v>1040</v>
      </c>
      <c r="B804" s="14" t="s">
        <v>1588</v>
      </c>
      <c r="C804">
        <v>62</v>
      </c>
      <c r="D804" s="14" t="s">
        <v>2022</v>
      </c>
      <c r="E804" s="1">
        <v>46043</v>
      </c>
      <c r="F804" s="1">
        <v>45639</v>
      </c>
      <c r="G804" s="14" t="s">
        <v>1589</v>
      </c>
      <c r="H804" s="14" t="s">
        <v>18</v>
      </c>
      <c r="I804" s="14" t="s">
        <v>2776</v>
      </c>
      <c r="J804" s="14" t="str">
        <f>IF(messy_clinic_appointments[[#This Row],[billing_amount]] &lt; 200, "Low", IF(messy_clinic_appointments[[#This Row],[billing_amount]]&lt;= 400, "Medium", "High"))</f>
        <v>High</v>
      </c>
      <c r="K804" s="14" t="s">
        <v>28</v>
      </c>
      <c r="L804" s="2">
        <f>DATEDIF(messy_clinic_appointments[[#This Row],[booking_date]],messy_clinic_appointments[[#This Row],[appointment_date]],"d")</f>
        <v>404</v>
      </c>
      <c r="M804" s="14" t="str">
        <f>IF(messy_clinic_appointments[[#This Row],[days_to_appointment]]&gt;365, "Review", "OK")</f>
        <v>Review</v>
      </c>
    </row>
    <row r="805" spans="1:13" x14ac:dyDescent="0.25">
      <c r="A805">
        <v>1100</v>
      </c>
      <c r="B805" s="14" t="s">
        <v>1590</v>
      </c>
      <c r="C805">
        <v>52</v>
      </c>
      <c r="D805" s="14" t="s">
        <v>30</v>
      </c>
      <c r="E805" s="1">
        <v>45967</v>
      </c>
      <c r="F805" s="1">
        <v>45556</v>
      </c>
      <c r="G805" s="14" t="s">
        <v>1591</v>
      </c>
      <c r="H805" s="14" t="s">
        <v>18</v>
      </c>
      <c r="I805" s="14" t="s">
        <v>2777</v>
      </c>
      <c r="J805" s="14" t="str">
        <f>IF(messy_clinic_appointments[[#This Row],[billing_amount]] &lt; 200, "Low", IF(messy_clinic_appointments[[#This Row],[billing_amount]]&lt;= 400, "Medium", "High"))</f>
        <v>High</v>
      </c>
      <c r="K805" s="14" t="s">
        <v>2010</v>
      </c>
      <c r="L805" s="2">
        <f>DATEDIF(messy_clinic_appointments[[#This Row],[booking_date]],messy_clinic_appointments[[#This Row],[appointment_date]],"d")</f>
        <v>411</v>
      </c>
      <c r="M805" s="14" t="str">
        <f>IF(messy_clinic_appointments[[#This Row],[days_to_appointment]]&gt;365, "Review", "OK")</f>
        <v>Review</v>
      </c>
    </row>
    <row r="806" spans="1:13" x14ac:dyDescent="0.25">
      <c r="A806">
        <v>1071</v>
      </c>
      <c r="B806" s="14" t="s">
        <v>1592</v>
      </c>
      <c r="C806">
        <v>41</v>
      </c>
      <c r="D806" s="14" t="s">
        <v>2008</v>
      </c>
      <c r="E806" s="1">
        <v>46083</v>
      </c>
      <c r="F806" s="1">
        <v>45927</v>
      </c>
      <c r="G806" s="14" t="s">
        <v>1593</v>
      </c>
      <c r="H806" s="14" t="s">
        <v>21</v>
      </c>
      <c r="I806" s="14" t="s">
        <v>2778</v>
      </c>
      <c r="J806" s="14" t="str">
        <f>IF(messy_clinic_appointments[[#This Row],[billing_amount]] &lt; 200, "Low", IF(messy_clinic_appointments[[#This Row],[billing_amount]]&lt;= 400, "Medium", "High"))</f>
        <v>High</v>
      </c>
      <c r="K806" s="14" t="s">
        <v>2026</v>
      </c>
      <c r="L806" s="2">
        <f>DATEDIF(messy_clinic_appointments[[#This Row],[booking_date]],messy_clinic_appointments[[#This Row],[appointment_date]],"d")</f>
        <v>156</v>
      </c>
      <c r="M806" s="14" t="str">
        <f>IF(messy_clinic_appointments[[#This Row],[days_to_appointment]]&gt;365, "Review", "OK")</f>
        <v>OK</v>
      </c>
    </row>
    <row r="807" spans="1:13" x14ac:dyDescent="0.25">
      <c r="A807">
        <v>1097</v>
      </c>
      <c r="B807" s="14" t="s">
        <v>1594</v>
      </c>
      <c r="C807">
        <v>88</v>
      </c>
      <c r="D807" s="14" t="s">
        <v>2011</v>
      </c>
      <c r="E807" s="1">
        <v>46018</v>
      </c>
      <c r="F807" s="1">
        <v>45651</v>
      </c>
      <c r="G807" s="14" t="s">
        <v>1595</v>
      </c>
      <c r="H807" s="14" t="s">
        <v>21</v>
      </c>
      <c r="I807" s="14" t="s">
        <v>2779</v>
      </c>
      <c r="J807" s="14" t="str">
        <f>IF(messy_clinic_appointments[[#This Row],[billing_amount]] &lt; 200, "Low", IF(messy_clinic_appointments[[#This Row],[billing_amount]]&lt;= 400, "Medium", "High"))</f>
        <v>High</v>
      </c>
      <c r="K807" s="14" t="s">
        <v>2013</v>
      </c>
      <c r="L807" s="2">
        <f>DATEDIF(messy_clinic_appointments[[#This Row],[booking_date]],messy_clinic_appointments[[#This Row],[appointment_date]],"d")</f>
        <v>367</v>
      </c>
      <c r="M807" s="14" t="str">
        <f>IF(messy_clinic_appointments[[#This Row],[days_to_appointment]]&gt;365, "Review", "OK")</f>
        <v>Review</v>
      </c>
    </row>
    <row r="808" spans="1:13" x14ac:dyDescent="0.25">
      <c r="A808">
        <v>1047</v>
      </c>
      <c r="B808" s="14" t="s">
        <v>1596</v>
      </c>
      <c r="C808">
        <v>51</v>
      </c>
      <c r="D808" s="14" t="s">
        <v>2010</v>
      </c>
      <c r="E808" s="1">
        <v>45962</v>
      </c>
      <c r="F808" s="1">
        <v>45928</v>
      </c>
      <c r="G808" s="14" t="s">
        <v>1597</v>
      </c>
      <c r="H808" s="14" t="s">
        <v>18</v>
      </c>
      <c r="I808" s="14" t="s">
        <v>2780</v>
      </c>
      <c r="J808" s="14" t="str">
        <f>IF(messy_clinic_appointments[[#This Row],[billing_amount]] &lt; 200, "Low", IF(messy_clinic_appointments[[#This Row],[billing_amount]]&lt;= 400, "Medium", "High"))</f>
        <v>High</v>
      </c>
      <c r="K808" s="14" t="s">
        <v>2010</v>
      </c>
      <c r="L808" s="2">
        <f>DATEDIF(messy_clinic_appointments[[#This Row],[booking_date]],messy_clinic_appointments[[#This Row],[appointment_date]],"d")</f>
        <v>34</v>
      </c>
      <c r="M808" s="14" t="str">
        <f>IF(messy_clinic_appointments[[#This Row],[days_to_appointment]]&gt;365, "Review", "OK")</f>
        <v>OK</v>
      </c>
    </row>
    <row r="809" spans="1:13" x14ac:dyDescent="0.25">
      <c r="A809">
        <v>1041</v>
      </c>
      <c r="B809" s="14" t="s">
        <v>1598</v>
      </c>
      <c r="C809">
        <v>70</v>
      </c>
      <c r="D809" s="14" t="s">
        <v>2010</v>
      </c>
      <c r="E809" s="1">
        <v>45864</v>
      </c>
      <c r="F809" s="1">
        <v>45537</v>
      </c>
      <c r="G809" s="14" t="s">
        <v>1599</v>
      </c>
      <c r="H809" s="14" t="s">
        <v>18</v>
      </c>
      <c r="I809" s="14" t="s">
        <v>24</v>
      </c>
      <c r="J809" s="14" t="str">
        <f>IF(messy_clinic_appointments[[#This Row],[billing_amount]] &lt; 200, "Low", IF(messy_clinic_appointments[[#This Row],[billing_amount]]&lt;= 400, "Medium", "High"))</f>
        <v>High</v>
      </c>
      <c r="K809" s="14" t="s">
        <v>2039</v>
      </c>
      <c r="L809" s="2">
        <f>DATEDIF(messy_clinic_appointments[[#This Row],[booking_date]],messy_clinic_appointments[[#This Row],[appointment_date]],"d")</f>
        <v>327</v>
      </c>
      <c r="M809" s="14" t="str">
        <f>IF(messy_clinic_appointments[[#This Row],[days_to_appointment]]&gt;365, "Review", "OK")</f>
        <v>OK</v>
      </c>
    </row>
    <row r="810" spans="1:13" x14ac:dyDescent="0.25">
      <c r="A810">
        <v>1067</v>
      </c>
      <c r="B810" s="14" t="s">
        <v>1600</v>
      </c>
      <c r="C810">
        <v>57</v>
      </c>
      <c r="D810" s="14" t="s">
        <v>2008</v>
      </c>
      <c r="E810" s="1">
        <v>46013</v>
      </c>
      <c r="F810" s="1">
        <v>45663</v>
      </c>
      <c r="G810" s="14" t="s">
        <v>411</v>
      </c>
      <c r="H810" s="14" t="s">
        <v>18</v>
      </c>
      <c r="I810" s="14" t="s">
        <v>2781</v>
      </c>
      <c r="J810" s="14" t="str">
        <f>IF(messy_clinic_appointments[[#This Row],[billing_amount]] &lt; 200, "Low", IF(messy_clinic_appointments[[#This Row],[billing_amount]]&lt;= 400, "Medium", "High"))</f>
        <v>High</v>
      </c>
      <c r="K810" s="14" t="s">
        <v>2026</v>
      </c>
      <c r="L810" s="2">
        <f>DATEDIF(messy_clinic_appointments[[#This Row],[booking_date]],messy_clinic_appointments[[#This Row],[appointment_date]],"d")</f>
        <v>350</v>
      </c>
      <c r="M810" s="14" t="str">
        <f>IF(messy_clinic_appointments[[#This Row],[days_to_appointment]]&gt;365, "Review", "OK")</f>
        <v>OK</v>
      </c>
    </row>
    <row r="811" spans="1:13" x14ac:dyDescent="0.25">
      <c r="A811">
        <v>1064</v>
      </c>
      <c r="B811" s="14" t="s">
        <v>1601</v>
      </c>
      <c r="C811">
        <v>57</v>
      </c>
      <c r="D811" s="14" t="s">
        <v>2022</v>
      </c>
      <c r="E811" s="1">
        <v>45907</v>
      </c>
      <c r="F811" s="1">
        <v>45569</v>
      </c>
      <c r="G811" s="14" t="s">
        <v>1602</v>
      </c>
      <c r="H811" s="14" t="s">
        <v>21</v>
      </c>
      <c r="I811" s="14" t="s">
        <v>2782</v>
      </c>
      <c r="J811" s="14" t="str">
        <f>IF(messy_clinic_appointments[[#This Row],[billing_amount]] &lt; 200, "Low", IF(messy_clinic_appointments[[#This Row],[billing_amount]]&lt;= 400, "Medium", "High"))</f>
        <v>High</v>
      </c>
      <c r="K811" s="14" t="s">
        <v>2039</v>
      </c>
      <c r="L811" s="2">
        <f>DATEDIF(messy_clinic_appointments[[#This Row],[booking_date]],messy_clinic_appointments[[#This Row],[appointment_date]],"d")</f>
        <v>338</v>
      </c>
      <c r="M811" s="14" t="str">
        <f>IF(messy_clinic_appointments[[#This Row],[days_to_appointment]]&gt;365, "Review", "OK")</f>
        <v>OK</v>
      </c>
    </row>
    <row r="812" spans="1:13" x14ac:dyDescent="0.25">
      <c r="A812">
        <v>1008</v>
      </c>
      <c r="B812" s="14" t="s">
        <v>1603</v>
      </c>
      <c r="C812">
        <v>22</v>
      </c>
      <c r="D812" s="14" t="s">
        <v>2008</v>
      </c>
      <c r="E812" s="1">
        <v>45912</v>
      </c>
      <c r="F812" s="1">
        <v>45555</v>
      </c>
      <c r="G812" s="14" t="s">
        <v>1604</v>
      </c>
      <c r="H812" s="14" t="s">
        <v>21</v>
      </c>
      <c r="I812" s="14" t="s">
        <v>2783</v>
      </c>
      <c r="J812" s="14" t="str">
        <f>IF(messy_clinic_appointments[[#This Row],[billing_amount]] &lt; 200, "Low", IF(messy_clinic_appointments[[#This Row],[billing_amount]]&lt;= 400, "Medium", "High"))</f>
        <v>High</v>
      </c>
      <c r="K812" s="14" t="s">
        <v>2010</v>
      </c>
      <c r="L812" s="2">
        <f>DATEDIF(messy_clinic_appointments[[#This Row],[booking_date]],messy_clinic_appointments[[#This Row],[appointment_date]],"d")</f>
        <v>357</v>
      </c>
      <c r="M812" s="14" t="str">
        <f>IF(messy_clinic_appointments[[#This Row],[days_to_appointment]]&gt;365, "Review", "OK")</f>
        <v>OK</v>
      </c>
    </row>
    <row r="813" spans="1:13" x14ac:dyDescent="0.25">
      <c r="A813">
        <v>1097</v>
      </c>
      <c r="B813" s="14" t="s">
        <v>1605</v>
      </c>
      <c r="C813">
        <v>42</v>
      </c>
      <c r="D813" s="14" t="s">
        <v>30</v>
      </c>
      <c r="E813" s="1">
        <v>46054</v>
      </c>
      <c r="F813" s="1">
        <v>46022</v>
      </c>
      <c r="G813" s="14" t="s">
        <v>1606</v>
      </c>
      <c r="H813" s="14" t="s">
        <v>18</v>
      </c>
      <c r="I813" s="14" t="s">
        <v>2784</v>
      </c>
      <c r="J813" s="14" t="str">
        <f>IF(messy_clinic_appointments[[#This Row],[billing_amount]] &lt; 200, "Low", IF(messy_clinic_appointments[[#This Row],[billing_amount]]&lt;= 400, "Medium", "High"))</f>
        <v>High</v>
      </c>
      <c r="K813" s="14" t="s">
        <v>22</v>
      </c>
      <c r="L813" s="2">
        <f>DATEDIF(messy_clinic_appointments[[#This Row],[booking_date]],messy_clinic_appointments[[#This Row],[appointment_date]],"d")</f>
        <v>32</v>
      </c>
      <c r="M813" s="14" t="str">
        <f>IF(messy_clinic_appointments[[#This Row],[days_to_appointment]]&gt;365, "Review", "OK")</f>
        <v>OK</v>
      </c>
    </row>
    <row r="814" spans="1:13" x14ac:dyDescent="0.25">
      <c r="A814">
        <v>1053</v>
      </c>
      <c r="B814" s="14" t="s">
        <v>1607</v>
      </c>
      <c r="C814">
        <v>39</v>
      </c>
      <c r="D814" s="14" t="s">
        <v>2010</v>
      </c>
      <c r="E814" s="1">
        <v>46037</v>
      </c>
      <c r="F814" s="1">
        <v>45972</v>
      </c>
      <c r="G814" s="14" t="s">
        <v>1608</v>
      </c>
      <c r="H814" s="14" t="s">
        <v>21</v>
      </c>
      <c r="I814" s="14" t="s">
        <v>2785</v>
      </c>
      <c r="J814" s="14" t="str">
        <f>IF(messy_clinic_appointments[[#This Row],[billing_amount]] &lt; 200, "Low", IF(messy_clinic_appointments[[#This Row],[billing_amount]]&lt;= 400, "Medium", "High"))</f>
        <v>High</v>
      </c>
      <c r="K814" s="14" t="s">
        <v>2026</v>
      </c>
      <c r="L814" s="2">
        <f>DATEDIF(messy_clinic_appointments[[#This Row],[booking_date]],messy_clinic_appointments[[#This Row],[appointment_date]],"d")</f>
        <v>65</v>
      </c>
      <c r="M814" s="14" t="str">
        <f>IF(messy_clinic_appointments[[#This Row],[days_to_appointment]]&gt;365, "Review", "OK")</f>
        <v>OK</v>
      </c>
    </row>
    <row r="815" spans="1:13" x14ac:dyDescent="0.25">
      <c r="A815">
        <v>1035</v>
      </c>
      <c r="B815" s="14" t="s">
        <v>1609</v>
      </c>
      <c r="C815">
        <v>46</v>
      </c>
      <c r="D815" s="14" t="s">
        <v>2011</v>
      </c>
      <c r="E815" s="1">
        <v>45882</v>
      </c>
      <c r="F815" s="1">
        <v>45802</v>
      </c>
      <c r="G815" s="14" t="s">
        <v>1610</v>
      </c>
      <c r="H815" s="14" t="s">
        <v>12</v>
      </c>
      <c r="I815" s="14" t="s">
        <v>2786</v>
      </c>
      <c r="J815" s="14" t="str">
        <f>IF(messy_clinic_appointments[[#This Row],[billing_amount]] &lt; 200, "Low", IF(messy_clinic_appointments[[#This Row],[billing_amount]]&lt;= 400, "Medium", "High"))</f>
        <v>High</v>
      </c>
      <c r="K815" s="14" t="s">
        <v>2010</v>
      </c>
      <c r="L815" s="2">
        <f>DATEDIF(messy_clinic_appointments[[#This Row],[booking_date]],messy_clinic_appointments[[#This Row],[appointment_date]],"d")</f>
        <v>80</v>
      </c>
      <c r="M815" s="14" t="str">
        <f>IF(messy_clinic_appointments[[#This Row],[days_to_appointment]]&gt;365, "Review", "OK")</f>
        <v>OK</v>
      </c>
    </row>
    <row r="816" spans="1:13" x14ac:dyDescent="0.25">
      <c r="A816">
        <v>1074</v>
      </c>
      <c r="B816" s="14" t="s">
        <v>1611</v>
      </c>
      <c r="C816">
        <v>87</v>
      </c>
      <c r="D816" s="14" t="s">
        <v>24</v>
      </c>
      <c r="E816" s="1">
        <v>45796</v>
      </c>
      <c r="F816" s="1">
        <v>45455</v>
      </c>
      <c r="G816" s="14" t="s">
        <v>1612</v>
      </c>
      <c r="H816" s="14" t="s">
        <v>21</v>
      </c>
      <c r="I816" s="14" t="s">
        <v>2787</v>
      </c>
      <c r="J816" s="14" t="str">
        <f>IF(messy_clinic_appointments[[#This Row],[billing_amount]] &lt; 200, "Low", IF(messy_clinic_appointments[[#This Row],[billing_amount]]&lt;= 400, "Medium", "High"))</f>
        <v>High</v>
      </c>
      <c r="K816" s="14" t="s">
        <v>2013</v>
      </c>
      <c r="L816" s="2">
        <f>DATEDIF(messy_clinic_appointments[[#This Row],[booking_date]],messy_clinic_appointments[[#This Row],[appointment_date]],"d")</f>
        <v>341</v>
      </c>
      <c r="M816" s="14" t="str">
        <f>IF(messy_clinic_appointments[[#This Row],[days_to_appointment]]&gt;365, "Review", "OK")</f>
        <v>OK</v>
      </c>
    </row>
    <row r="817" spans="1:13" x14ac:dyDescent="0.25">
      <c r="A817">
        <v>1015</v>
      </c>
      <c r="B817" s="14" t="s">
        <v>1613</v>
      </c>
      <c r="C817">
        <v>21</v>
      </c>
      <c r="D817" s="14" t="s">
        <v>2008</v>
      </c>
      <c r="E817" s="1">
        <v>45842</v>
      </c>
      <c r="F817" s="1">
        <v>45695</v>
      </c>
      <c r="G817" s="14" t="s">
        <v>1051</v>
      </c>
      <c r="H817" s="14" t="s">
        <v>12</v>
      </c>
      <c r="I817" s="14" t="s">
        <v>2788</v>
      </c>
      <c r="J817" s="14" t="str">
        <f>IF(messy_clinic_appointments[[#This Row],[billing_amount]] &lt; 200, "Low", IF(messy_clinic_appointments[[#This Row],[billing_amount]]&lt;= 400, "Medium", "High"))</f>
        <v>High</v>
      </c>
      <c r="K817" s="14" t="s">
        <v>2026</v>
      </c>
      <c r="L817" s="2">
        <f>DATEDIF(messy_clinic_appointments[[#This Row],[booking_date]],messy_clinic_appointments[[#This Row],[appointment_date]],"d")</f>
        <v>147</v>
      </c>
      <c r="M817" s="14" t="str">
        <f>IF(messy_clinic_appointments[[#This Row],[days_to_appointment]]&gt;365, "Review", "OK")</f>
        <v>OK</v>
      </c>
    </row>
    <row r="818" spans="1:13" x14ac:dyDescent="0.25">
      <c r="A818">
        <v>1071</v>
      </c>
      <c r="B818" s="14" t="s">
        <v>1614</v>
      </c>
      <c r="C818">
        <v>88</v>
      </c>
      <c r="D818" s="14" t="s">
        <v>2011</v>
      </c>
      <c r="E818" s="1">
        <v>45961</v>
      </c>
      <c r="F818" s="1">
        <v>45831</v>
      </c>
      <c r="G818" s="14" t="s">
        <v>1615</v>
      </c>
      <c r="H818" s="14" t="s">
        <v>12</v>
      </c>
      <c r="I818" s="14" t="s">
        <v>2789</v>
      </c>
      <c r="J818" s="14" t="str">
        <f>IF(messy_clinic_appointments[[#This Row],[billing_amount]] &lt; 200, "Low", IF(messy_clinic_appointments[[#This Row],[billing_amount]]&lt;= 400, "Medium", "High"))</f>
        <v>High</v>
      </c>
      <c r="K818" s="14" t="s">
        <v>28</v>
      </c>
      <c r="L818" s="2">
        <f>DATEDIF(messy_clinic_appointments[[#This Row],[booking_date]],messy_clinic_appointments[[#This Row],[appointment_date]],"d")</f>
        <v>130</v>
      </c>
      <c r="M818" s="14" t="str">
        <f>IF(messy_clinic_appointments[[#This Row],[days_to_appointment]]&gt;365, "Review", "OK")</f>
        <v>OK</v>
      </c>
    </row>
    <row r="819" spans="1:13" x14ac:dyDescent="0.25">
      <c r="A819">
        <v>1044</v>
      </c>
      <c r="B819" s="14" t="s">
        <v>1616</v>
      </c>
      <c r="C819">
        <v>83</v>
      </c>
      <c r="D819" s="14" t="s">
        <v>2010</v>
      </c>
      <c r="E819" s="1">
        <v>45824</v>
      </c>
      <c r="F819" s="1">
        <v>45723</v>
      </c>
      <c r="G819" s="14" t="s">
        <v>456</v>
      </c>
      <c r="H819" s="14" t="s">
        <v>12</v>
      </c>
      <c r="I819" s="14" t="s">
        <v>24</v>
      </c>
      <c r="J819" s="14" t="str">
        <f>IF(messy_clinic_appointments[[#This Row],[billing_amount]] &lt; 200, "Low", IF(messy_clinic_appointments[[#This Row],[billing_amount]]&lt;= 400, "Medium", "High"))</f>
        <v>High</v>
      </c>
      <c r="K819" s="14" t="s">
        <v>22</v>
      </c>
      <c r="L819" s="2">
        <f>DATEDIF(messy_clinic_appointments[[#This Row],[booking_date]],messy_clinic_appointments[[#This Row],[appointment_date]],"d")</f>
        <v>101</v>
      </c>
      <c r="M819" s="14" t="str">
        <f>IF(messy_clinic_appointments[[#This Row],[days_to_appointment]]&gt;365, "Review", "OK")</f>
        <v>OK</v>
      </c>
    </row>
    <row r="820" spans="1:13" x14ac:dyDescent="0.25">
      <c r="A820">
        <v>1038</v>
      </c>
      <c r="B820" s="14" t="s">
        <v>1617</v>
      </c>
      <c r="C820">
        <v>29</v>
      </c>
      <c r="D820" s="14" t="s">
        <v>2011</v>
      </c>
      <c r="E820" s="1">
        <v>46073</v>
      </c>
      <c r="F820" s="1">
        <v>45526</v>
      </c>
      <c r="G820" s="14" t="s">
        <v>1618</v>
      </c>
      <c r="H820" s="14" t="s">
        <v>18</v>
      </c>
      <c r="I820" s="14" t="s">
        <v>2790</v>
      </c>
      <c r="J820" s="14" t="str">
        <f>IF(messy_clinic_appointments[[#This Row],[billing_amount]] &lt; 200, "Low", IF(messy_clinic_appointments[[#This Row],[billing_amount]]&lt;= 400, "Medium", "High"))</f>
        <v>High</v>
      </c>
      <c r="K820" s="14" t="s">
        <v>2039</v>
      </c>
      <c r="L820" s="2">
        <f>DATEDIF(messy_clinic_appointments[[#This Row],[booking_date]],messy_clinic_appointments[[#This Row],[appointment_date]],"d")</f>
        <v>547</v>
      </c>
      <c r="M820" s="14" t="str">
        <f>IF(messy_clinic_appointments[[#This Row],[days_to_appointment]]&gt;365, "Review", "OK")</f>
        <v>Review</v>
      </c>
    </row>
    <row r="821" spans="1:13" x14ac:dyDescent="0.25">
      <c r="A821">
        <v>1001</v>
      </c>
      <c r="B821" s="14" t="s">
        <v>1619</v>
      </c>
      <c r="C821">
        <v>30</v>
      </c>
      <c r="D821" s="14" t="s">
        <v>50</v>
      </c>
      <c r="E821" s="1">
        <v>45807</v>
      </c>
      <c r="F821" s="1">
        <v>45631</v>
      </c>
      <c r="G821" s="14" t="s">
        <v>1620</v>
      </c>
      <c r="H821" s="14" t="s">
        <v>18</v>
      </c>
      <c r="I821" s="14" t="s">
        <v>24</v>
      </c>
      <c r="J821" s="14" t="str">
        <f>IF(messy_clinic_appointments[[#This Row],[billing_amount]] &lt; 200, "Low", IF(messy_clinic_appointments[[#This Row],[billing_amount]]&lt;= 400, "Medium", "High"))</f>
        <v>High</v>
      </c>
      <c r="K821" s="14" t="s">
        <v>28</v>
      </c>
      <c r="L821" s="2">
        <f>DATEDIF(messy_clinic_appointments[[#This Row],[booking_date]],messy_clinic_appointments[[#This Row],[appointment_date]],"d")</f>
        <v>176</v>
      </c>
      <c r="M821" s="14" t="str">
        <f>IF(messy_clinic_appointments[[#This Row],[days_to_appointment]]&gt;365, "Review", "OK")</f>
        <v>OK</v>
      </c>
    </row>
    <row r="822" spans="1:13" x14ac:dyDescent="0.25">
      <c r="A822">
        <v>1056</v>
      </c>
      <c r="B822" s="14" t="s">
        <v>1621</v>
      </c>
      <c r="C822">
        <v>33</v>
      </c>
      <c r="D822" s="14" t="s">
        <v>24</v>
      </c>
      <c r="E822" s="1">
        <v>45946</v>
      </c>
      <c r="F822" s="1">
        <v>45548</v>
      </c>
      <c r="G822" s="14" t="s">
        <v>1622</v>
      </c>
      <c r="H822" s="14" t="s">
        <v>15</v>
      </c>
      <c r="I822" s="14" t="s">
        <v>2791</v>
      </c>
      <c r="J822" s="14" t="str">
        <f>IF(messy_clinic_appointments[[#This Row],[billing_amount]] &lt; 200, "Low", IF(messy_clinic_appointments[[#This Row],[billing_amount]]&lt;= 400, "Medium", "High"))</f>
        <v>High</v>
      </c>
      <c r="K822" s="14" t="s">
        <v>22</v>
      </c>
      <c r="L822" s="2">
        <f>DATEDIF(messy_clinic_appointments[[#This Row],[booking_date]],messy_clinic_appointments[[#This Row],[appointment_date]],"d")</f>
        <v>398</v>
      </c>
      <c r="M822" s="14" t="str">
        <f>IF(messy_clinic_appointments[[#This Row],[days_to_appointment]]&gt;365, "Review", "OK")</f>
        <v>Review</v>
      </c>
    </row>
    <row r="823" spans="1:13" x14ac:dyDescent="0.25">
      <c r="A823">
        <v>1008</v>
      </c>
      <c r="B823" s="14" t="s">
        <v>1623</v>
      </c>
      <c r="C823">
        <v>71</v>
      </c>
      <c r="D823" s="14" t="s">
        <v>24</v>
      </c>
      <c r="E823" s="1">
        <v>45906</v>
      </c>
      <c r="F823" s="1">
        <v>45433</v>
      </c>
      <c r="G823" s="14" t="s">
        <v>1624</v>
      </c>
      <c r="H823" s="14" t="s">
        <v>18</v>
      </c>
      <c r="I823" s="14" t="s">
        <v>2792</v>
      </c>
      <c r="J823" s="14" t="str">
        <f>IF(messy_clinic_appointments[[#This Row],[billing_amount]] &lt; 200, "Low", IF(messy_clinic_appointments[[#This Row],[billing_amount]]&lt;= 400, "Medium", "High"))</f>
        <v>High</v>
      </c>
      <c r="K823" s="14" t="s">
        <v>2039</v>
      </c>
      <c r="L823" s="2">
        <f>DATEDIF(messy_clinic_appointments[[#This Row],[booking_date]],messy_clinic_appointments[[#This Row],[appointment_date]],"d")</f>
        <v>473</v>
      </c>
      <c r="M823" s="14" t="str">
        <f>IF(messy_clinic_appointments[[#This Row],[days_to_appointment]]&gt;365, "Review", "OK")</f>
        <v>Review</v>
      </c>
    </row>
    <row r="824" spans="1:13" x14ac:dyDescent="0.25">
      <c r="A824">
        <v>1099</v>
      </c>
      <c r="B824" s="14" t="s">
        <v>1625</v>
      </c>
      <c r="C824">
        <v>74</v>
      </c>
      <c r="D824" s="14" t="s">
        <v>50</v>
      </c>
      <c r="E824" s="1">
        <v>45786</v>
      </c>
      <c r="F824" s="1">
        <v>45608</v>
      </c>
      <c r="G824" s="14" t="s">
        <v>1626</v>
      </c>
      <c r="H824" s="14" t="s">
        <v>12</v>
      </c>
      <c r="I824" s="14" t="s">
        <v>2793</v>
      </c>
      <c r="J824" s="14" t="str">
        <f>IF(messy_clinic_appointments[[#This Row],[billing_amount]] &lt; 200, "Low", IF(messy_clinic_appointments[[#This Row],[billing_amount]]&lt;= 400, "Medium", "High"))</f>
        <v>High</v>
      </c>
      <c r="K824" s="14" t="s">
        <v>2026</v>
      </c>
      <c r="L824" s="2">
        <f>DATEDIF(messy_clinic_appointments[[#This Row],[booking_date]],messy_clinic_appointments[[#This Row],[appointment_date]],"d")</f>
        <v>178</v>
      </c>
      <c r="M824" s="14" t="str">
        <f>IF(messy_clinic_appointments[[#This Row],[days_to_appointment]]&gt;365, "Review", "OK")</f>
        <v>OK</v>
      </c>
    </row>
    <row r="825" spans="1:13" x14ac:dyDescent="0.25">
      <c r="A825">
        <v>1060</v>
      </c>
      <c r="B825" s="14" t="s">
        <v>1627</v>
      </c>
      <c r="C825">
        <v>26</v>
      </c>
      <c r="D825" s="14" t="s">
        <v>50</v>
      </c>
      <c r="E825" s="1">
        <v>45947</v>
      </c>
      <c r="F825" s="1">
        <v>45638</v>
      </c>
      <c r="G825" s="14" t="s">
        <v>1628</v>
      </c>
      <c r="H825" s="14" t="s">
        <v>15</v>
      </c>
      <c r="I825" s="14" t="s">
        <v>2794</v>
      </c>
      <c r="J825" s="14" t="str">
        <f>IF(messy_clinic_appointments[[#This Row],[billing_amount]] &lt; 200, "Low", IF(messy_clinic_appointments[[#This Row],[billing_amount]]&lt;= 400, "Medium", "High"))</f>
        <v>High</v>
      </c>
      <c r="K825" s="14" t="s">
        <v>22</v>
      </c>
      <c r="L825" s="2">
        <f>DATEDIF(messy_clinic_appointments[[#This Row],[booking_date]],messy_clinic_appointments[[#This Row],[appointment_date]],"d")</f>
        <v>309</v>
      </c>
      <c r="M825" s="14" t="str">
        <f>IF(messy_clinic_appointments[[#This Row],[days_to_appointment]]&gt;365, "Review", "OK")</f>
        <v>OK</v>
      </c>
    </row>
    <row r="826" spans="1:13" x14ac:dyDescent="0.25">
      <c r="A826">
        <v>1080</v>
      </c>
      <c r="B826" s="14" t="s">
        <v>1629</v>
      </c>
      <c r="C826">
        <v>18</v>
      </c>
      <c r="D826" s="14" t="s">
        <v>50</v>
      </c>
      <c r="E826" s="1">
        <v>45812</v>
      </c>
      <c r="F826" s="1">
        <v>45640</v>
      </c>
      <c r="G826" s="14" t="s">
        <v>1630</v>
      </c>
      <c r="H826" s="14" t="s">
        <v>18</v>
      </c>
      <c r="I826" s="14" t="s">
        <v>2795</v>
      </c>
      <c r="J826" s="14" t="str">
        <f>IF(messy_clinic_appointments[[#This Row],[billing_amount]] &lt; 200, "Low", IF(messy_clinic_appointments[[#This Row],[billing_amount]]&lt;= 400, "Medium", "High"))</f>
        <v>High</v>
      </c>
      <c r="K826" s="14" t="s">
        <v>22</v>
      </c>
      <c r="L826" s="2">
        <f>DATEDIF(messy_clinic_appointments[[#This Row],[booking_date]],messy_clinic_appointments[[#This Row],[appointment_date]],"d")</f>
        <v>172</v>
      </c>
      <c r="M826" s="14" t="str">
        <f>IF(messy_clinic_appointments[[#This Row],[days_to_appointment]]&gt;365, "Review", "OK")</f>
        <v>OK</v>
      </c>
    </row>
    <row r="827" spans="1:13" x14ac:dyDescent="0.25">
      <c r="A827">
        <v>1056</v>
      </c>
      <c r="B827" s="14" t="s">
        <v>1631</v>
      </c>
      <c r="C827">
        <v>26</v>
      </c>
      <c r="D827" s="14" t="s">
        <v>2039</v>
      </c>
      <c r="E827" s="1">
        <v>45987</v>
      </c>
      <c r="F827" s="1">
        <v>45764</v>
      </c>
      <c r="G827" s="14" t="s">
        <v>1632</v>
      </c>
      <c r="H827" s="14" t="s">
        <v>18</v>
      </c>
      <c r="I827" s="14" t="s">
        <v>2796</v>
      </c>
      <c r="J827" s="14" t="str">
        <f>IF(messy_clinic_appointments[[#This Row],[billing_amount]] &lt; 200, "Low", IF(messy_clinic_appointments[[#This Row],[billing_amount]]&lt;= 400, "Medium", "High"))</f>
        <v>High</v>
      </c>
      <c r="K827" s="14" t="s">
        <v>22</v>
      </c>
      <c r="L827" s="2">
        <f>DATEDIF(messy_clinic_appointments[[#This Row],[booking_date]],messy_clinic_appointments[[#This Row],[appointment_date]],"d")</f>
        <v>223</v>
      </c>
      <c r="M827" s="14" t="str">
        <f>IF(messy_clinic_appointments[[#This Row],[days_to_appointment]]&gt;365, "Review", "OK")</f>
        <v>OK</v>
      </c>
    </row>
    <row r="828" spans="1:13" x14ac:dyDescent="0.25">
      <c r="A828">
        <v>1077</v>
      </c>
      <c r="B828" s="14" t="s">
        <v>1633</v>
      </c>
      <c r="C828">
        <v>78</v>
      </c>
      <c r="D828" s="14" t="s">
        <v>2022</v>
      </c>
      <c r="E828" s="1">
        <v>46031</v>
      </c>
      <c r="F828" s="1">
        <v>45784</v>
      </c>
      <c r="G828" s="14" t="s">
        <v>1634</v>
      </c>
      <c r="H828" s="14" t="s">
        <v>12</v>
      </c>
      <c r="I828" s="14" t="s">
        <v>2797</v>
      </c>
      <c r="J828" s="14" t="str">
        <f>IF(messy_clinic_appointments[[#This Row],[billing_amount]] &lt; 200, "Low", IF(messy_clinic_appointments[[#This Row],[billing_amount]]&lt;= 400, "Medium", "High"))</f>
        <v>High</v>
      </c>
      <c r="K828" s="14" t="s">
        <v>2039</v>
      </c>
      <c r="L828" s="2">
        <f>DATEDIF(messy_clinic_appointments[[#This Row],[booking_date]],messy_clinic_appointments[[#This Row],[appointment_date]],"d")</f>
        <v>247</v>
      </c>
      <c r="M828" s="14" t="str">
        <f>IF(messy_clinic_appointments[[#This Row],[days_to_appointment]]&gt;365, "Review", "OK")</f>
        <v>OK</v>
      </c>
    </row>
    <row r="829" spans="1:13" x14ac:dyDescent="0.25">
      <c r="A829">
        <v>1036</v>
      </c>
      <c r="B829" s="14" t="s">
        <v>1635</v>
      </c>
      <c r="C829">
        <v>25</v>
      </c>
      <c r="D829" s="14" t="s">
        <v>50</v>
      </c>
      <c r="E829" s="1">
        <v>45822</v>
      </c>
      <c r="F829" s="1">
        <v>45409</v>
      </c>
      <c r="G829" s="14" t="s">
        <v>1636</v>
      </c>
      <c r="H829" s="14" t="s">
        <v>18</v>
      </c>
      <c r="I829" s="14" t="s">
        <v>2798</v>
      </c>
      <c r="J829" s="14" t="str">
        <f>IF(messy_clinic_appointments[[#This Row],[billing_amount]] &lt; 200, "Low", IF(messy_clinic_appointments[[#This Row],[billing_amount]]&lt;= 400, "Medium", "High"))</f>
        <v>High</v>
      </c>
      <c r="K829" s="14" t="s">
        <v>28</v>
      </c>
      <c r="L829" s="2">
        <f>DATEDIF(messy_clinic_appointments[[#This Row],[booking_date]],messy_clinic_appointments[[#This Row],[appointment_date]],"d")</f>
        <v>413</v>
      </c>
      <c r="M829" s="14" t="str">
        <f>IF(messy_clinic_appointments[[#This Row],[days_to_appointment]]&gt;365, "Review", "OK")</f>
        <v>Review</v>
      </c>
    </row>
    <row r="830" spans="1:13" x14ac:dyDescent="0.25">
      <c r="A830">
        <v>1050</v>
      </c>
      <c r="B830" s="14" t="s">
        <v>492</v>
      </c>
      <c r="C830">
        <v>41</v>
      </c>
      <c r="D830" s="14" t="s">
        <v>2008</v>
      </c>
      <c r="E830" s="1">
        <v>46060</v>
      </c>
      <c r="F830" s="1">
        <v>45804</v>
      </c>
      <c r="G830" s="14" t="s">
        <v>1637</v>
      </c>
      <c r="H830" s="14" t="s">
        <v>15</v>
      </c>
      <c r="I830" s="14" t="s">
        <v>2799</v>
      </c>
      <c r="J830" s="14" t="str">
        <f>IF(messy_clinic_appointments[[#This Row],[billing_amount]] &lt; 200, "Low", IF(messy_clinic_appointments[[#This Row],[billing_amount]]&lt;= 400, "Medium", "High"))</f>
        <v>High</v>
      </c>
      <c r="K830" s="14" t="s">
        <v>28</v>
      </c>
      <c r="L830" s="2">
        <f>DATEDIF(messy_clinic_appointments[[#This Row],[booking_date]],messy_clinic_appointments[[#This Row],[appointment_date]],"d")</f>
        <v>256</v>
      </c>
      <c r="M830" s="14" t="str">
        <f>IF(messy_clinic_appointments[[#This Row],[days_to_appointment]]&gt;365, "Review", "OK")</f>
        <v>OK</v>
      </c>
    </row>
    <row r="831" spans="1:13" x14ac:dyDescent="0.25">
      <c r="A831">
        <v>1003</v>
      </c>
      <c r="B831" s="14" t="s">
        <v>1638</v>
      </c>
      <c r="C831">
        <v>85</v>
      </c>
      <c r="D831" s="14" t="s">
        <v>2008</v>
      </c>
      <c r="E831" s="1">
        <v>45868</v>
      </c>
      <c r="F831" s="1">
        <v>45579</v>
      </c>
      <c r="G831" s="14" t="s">
        <v>1639</v>
      </c>
      <c r="H831" s="14" t="s">
        <v>12</v>
      </c>
      <c r="I831" s="14" t="s">
        <v>2800</v>
      </c>
      <c r="J831" s="14" t="str">
        <f>IF(messy_clinic_appointments[[#This Row],[billing_amount]] &lt; 200, "Low", IF(messy_clinic_appointments[[#This Row],[billing_amount]]&lt;= 400, "Medium", "High"))</f>
        <v>High</v>
      </c>
      <c r="K831" s="14" t="s">
        <v>2010</v>
      </c>
      <c r="L831" s="2">
        <f>DATEDIF(messy_clinic_appointments[[#This Row],[booking_date]],messy_clinic_appointments[[#This Row],[appointment_date]],"d")</f>
        <v>289</v>
      </c>
      <c r="M831" s="14" t="str">
        <f>IF(messy_clinic_appointments[[#This Row],[days_to_appointment]]&gt;365, "Review", "OK")</f>
        <v>OK</v>
      </c>
    </row>
    <row r="832" spans="1:13" x14ac:dyDescent="0.25">
      <c r="A832">
        <v>1042</v>
      </c>
      <c r="B832" s="14" t="s">
        <v>1640</v>
      </c>
      <c r="C832">
        <v>60</v>
      </c>
      <c r="D832" s="14" t="s">
        <v>2008</v>
      </c>
      <c r="E832" s="1">
        <v>45744</v>
      </c>
      <c r="F832" s="1">
        <v>45610</v>
      </c>
      <c r="G832" s="14" t="s">
        <v>1641</v>
      </c>
      <c r="H832" s="14" t="s">
        <v>15</v>
      </c>
      <c r="I832" s="14" t="s">
        <v>2801</v>
      </c>
      <c r="J832" s="14" t="str">
        <f>IF(messy_clinic_appointments[[#This Row],[billing_amount]] &lt; 200, "Low", IF(messy_clinic_appointments[[#This Row],[billing_amount]]&lt;= 400, "Medium", "High"))</f>
        <v>High</v>
      </c>
      <c r="K832" s="14" t="s">
        <v>28</v>
      </c>
      <c r="L832" s="2">
        <f>DATEDIF(messy_clinic_appointments[[#This Row],[booking_date]],messy_clinic_appointments[[#This Row],[appointment_date]],"d")</f>
        <v>134</v>
      </c>
      <c r="M832" s="14" t="str">
        <f>IF(messy_clinic_appointments[[#This Row],[days_to_appointment]]&gt;365, "Review", "OK")</f>
        <v>OK</v>
      </c>
    </row>
    <row r="833" spans="1:13" x14ac:dyDescent="0.25">
      <c r="A833">
        <v>1019</v>
      </c>
      <c r="B833" s="14" t="s">
        <v>1642</v>
      </c>
      <c r="C833">
        <v>34</v>
      </c>
      <c r="D833" s="14" t="s">
        <v>30</v>
      </c>
      <c r="E833" s="1">
        <v>46081</v>
      </c>
      <c r="F833" s="1">
        <v>45869</v>
      </c>
      <c r="G833" s="14" t="s">
        <v>1643</v>
      </c>
      <c r="H833" s="14" t="s">
        <v>21</v>
      </c>
      <c r="I833" s="14" t="s">
        <v>2802</v>
      </c>
      <c r="J833" s="14" t="str">
        <f>IF(messy_clinic_appointments[[#This Row],[billing_amount]] &lt; 200, "Low", IF(messy_clinic_appointments[[#This Row],[billing_amount]]&lt;= 400, "Medium", "High"))</f>
        <v>High</v>
      </c>
      <c r="K833" s="14" t="s">
        <v>28</v>
      </c>
      <c r="L833" s="2">
        <f>DATEDIF(messy_clinic_appointments[[#This Row],[booking_date]],messy_clinic_appointments[[#This Row],[appointment_date]],"d")</f>
        <v>212</v>
      </c>
      <c r="M833" s="14" t="str">
        <f>IF(messy_clinic_appointments[[#This Row],[days_to_appointment]]&gt;365, "Review", "OK")</f>
        <v>OK</v>
      </c>
    </row>
    <row r="834" spans="1:13" x14ac:dyDescent="0.25">
      <c r="A834">
        <v>1073</v>
      </c>
      <c r="B834" s="14" t="s">
        <v>1644</v>
      </c>
      <c r="C834">
        <v>32</v>
      </c>
      <c r="D834" s="14" t="s">
        <v>2011</v>
      </c>
      <c r="E834" s="1">
        <v>46044</v>
      </c>
      <c r="F834" s="1">
        <v>45625</v>
      </c>
      <c r="G834" s="14" t="s">
        <v>1645</v>
      </c>
      <c r="H834" s="14" t="s">
        <v>12</v>
      </c>
      <c r="I834" s="14" t="s">
        <v>2803</v>
      </c>
      <c r="J834" s="14" t="str">
        <f>IF(messy_clinic_appointments[[#This Row],[billing_amount]] &lt; 200, "Low", IF(messy_clinic_appointments[[#This Row],[billing_amount]]&lt;= 400, "Medium", "High"))</f>
        <v>High</v>
      </c>
      <c r="K834" s="14" t="s">
        <v>2013</v>
      </c>
      <c r="L834" s="2">
        <f>DATEDIF(messy_clinic_appointments[[#This Row],[booking_date]],messy_clinic_appointments[[#This Row],[appointment_date]],"d")</f>
        <v>419</v>
      </c>
      <c r="M834" s="14" t="str">
        <f>IF(messy_clinic_appointments[[#This Row],[days_to_appointment]]&gt;365, "Review", "OK")</f>
        <v>Review</v>
      </c>
    </row>
    <row r="835" spans="1:13" x14ac:dyDescent="0.25">
      <c r="A835">
        <v>1027</v>
      </c>
      <c r="B835" s="14" t="s">
        <v>1646</v>
      </c>
      <c r="C835">
        <v>54</v>
      </c>
      <c r="D835" s="14" t="s">
        <v>2011</v>
      </c>
      <c r="E835" s="1">
        <v>46001</v>
      </c>
      <c r="F835" s="1">
        <v>45724</v>
      </c>
      <c r="G835" s="14" t="s">
        <v>1647</v>
      </c>
      <c r="H835" s="14" t="s">
        <v>15</v>
      </c>
      <c r="I835" s="14" t="s">
        <v>2804</v>
      </c>
      <c r="J835" s="14" t="str">
        <f>IF(messy_clinic_appointments[[#This Row],[billing_amount]] &lt; 200, "Low", IF(messy_clinic_appointments[[#This Row],[billing_amount]]&lt;= 400, "Medium", "High"))</f>
        <v>High</v>
      </c>
      <c r="K835" s="14" t="s">
        <v>2013</v>
      </c>
      <c r="L835" s="2">
        <f>DATEDIF(messy_clinic_appointments[[#This Row],[booking_date]],messy_clinic_appointments[[#This Row],[appointment_date]],"d")</f>
        <v>277</v>
      </c>
      <c r="M835" s="14" t="str">
        <f>IF(messy_clinic_appointments[[#This Row],[days_to_appointment]]&gt;365, "Review", "OK")</f>
        <v>OK</v>
      </c>
    </row>
    <row r="836" spans="1:13" x14ac:dyDescent="0.25">
      <c r="A836">
        <v>1004</v>
      </c>
      <c r="B836" s="14" t="s">
        <v>1648</v>
      </c>
      <c r="C836">
        <v>47</v>
      </c>
      <c r="D836" s="14" t="s">
        <v>30</v>
      </c>
      <c r="E836" s="1">
        <v>45986</v>
      </c>
      <c r="F836" s="1">
        <v>45571</v>
      </c>
      <c r="G836" s="14" t="s">
        <v>1649</v>
      </c>
      <c r="H836" s="14" t="s">
        <v>12</v>
      </c>
      <c r="I836" s="14" t="s">
        <v>2805</v>
      </c>
      <c r="J836" s="14" t="str">
        <f>IF(messy_clinic_appointments[[#This Row],[billing_amount]] &lt; 200, "Low", IF(messy_clinic_appointments[[#This Row],[billing_amount]]&lt;= 400, "Medium", "High"))</f>
        <v>High</v>
      </c>
      <c r="K836" s="14" t="s">
        <v>2039</v>
      </c>
      <c r="L836" s="2">
        <f>DATEDIF(messy_clinic_appointments[[#This Row],[booking_date]],messy_clinic_appointments[[#This Row],[appointment_date]],"d")</f>
        <v>415</v>
      </c>
      <c r="M836" s="14" t="str">
        <f>IF(messy_clinic_appointments[[#This Row],[days_to_appointment]]&gt;365, "Review", "OK")</f>
        <v>Review</v>
      </c>
    </row>
    <row r="837" spans="1:13" x14ac:dyDescent="0.25">
      <c r="A837">
        <v>1077</v>
      </c>
      <c r="B837" s="14" t="s">
        <v>1650</v>
      </c>
      <c r="C837">
        <v>21</v>
      </c>
      <c r="D837" s="14" t="s">
        <v>2011</v>
      </c>
      <c r="E837" s="1">
        <v>45886</v>
      </c>
      <c r="F837" s="1">
        <v>45475</v>
      </c>
      <c r="G837" s="14" t="s">
        <v>1651</v>
      </c>
      <c r="H837" s="14" t="s">
        <v>15</v>
      </c>
      <c r="I837" s="14" t="s">
        <v>2806</v>
      </c>
      <c r="J837" s="14" t="str">
        <f>IF(messy_clinic_appointments[[#This Row],[billing_amount]] &lt; 200, "Low", IF(messy_clinic_appointments[[#This Row],[billing_amount]]&lt;= 400, "Medium", "High"))</f>
        <v>High</v>
      </c>
      <c r="K837" s="14" t="s">
        <v>22</v>
      </c>
      <c r="L837" s="2">
        <f>DATEDIF(messy_clinic_appointments[[#This Row],[booking_date]],messy_clinic_appointments[[#This Row],[appointment_date]],"d")</f>
        <v>411</v>
      </c>
      <c r="M837" s="14" t="str">
        <f>IF(messy_clinic_appointments[[#This Row],[days_to_appointment]]&gt;365, "Review", "OK")</f>
        <v>Review</v>
      </c>
    </row>
    <row r="838" spans="1:13" x14ac:dyDescent="0.25">
      <c r="A838">
        <v>1085</v>
      </c>
      <c r="B838" s="14" t="s">
        <v>1652</v>
      </c>
      <c r="C838">
        <v>85</v>
      </c>
      <c r="D838" s="14" t="s">
        <v>30</v>
      </c>
      <c r="E838" s="1">
        <v>45906</v>
      </c>
      <c r="F838" s="1">
        <v>45715</v>
      </c>
      <c r="G838" s="14" t="s">
        <v>1653</v>
      </c>
      <c r="H838" s="14" t="s">
        <v>18</v>
      </c>
      <c r="I838" s="14" t="s">
        <v>2807</v>
      </c>
      <c r="J838" s="14" t="str">
        <f>IF(messy_clinic_appointments[[#This Row],[billing_amount]] &lt; 200, "Low", IF(messy_clinic_appointments[[#This Row],[billing_amount]]&lt;= 400, "Medium", "High"))</f>
        <v>High</v>
      </c>
      <c r="K838" s="14" t="s">
        <v>2013</v>
      </c>
      <c r="L838" s="2">
        <f>DATEDIF(messy_clinic_appointments[[#This Row],[booking_date]],messy_clinic_appointments[[#This Row],[appointment_date]],"d")</f>
        <v>191</v>
      </c>
      <c r="M838" s="14" t="str">
        <f>IF(messy_clinic_appointments[[#This Row],[days_to_appointment]]&gt;365, "Review", "OK")</f>
        <v>OK</v>
      </c>
    </row>
    <row r="839" spans="1:13" x14ac:dyDescent="0.25">
      <c r="A839">
        <v>1025</v>
      </c>
      <c r="B839" s="14" t="s">
        <v>1654</v>
      </c>
      <c r="C839">
        <v>42</v>
      </c>
      <c r="D839" s="14" t="s">
        <v>24</v>
      </c>
      <c r="E839" s="1">
        <v>45921</v>
      </c>
      <c r="F839" s="1">
        <v>45631</v>
      </c>
      <c r="G839" s="14" t="s">
        <v>2004</v>
      </c>
      <c r="H839" s="14" t="s">
        <v>15</v>
      </c>
      <c r="I839" s="14" t="s">
        <v>2808</v>
      </c>
      <c r="J839" s="14" t="str">
        <f>IF(messy_clinic_appointments[[#This Row],[billing_amount]] &lt; 200, "Low", IF(messy_clinic_appointments[[#This Row],[billing_amount]]&lt;= 400, "Medium", "High"))</f>
        <v>High</v>
      </c>
      <c r="K839" s="14" t="s">
        <v>22</v>
      </c>
      <c r="L839" s="2">
        <f>DATEDIF(messy_clinic_appointments[[#This Row],[booking_date]],messy_clinic_appointments[[#This Row],[appointment_date]],"d")</f>
        <v>290</v>
      </c>
      <c r="M839" s="14" t="str">
        <f>IF(messy_clinic_appointments[[#This Row],[days_to_appointment]]&gt;365, "Review", "OK")</f>
        <v>OK</v>
      </c>
    </row>
    <row r="840" spans="1:13" x14ac:dyDescent="0.25">
      <c r="A840">
        <v>1029</v>
      </c>
      <c r="B840" s="14" t="s">
        <v>1655</v>
      </c>
      <c r="C840">
        <v>63</v>
      </c>
      <c r="D840" s="14" t="s">
        <v>2010</v>
      </c>
      <c r="E840" s="1">
        <v>45882</v>
      </c>
      <c r="F840" s="1">
        <v>45538</v>
      </c>
      <c r="G840" s="14" t="s">
        <v>1656</v>
      </c>
      <c r="H840" s="14" t="s">
        <v>15</v>
      </c>
      <c r="I840" s="14" t="s">
        <v>2809</v>
      </c>
      <c r="J840" s="14" t="str">
        <f>IF(messy_clinic_appointments[[#This Row],[billing_amount]] &lt; 200, "Low", IF(messy_clinic_appointments[[#This Row],[billing_amount]]&lt;= 400, "Medium", "High"))</f>
        <v>High</v>
      </c>
      <c r="K840" s="14" t="s">
        <v>22</v>
      </c>
      <c r="L840" s="2">
        <f>DATEDIF(messy_clinic_appointments[[#This Row],[booking_date]],messy_clinic_appointments[[#This Row],[appointment_date]],"d")</f>
        <v>344</v>
      </c>
      <c r="M840" s="14" t="str">
        <f>IF(messy_clinic_appointments[[#This Row],[days_to_appointment]]&gt;365, "Review", "OK")</f>
        <v>OK</v>
      </c>
    </row>
    <row r="841" spans="1:13" x14ac:dyDescent="0.25">
      <c r="A841">
        <v>1052</v>
      </c>
      <c r="B841" s="14" t="s">
        <v>1657</v>
      </c>
      <c r="C841">
        <v>26</v>
      </c>
      <c r="D841" s="14" t="s">
        <v>2039</v>
      </c>
      <c r="E841" s="1">
        <v>45961</v>
      </c>
      <c r="F841" s="1">
        <v>45738</v>
      </c>
      <c r="G841" s="14" t="s">
        <v>1658</v>
      </c>
      <c r="H841" s="14" t="s">
        <v>18</v>
      </c>
      <c r="I841" s="14" t="s">
        <v>2810</v>
      </c>
      <c r="J841" s="14" t="str">
        <f>IF(messy_clinic_appointments[[#This Row],[billing_amount]] &lt; 200, "Low", IF(messy_clinic_appointments[[#This Row],[billing_amount]]&lt;= 400, "Medium", "High"))</f>
        <v>High</v>
      </c>
      <c r="K841" s="14" t="s">
        <v>2013</v>
      </c>
      <c r="L841" s="2">
        <f>DATEDIF(messy_clinic_appointments[[#This Row],[booking_date]],messy_clinic_appointments[[#This Row],[appointment_date]],"d")</f>
        <v>223</v>
      </c>
      <c r="M841" s="14" t="str">
        <f>IF(messy_clinic_appointments[[#This Row],[days_to_appointment]]&gt;365, "Review", "OK")</f>
        <v>OK</v>
      </c>
    </row>
    <row r="842" spans="1:13" x14ac:dyDescent="0.25">
      <c r="A842">
        <v>1062</v>
      </c>
      <c r="B842" s="14" t="s">
        <v>1659</v>
      </c>
      <c r="C842">
        <v>85</v>
      </c>
      <c r="D842" s="14" t="s">
        <v>2008</v>
      </c>
      <c r="E842" s="1">
        <v>46057</v>
      </c>
      <c r="F842" s="1">
        <v>45648</v>
      </c>
      <c r="G842" s="14" t="s">
        <v>1660</v>
      </c>
      <c r="H842" s="14" t="s">
        <v>12</v>
      </c>
      <c r="I842" s="14" t="s">
        <v>2811</v>
      </c>
      <c r="J842" s="14" t="str">
        <f>IF(messy_clinic_appointments[[#This Row],[billing_amount]] &lt; 200, "Low", IF(messy_clinic_appointments[[#This Row],[billing_amount]]&lt;= 400, "Medium", "High"))</f>
        <v>High</v>
      </c>
      <c r="K842" s="14" t="s">
        <v>2010</v>
      </c>
      <c r="L842" s="2">
        <f>DATEDIF(messy_clinic_appointments[[#This Row],[booking_date]],messy_clinic_appointments[[#This Row],[appointment_date]],"d")</f>
        <v>409</v>
      </c>
      <c r="M842" s="14" t="str">
        <f>IF(messy_clinic_appointments[[#This Row],[days_to_appointment]]&gt;365, "Review", "OK")</f>
        <v>Review</v>
      </c>
    </row>
    <row r="843" spans="1:13" x14ac:dyDescent="0.25">
      <c r="A843">
        <v>1014</v>
      </c>
      <c r="B843" s="14" t="s">
        <v>1661</v>
      </c>
      <c r="C843">
        <v>29</v>
      </c>
      <c r="D843" s="14" t="s">
        <v>2008</v>
      </c>
      <c r="E843" s="1">
        <v>45903</v>
      </c>
      <c r="F843" s="1">
        <v>45500</v>
      </c>
      <c r="G843" s="14" t="s">
        <v>1662</v>
      </c>
      <c r="H843" s="14" t="s">
        <v>21</v>
      </c>
      <c r="I843" s="14" t="s">
        <v>2812</v>
      </c>
      <c r="J843" s="14" t="str">
        <f>IF(messy_clinic_appointments[[#This Row],[billing_amount]] &lt; 200, "Low", IF(messy_clinic_appointments[[#This Row],[billing_amount]]&lt;= 400, "Medium", "High"))</f>
        <v>High</v>
      </c>
      <c r="K843" s="14" t="s">
        <v>2026</v>
      </c>
      <c r="L843" s="2">
        <f>DATEDIF(messy_clinic_appointments[[#This Row],[booking_date]],messy_clinic_appointments[[#This Row],[appointment_date]],"d")</f>
        <v>403</v>
      </c>
      <c r="M843" s="14" t="str">
        <f>IF(messy_clinic_appointments[[#This Row],[days_to_appointment]]&gt;365, "Review", "OK")</f>
        <v>Review</v>
      </c>
    </row>
    <row r="844" spans="1:13" x14ac:dyDescent="0.25">
      <c r="A844">
        <v>1056</v>
      </c>
      <c r="B844" s="14" t="s">
        <v>1663</v>
      </c>
      <c r="C844">
        <v>84</v>
      </c>
      <c r="D844" s="14" t="s">
        <v>2008</v>
      </c>
      <c r="E844" s="1">
        <v>45803</v>
      </c>
      <c r="F844" s="1">
        <v>45596</v>
      </c>
      <c r="G844" s="14" t="s">
        <v>1664</v>
      </c>
      <c r="H844" s="14" t="s">
        <v>12</v>
      </c>
      <c r="I844" s="14" t="s">
        <v>2813</v>
      </c>
      <c r="J844" s="14" t="str">
        <f>IF(messy_clinic_appointments[[#This Row],[billing_amount]] &lt; 200, "Low", IF(messy_clinic_appointments[[#This Row],[billing_amount]]&lt;= 400, "Medium", "High"))</f>
        <v>High</v>
      </c>
      <c r="K844" s="14" t="s">
        <v>22</v>
      </c>
      <c r="L844" s="2">
        <f>DATEDIF(messy_clinic_appointments[[#This Row],[booking_date]],messy_clinic_appointments[[#This Row],[appointment_date]],"d")</f>
        <v>207</v>
      </c>
      <c r="M844" s="14" t="str">
        <f>IF(messy_clinic_appointments[[#This Row],[days_to_appointment]]&gt;365, "Review", "OK")</f>
        <v>OK</v>
      </c>
    </row>
    <row r="845" spans="1:13" x14ac:dyDescent="0.25">
      <c r="A845">
        <v>1073</v>
      </c>
      <c r="B845" s="14" t="s">
        <v>1665</v>
      </c>
      <c r="C845">
        <v>18</v>
      </c>
      <c r="D845" s="14" t="s">
        <v>30</v>
      </c>
      <c r="E845" s="1">
        <v>45886</v>
      </c>
      <c r="F845" s="1">
        <v>45833</v>
      </c>
      <c r="G845" s="14" t="s">
        <v>1666</v>
      </c>
      <c r="H845" s="14" t="s">
        <v>15</v>
      </c>
      <c r="I845" s="14" t="s">
        <v>2814</v>
      </c>
      <c r="J845" s="14" t="str">
        <f>IF(messy_clinic_appointments[[#This Row],[billing_amount]] &lt; 200, "Low", IF(messy_clinic_appointments[[#This Row],[billing_amount]]&lt;= 400, "Medium", "High"))</f>
        <v>High</v>
      </c>
      <c r="K845" s="14" t="s">
        <v>2013</v>
      </c>
      <c r="L845" s="2">
        <f>DATEDIF(messy_clinic_appointments[[#This Row],[booking_date]],messy_clinic_appointments[[#This Row],[appointment_date]],"d")</f>
        <v>53</v>
      </c>
      <c r="M845" s="14" t="str">
        <f>IF(messy_clinic_appointments[[#This Row],[days_to_appointment]]&gt;365, "Review", "OK")</f>
        <v>OK</v>
      </c>
    </row>
    <row r="846" spans="1:13" x14ac:dyDescent="0.25">
      <c r="A846">
        <v>1009</v>
      </c>
      <c r="B846" s="14" t="s">
        <v>1667</v>
      </c>
      <c r="C846">
        <v>30</v>
      </c>
      <c r="D846" s="14" t="s">
        <v>30</v>
      </c>
      <c r="E846" s="1">
        <v>45835</v>
      </c>
      <c r="F846" s="1">
        <v>45798</v>
      </c>
      <c r="G846" s="14" t="s">
        <v>1668</v>
      </c>
      <c r="H846" s="14" t="s">
        <v>21</v>
      </c>
      <c r="I846" s="14" t="s">
        <v>2815</v>
      </c>
      <c r="J846" s="14" t="str">
        <f>IF(messy_clinic_appointments[[#This Row],[billing_amount]] &lt; 200, "Low", IF(messy_clinic_appointments[[#This Row],[billing_amount]]&lt;= 400, "Medium", "High"))</f>
        <v>High</v>
      </c>
      <c r="K846" s="14" t="s">
        <v>28</v>
      </c>
      <c r="L846" s="2">
        <f>DATEDIF(messy_clinic_appointments[[#This Row],[booking_date]],messy_clinic_appointments[[#This Row],[appointment_date]],"d")</f>
        <v>37</v>
      </c>
      <c r="M846" s="14" t="str">
        <f>IF(messy_clinic_appointments[[#This Row],[days_to_appointment]]&gt;365, "Review", "OK")</f>
        <v>OK</v>
      </c>
    </row>
    <row r="847" spans="1:13" x14ac:dyDescent="0.25">
      <c r="A847">
        <v>1029</v>
      </c>
      <c r="B847" s="14" t="s">
        <v>1669</v>
      </c>
      <c r="C847">
        <v>23</v>
      </c>
      <c r="D847" s="14" t="s">
        <v>2011</v>
      </c>
      <c r="E847" s="1">
        <v>46054</v>
      </c>
      <c r="F847" s="1">
        <v>45904</v>
      </c>
      <c r="G847" s="14" t="s">
        <v>1670</v>
      </c>
      <c r="H847" s="14" t="s">
        <v>15</v>
      </c>
      <c r="I847" s="14" t="s">
        <v>2816</v>
      </c>
      <c r="J847" s="14" t="str">
        <f>IF(messy_clinic_appointments[[#This Row],[billing_amount]] &lt; 200, "Low", IF(messy_clinic_appointments[[#This Row],[billing_amount]]&lt;= 400, "Medium", "High"))</f>
        <v>High</v>
      </c>
      <c r="K847" s="14" t="s">
        <v>28</v>
      </c>
      <c r="L847" s="2">
        <f>DATEDIF(messy_clinic_appointments[[#This Row],[booking_date]],messy_clinic_appointments[[#This Row],[appointment_date]],"d")</f>
        <v>150</v>
      </c>
      <c r="M847" s="14" t="str">
        <f>IF(messy_clinic_appointments[[#This Row],[days_to_appointment]]&gt;365, "Review", "OK")</f>
        <v>OK</v>
      </c>
    </row>
    <row r="848" spans="1:13" x14ac:dyDescent="0.25">
      <c r="A848">
        <v>1047</v>
      </c>
      <c r="B848" s="14" t="s">
        <v>1671</v>
      </c>
      <c r="C848">
        <v>66</v>
      </c>
      <c r="D848" s="14" t="s">
        <v>50</v>
      </c>
      <c r="E848" s="1">
        <v>45890</v>
      </c>
      <c r="F848" s="1">
        <v>45448</v>
      </c>
      <c r="G848" s="14" t="s">
        <v>1672</v>
      </c>
      <c r="H848" s="14" t="s">
        <v>21</v>
      </c>
      <c r="I848" s="14" t="s">
        <v>2817</v>
      </c>
      <c r="J848" s="14" t="str">
        <f>IF(messy_clinic_appointments[[#This Row],[billing_amount]] &lt; 200, "Low", IF(messy_clinic_appointments[[#This Row],[billing_amount]]&lt;= 400, "Medium", "High"))</f>
        <v>High</v>
      </c>
      <c r="K848" s="14" t="s">
        <v>2039</v>
      </c>
      <c r="L848" s="2">
        <f>DATEDIF(messy_clinic_appointments[[#This Row],[booking_date]],messy_clinic_appointments[[#This Row],[appointment_date]],"d")</f>
        <v>442</v>
      </c>
      <c r="M848" s="14" t="str">
        <f>IF(messy_clinic_appointments[[#This Row],[days_to_appointment]]&gt;365, "Review", "OK")</f>
        <v>Review</v>
      </c>
    </row>
    <row r="849" spans="1:13" x14ac:dyDescent="0.25">
      <c r="A849">
        <v>1091</v>
      </c>
      <c r="B849" s="14" t="s">
        <v>1673</v>
      </c>
      <c r="C849">
        <v>25</v>
      </c>
      <c r="D849" s="14" t="s">
        <v>2014</v>
      </c>
      <c r="E849" s="1">
        <v>45980</v>
      </c>
      <c r="F849" s="1">
        <v>45976</v>
      </c>
      <c r="G849" s="14" t="s">
        <v>1674</v>
      </c>
      <c r="H849" s="14" t="s">
        <v>12</v>
      </c>
      <c r="I849" s="14" t="s">
        <v>2818</v>
      </c>
      <c r="J849" s="14" t="str">
        <f>IF(messy_clinic_appointments[[#This Row],[billing_amount]] &lt; 200, "Low", IF(messy_clinic_appointments[[#This Row],[billing_amount]]&lt;= 400, "Medium", "High"))</f>
        <v>High</v>
      </c>
      <c r="K849" s="14" t="s">
        <v>2026</v>
      </c>
      <c r="L849" s="2">
        <f>DATEDIF(messy_clinic_appointments[[#This Row],[booking_date]],messy_clinic_appointments[[#This Row],[appointment_date]],"d")</f>
        <v>4</v>
      </c>
      <c r="M849" s="14" t="str">
        <f>IF(messy_clinic_appointments[[#This Row],[days_to_appointment]]&gt;365, "Review", "OK")</f>
        <v>OK</v>
      </c>
    </row>
    <row r="850" spans="1:13" x14ac:dyDescent="0.25">
      <c r="A850">
        <v>1026</v>
      </c>
      <c r="B850" s="14" t="s">
        <v>1675</v>
      </c>
      <c r="C850">
        <v>56</v>
      </c>
      <c r="D850" s="14" t="s">
        <v>2011</v>
      </c>
      <c r="E850" s="1">
        <v>46011</v>
      </c>
      <c r="F850" s="1">
        <v>45832</v>
      </c>
      <c r="G850" s="14" t="s">
        <v>1676</v>
      </c>
      <c r="H850" s="14" t="s">
        <v>21</v>
      </c>
      <c r="I850" s="14" t="s">
        <v>2819</v>
      </c>
      <c r="J850" s="14" t="str">
        <f>IF(messy_clinic_appointments[[#This Row],[billing_amount]] &lt; 200, "Low", IF(messy_clinic_appointments[[#This Row],[billing_amount]]&lt;= 400, "Medium", "High"))</f>
        <v>High</v>
      </c>
      <c r="K850" s="14" t="s">
        <v>2026</v>
      </c>
      <c r="L850" s="2">
        <f>DATEDIF(messy_clinic_appointments[[#This Row],[booking_date]],messy_clinic_appointments[[#This Row],[appointment_date]],"d")</f>
        <v>179</v>
      </c>
      <c r="M850" s="14" t="str">
        <f>IF(messy_clinic_appointments[[#This Row],[days_to_appointment]]&gt;365, "Review", "OK")</f>
        <v>OK</v>
      </c>
    </row>
    <row r="851" spans="1:13" x14ac:dyDescent="0.25">
      <c r="A851">
        <v>1075</v>
      </c>
      <c r="B851" s="14" t="s">
        <v>1677</v>
      </c>
      <c r="C851">
        <v>85</v>
      </c>
      <c r="D851" s="14" t="s">
        <v>2039</v>
      </c>
      <c r="E851" s="1">
        <v>46090</v>
      </c>
      <c r="F851" s="1">
        <v>45734</v>
      </c>
      <c r="G851" s="14" t="s">
        <v>1678</v>
      </c>
      <c r="H851" s="14" t="s">
        <v>18</v>
      </c>
      <c r="I851" s="14" t="s">
        <v>2820</v>
      </c>
      <c r="J851" s="14" t="str">
        <f>IF(messy_clinic_appointments[[#This Row],[billing_amount]] &lt; 200, "Low", IF(messy_clinic_appointments[[#This Row],[billing_amount]]&lt;= 400, "Medium", "High"))</f>
        <v>High</v>
      </c>
      <c r="K851" s="14" t="s">
        <v>22</v>
      </c>
      <c r="L851" s="2">
        <f>DATEDIF(messy_clinic_appointments[[#This Row],[booking_date]],messy_clinic_appointments[[#This Row],[appointment_date]],"d")</f>
        <v>356</v>
      </c>
      <c r="M851" s="14" t="str">
        <f>IF(messy_clinic_appointments[[#This Row],[days_to_appointment]]&gt;365, "Review", "OK")</f>
        <v>OK</v>
      </c>
    </row>
    <row r="852" spans="1:13" x14ac:dyDescent="0.25">
      <c r="A852">
        <v>1089</v>
      </c>
      <c r="B852" s="14" t="s">
        <v>1679</v>
      </c>
      <c r="C852">
        <v>76</v>
      </c>
      <c r="D852" s="14" t="s">
        <v>30</v>
      </c>
      <c r="E852" s="1">
        <v>46102</v>
      </c>
      <c r="F852" s="1">
        <v>45555</v>
      </c>
      <c r="G852" s="14" t="s">
        <v>1680</v>
      </c>
      <c r="H852" s="14" t="s">
        <v>18</v>
      </c>
      <c r="I852" s="14" t="s">
        <v>2821</v>
      </c>
      <c r="J852" s="14" t="str">
        <f>IF(messy_clinic_appointments[[#This Row],[billing_amount]] &lt; 200, "Low", IF(messy_clinic_appointments[[#This Row],[billing_amount]]&lt;= 400, "Medium", "High"))</f>
        <v>High</v>
      </c>
      <c r="K852" s="14" t="s">
        <v>2013</v>
      </c>
      <c r="L852" s="2">
        <f>DATEDIF(messy_clinic_appointments[[#This Row],[booking_date]],messy_clinic_appointments[[#This Row],[appointment_date]],"d")</f>
        <v>547</v>
      </c>
      <c r="M852" s="14" t="str">
        <f>IF(messy_clinic_appointments[[#This Row],[days_to_appointment]]&gt;365, "Review", "OK")</f>
        <v>Review</v>
      </c>
    </row>
    <row r="853" spans="1:13" x14ac:dyDescent="0.25">
      <c r="A853">
        <v>1031</v>
      </c>
      <c r="B853" s="14" t="s">
        <v>1681</v>
      </c>
      <c r="C853">
        <v>43</v>
      </c>
      <c r="D853" s="14" t="s">
        <v>2014</v>
      </c>
      <c r="E853" s="1">
        <v>45896</v>
      </c>
      <c r="F853" s="1">
        <v>45423</v>
      </c>
      <c r="G853" s="14" t="s">
        <v>1682</v>
      </c>
      <c r="H853" s="14" t="s">
        <v>18</v>
      </c>
      <c r="I853" s="14" t="s">
        <v>2822</v>
      </c>
      <c r="J853" s="14" t="str">
        <f>IF(messy_clinic_appointments[[#This Row],[billing_amount]] &lt; 200, "Low", IF(messy_clinic_appointments[[#This Row],[billing_amount]]&lt;= 400, "Medium", "High"))</f>
        <v>High</v>
      </c>
      <c r="K853" s="14" t="s">
        <v>2010</v>
      </c>
      <c r="L853" s="2">
        <f>DATEDIF(messy_clinic_appointments[[#This Row],[booking_date]],messy_clinic_appointments[[#This Row],[appointment_date]],"d")</f>
        <v>473</v>
      </c>
      <c r="M853" s="14" t="str">
        <f>IF(messy_clinic_appointments[[#This Row],[days_to_appointment]]&gt;365, "Review", "OK")</f>
        <v>Review</v>
      </c>
    </row>
    <row r="854" spans="1:13" x14ac:dyDescent="0.25">
      <c r="A854">
        <v>1082</v>
      </c>
      <c r="B854" s="14" t="s">
        <v>1683</v>
      </c>
      <c r="C854">
        <v>51</v>
      </c>
      <c r="D854" s="14" t="s">
        <v>50</v>
      </c>
      <c r="E854" s="1">
        <v>45902</v>
      </c>
      <c r="F854" s="1">
        <v>45884</v>
      </c>
      <c r="G854" s="14" t="s">
        <v>1684</v>
      </c>
      <c r="H854" s="14" t="s">
        <v>15</v>
      </c>
      <c r="I854" s="14" t="s">
        <v>2823</v>
      </c>
      <c r="J854" s="14" t="str">
        <f>IF(messy_clinic_appointments[[#This Row],[billing_amount]] &lt; 200, "Low", IF(messy_clinic_appointments[[#This Row],[billing_amount]]&lt;= 400, "Medium", "High"))</f>
        <v>High</v>
      </c>
      <c r="K854" s="14" t="s">
        <v>2026</v>
      </c>
      <c r="L854" s="2">
        <f>DATEDIF(messy_clinic_appointments[[#This Row],[booking_date]],messy_clinic_appointments[[#This Row],[appointment_date]],"d")</f>
        <v>18</v>
      </c>
      <c r="M854" s="14" t="str">
        <f>IF(messy_clinic_appointments[[#This Row],[days_to_appointment]]&gt;365, "Review", "OK")</f>
        <v>OK</v>
      </c>
    </row>
    <row r="855" spans="1:13" x14ac:dyDescent="0.25">
      <c r="A855">
        <v>1022</v>
      </c>
      <c r="B855" s="14" t="s">
        <v>1685</v>
      </c>
      <c r="C855">
        <v>89</v>
      </c>
      <c r="D855" s="14" t="s">
        <v>2039</v>
      </c>
      <c r="E855" s="1">
        <v>46055</v>
      </c>
      <c r="F855" s="1">
        <v>45665</v>
      </c>
      <c r="G855" s="14" t="s">
        <v>1686</v>
      </c>
      <c r="H855" s="14" t="s">
        <v>18</v>
      </c>
      <c r="I855" s="14" t="s">
        <v>2824</v>
      </c>
      <c r="J855" s="14" t="str">
        <f>IF(messy_clinic_appointments[[#This Row],[billing_amount]] &lt; 200, "Low", IF(messy_clinic_appointments[[#This Row],[billing_amount]]&lt;= 400, "Medium", "High"))</f>
        <v>High</v>
      </c>
      <c r="K855" s="14" t="s">
        <v>2010</v>
      </c>
      <c r="L855" s="2">
        <f>DATEDIF(messy_clinic_appointments[[#This Row],[booking_date]],messy_clinic_appointments[[#This Row],[appointment_date]],"d")</f>
        <v>390</v>
      </c>
      <c r="M855" s="14" t="str">
        <f>IF(messy_clinic_appointments[[#This Row],[days_to_appointment]]&gt;365, "Review", "OK")</f>
        <v>Review</v>
      </c>
    </row>
    <row r="856" spans="1:13" x14ac:dyDescent="0.25">
      <c r="A856">
        <v>1063</v>
      </c>
      <c r="B856" s="14" t="s">
        <v>1687</v>
      </c>
      <c r="C856">
        <v>48</v>
      </c>
      <c r="D856" s="14" t="s">
        <v>2011</v>
      </c>
      <c r="E856" s="1">
        <v>46045</v>
      </c>
      <c r="F856" s="1">
        <v>45943</v>
      </c>
      <c r="G856" s="14" t="s">
        <v>1688</v>
      </c>
      <c r="H856" s="14" t="s">
        <v>15</v>
      </c>
      <c r="I856" s="14" t="s">
        <v>2825</v>
      </c>
      <c r="J856" s="14" t="str">
        <f>IF(messy_clinic_appointments[[#This Row],[billing_amount]] &lt; 200, "Low", IF(messy_clinic_appointments[[#This Row],[billing_amount]]&lt;= 400, "Medium", "High"))</f>
        <v>High</v>
      </c>
      <c r="K856" s="14" t="s">
        <v>22</v>
      </c>
      <c r="L856" s="2">
        <f>DATEDIF(messy_clinic_appointments[[#This Row],[booking_date]],messy_clinic_appointments[[#This Row],[appointment_date]],"d")</f>
        <v>102</v>
      </c>
      <c r="M856" s="14" t="str">
        <f>IF(messy_clinic_appointments[[#This Row],[days_to_appointment]]&gt;365, "Review", "OK")</f>
        <v>OK</v>
      </c>
    </row>
    <row r="857" spans="1:13" x14ac:dyDescent="0.25">
      <c r="A857">
        <v>1009</v>
      </c>
      <c r="B857" s="14" t="s">
        <v>1689</v>
      </c>
      <c r="C857">
        <v>37</v>
      </c>
      <c r="D857" s="14" t="s">
        <v>2014</v>
      </c>
      <c r="E857" s="1">
        <v>45861</v>
      </c>
      <c r="F857" s="1">
        <v>45730</v>
      </c>
      <c r="G857" s="14" t="s">
        <v>1690</v>
      </c>
      <c r="H857" s="14" t="s">
        <v>12</v>
      </c>
      <c r="I857" s="14" t="s">
        <v>2826</v>
      </c>
      <c r="J857" s="14" t="str">
        <f>IF(messy_clinic_appointments[[#This Row],[billing_amount]] &lt; 200, "Low", IF(messy_clinic_appointments[[#This Row],[billing_amount]]&lt;= 400, "Medium", "High"))</f>
        <v>High</v>
      </c>
      <c r="K857" s="14" t="s">
        <v>22</v>
      </c>
      <c r="L857" s="2">
        <f>DATEDIF(messy_clinic_appointments[[#This Row],[booking_date]],messy_clinic_appointments[[#This Row],[appointment_date]],"d")</f>
        <v>131</v>
      </c>
      <c r="M857" s="14" t="str">
        <f>IF(messy_clinic_appointments[[#This Row],[days_to_appointment]]&gt;365, "Review", "OK")</f>
        <v>OK</v>
      </c>
    </row>
    <row r="858" spans="1:13" x14ac:dyDescent="0.25">
      <c r="A858">
        <v>1079</v>
      </c>
      <c r="B858" s="14" t="s">
        <v>1691</v>
      </c>
      <c r="C858">
        <v>64</v>
      </c>
      <c r="D858" s="14" t="s">
        <v>2010</v>
      </c>
      <c r="E858" s="1">
        <v>45871</v>
      </c>
      <c r="F858" s="1">
        <v>45808</v>
      </c>
      <c r="G858" s="14" t="s">
        <v>1692</v>
      </c>
      <c r="H858" s="14" t="s">
        <v>18</v>
      </c>
      <c r="I858" s="14" t="s">
        <v>2827</v>
      </c>
      <c r="J858" s="14" t="str">
        <f>IF(messy_clinic_appointments[[#This Row],[billing_amount]] &lt; 200, "Low", IF(messy_clinic_appointments[[#This Row],[billing_amount]]&lt;= 400, "Medium", "High"))</f>
        <v>High</v>
      </c>
      <c r="K858" s="14" t="s">
        <v>28</v>
      </c>
      <c r="L858" s="2">
        <f>DATEDIF(messy_clinic_appointments[[#This Row],[booking_date]],messy_clinic_appointments[[#This Row],[appointment_date]],"d")</f>
        <v>63</v>
      </c>
      <c r="M858" s="14" t="str">
        <f>IF(messy_clinic_appointments[[#This Row],[days_to_appointment]]&gt;365, "Review", "OK")</f>
        <v>OK</v>
      </c>
    </row>
    <row r="859" spans="1:13" x14ac:dyDescent="0.25">
      <c r="A859">
        <v>1001</v>
      </c>
      <c r="B859" s="14" t="s">
        <v>1693</v>
      </c>
      <c r="C859">
        <v>25</v>
      </c>
      <c r="D859" s="14" t="s">
        <v>2011</v>
      </c>
      <c r="E859" s="1">
        <v>46062</v>
      </c>
      <c r="F859" s="1">
        <v>45676</v>
      </c>
      <c r="G859" s="14" t="s">
        <v>1694</v>
      </c>
      <c r="H859" s="14" t="s">
        <v>15</v>
      </c>
      <c r="I859" s="14" t="s">
        <v>2828</v>
      </c>
      <c r="J859" s="14" t="str">
        <f>IF(messy_clinic_appointments[[#This Row],[billing_amount]] &lt; 200, "Low", IF(messy_clinic_appointments[[#This Row],[billing_amount]]&lt;= 400, "Medium", "High"))</f>
        <v>High</v>
      </c>
      <c r="K859" s="14" t="s">
        <v>2010</v>
      </c>
      <c r="L859" s="2">
        <f>DATEDIF(messy_clinic_appointments[[#This Row],[booking_date]],messy_clinic_appointments[[#This Row],[appointment_date]],"d")</f>
        <v>386</v>
      </c>
      <c r="M859" s="14" t="str">
        <f>IF(messy_clinic_appointments[[#This Row],[days_to_appointment]]&gt;365, "Review", "OK")</f>
        <v>Review</v>
      </c>
    </row>
    <row r="860" spans="1:13" x14ac:dyDescent="0.25">
      <c r="A860">
        <v>1022</v>
      </c>
      <c r="B860" s="14" t="s">
        <v>1695</v>
      </c>
      <c r="C860">
        <v>78</v>
      </c>
      <c r="D860" s="14" t="s">
        <v>2022</v>
      </c>
      <c r="E860" s="1">
        <v>45939</v>
      </c>
      <c r="F860" s="1">
        <v>45832</v>
      </c>
      <c r="G860" s="14" t="s">
        <v>1696</v>
      </c>
      <c r="H860" s="14" t="s">
        <v>21</v>
      </c>
      <c r="I860" s="14" t="s">
        <v>2829</v>
      </c>
      <c r="J860" s="14" t="str">
        <f>IF(messy_clinic_appointments[[#This Row],[billing_amount]] &lt; 200, "Low", IF(messy_clinic_appointments[[#This Row],[billing_amount]]&lt;= 400, "Medium", "High"))</f>
        <v>High</v>
      </c>
      <c r="K860" s="14" t="s">
        <v>2013</v>
      </c>
      <c r="L860" s="2">
        <f>DATEDIF(messy_clinic_appointments[[#This Row],[booking_date]],messy_clinic_appointments[[#This Row],[appointment_date]],"d")</f>
        <v>107</v>
      </c>
      <c r="M860" s="14" t="str">
        <f>IF(messy_clinic_appointments[[#This Row],[days_to_appointment]]&gt;365, "Review", "OK")</f>
        <v>OK</v>
      </c>
    </row>
    <row r="861" spans="1:13" x14ac:dyDescent="0.25">
      <c r="A861">
        <v>1008</v>
      </c>
      <c r="B861" s="14" t="s">
        <v>1697</v>
      </c>
      <c r="C861">
        <v>77</v>
      </c>
      <c r="D861" s="14" t="s">
        <v>30</v>
      </c>
      <c r="E861" s="1">
        <v>46029</v>
      </c>
      <c r="F861" s="1">
        <v>45472</v>
      </c>
      <c r="G861" s="14" t="s">
        <v>1698</v>
      </c>
      <c r="H861" s="14" t="s">
        <v>12</v>
      </c>
      <c r="I861" s="14" t="s">
        <v>2830</v>
      </c>
      <c r="J861" s="14" t="str">
        <f>IF(messy_clinic_appointments[[#This Row],[billing_amount]] &lt; 200, "Low", IF(messy_clinic_appointments[[#This Row],[billing_amount]]&lt;= 400, "Medium", "High"))</f>
        <v>High</v>
      </c>
      <c r="K861" s="14" t="s">
        <v>2013</v>
      </c>
      <c r="L861" s="2">
        <f>DATEDIF(messy_clinic_appointments[[#This Row],[booking_date]],messy_clinic_appointments[[#This Row],[appointment_date]],"d")</f>
        <v>557</v>
      </c>
      <c r="M861" s="14" t="str">
        <f>IF(messy_clinic_appointments[[#This Row],[days_to_appointment]]&gt;365, "Review", "OK")</f>
        <v>Review</v>
      </c>
    </row>
    <row r="862" spans="1:13" x14ac:dyDescent="0.25">
      <c r="A862">
        <v>1100</v>
      </c>
      <c r="B862" s="14" t="s">
        <v>1699</v>
      </c>
      <c r="C862">
        <v>46</v>
      </c>
      <c r="D862" s="14" t="s">
        <v>2022</v>
      </c>
      <c r="E862" s="1">
        <v>46054</v>
      </c>
      <c r="F862" s="1">
        <v>45835</v>
      </c>
      <c r="G862" s="14" t="s">
        <v>1700</v>
      </c>
      <c r="H862" s="14" t="s">
        <v>12</v>
      </c>
      <c r="I862" s="14" t="s">
        <v>2831</v>
      </c>
      <c r="J862" s="14" t="str">
        <f>IF(messy_clinic_appointments[[#This Row],[billing_amount]] &lt; 200, "Low", IF(messy_clinic_appointments[[#This Row],[billing_amount]]&lt;= 400, "Medium", "High"))</f>
        <v>High</v>
      </c>
      <c r="K862" s="14" t="s">
        <v>2013</v>
      </c>
      <c r="L862" s="2">
        <f>DATEDIF(messy_clinic_appointments[[#This Row],[booking_date]],messy_clinic_appointments[[#This Row],[appointment_date]],"d")</f>
        <v>219</v>
      </c>
      <c r="M862" s="14" t="str">
        <f>IF(messy_clinic_appointments[[#This Row],[days_to_appointment]]&gt;365, "Review", "OK")</f>
        <v>OK</v>
      </c>
    </row>
    <row r="863" spans="1:13" x14ac:dyDescent="0.25">
      <c r="A863">
        <v>1074</v>
      </c>
      <c r="B863" s="14" t="s">
        <v>1701</v>
      </c>
      <c r="C863">
        <v>90</v>
      </c>
      <c r="D863" s="14" t="s">
        <v>2011</v>
      </c>
      <c r="E863" s="1">
        <v>45966</v>
      </c>
      <c r="F863" s="1">
        <v>45449</v>
      </c>
      <c r="G863" s="14" t="s">
        <v>1702</v>
      </c>
      <c r="H863" s="14" t="s">
        <v>21</v>
      </c>
      <c r="I863" s="14" t="s">
        <v>2832</v>
      </c>
      <c r="J863" s="14" t="str">
        <f>IF(messy_clinic_appointments[[#This Row],[billing_amount]] &lt; 200, "Low", IF(messy_clinic_appointments[[#This Row],[billing_amount]]&lt;= 400, "Medium", "High"))</f>
        <v>High</v>
      </c>
      <c r="K863" s="14" t="s">
        <v>2039</v>
      </c>
      <c r="L863" s="2">
        <f>DATEDIF(messy_clinic_appointments[[#This Row],[booking_date]],messy_clinic_appointments[[#This Row],[appointment_date]],"d")</f>
        <v>517</v>
      </c>
      <c r="M863" s="14" t="str">
        <f>IF(messy_clinic_appointments[[#This Row],[days_to_appointment]]&gt;365, "Review", "OK")</f>
        <v>Review</v>
      </c>
    </row>
    <row r="864" spans="1:13" x14ac:dyDescent="0.25">
      <c r="A864">
        <v>1037</v>
      </c>
      <c r="B864" s="14" t="s">
        <v>1703</v>
      </c>
      <c r="C864">
        <v>26</v>
      </c>
      <c r="D864" s="14" t="s">
        <v>2010</v>
      </c>
      <c r="E864" s="1">
        <v>46039</v>
      </c>
      <c r="F864" s="1">
        <v>45471</v>
      </c>
      <c r="G864" s="14" t="s">
        <v>1704</v>
      </c>
      <c r="H864" s="14" t="s">
        <v>21</v>
      </c>
      <c r="I864" s="14" t="s">
        <v>2833</v>
      </c>
      <c r="J864" s="14" t="str">
        <f>IF(messy_clinic_appointments[[#This Row],[billing_amount]] &lt; 200, "Low", IF(messy_clinic_appointments[[#This Row],[billing_amount]]&lt;= 400, "Medium", "High"))</f>
        <v>High</v>
      </c>
      <c r="K864" s="14" t="s">
        <v>2039</v>
      </c>
      <c r="L864" s="2">
        <f>DATEDIF(messy_clinic_appointments[[#This Row],[booking_date]],messy_clinic_appointments[[#This Row],[appointment_date]],"d")</f>
        <v>568</v>
      </c>
      <c r="M864" s="14" t="str">
        <f>IF(messy_clinic_appointments[[#This Row],[days_to_appointment]]&gt;365, "Review", "OK")</f>
        <v>Review</v>
      </c>
    </row>
    <row r="865" spans="1:13" x14ac:dyDescent="0.25">
      <c r="A865">
        <v>1094</v>
      </c>
      <c r="B865" s="14" t="s">
        <v>1705</v>
      </c>
      <c r="C865">
        <v>22</v>
      </c>
      <c r="D865" s="14" t="s">
        <v>2011</v>
      </c>
      <c r="E865" s="1">
        <v>46097</v>
      </c>
      <c r="F865" s="1">
        <v>45622</v>
      </c>
      <c r="G865" s="14" t="s">
        <v>1706</v>
      </c>
      <c r="H865" s="14" t="s">
        <v>15</v>
      </c>
      <c r="I865" s="14" t="s">
        <v>2834</v>
      </c>
      <c r="J865" s="14" t="str">
        <f>IF(messy_clinic_appointments[[#This Row],[billing_amount]] &lt; 200, "Low", IF(messy_clinic_appointments[[#This Row],[billing_amount]]&lt;= 400, "Medium", "High"))</f>
        <v>High</v>
      </c>
      <c r="K865" s="14" t="s">
        <v>2010</v>
      </c>
      <c r="L865" s="2">
        <f>DATEDIF(messy_clinic_appointments[[#This Row],[booking_date]],messy_clinic_appointments[[#This Row],[appointment_date]],"d")</f>
        <v>475</v>
      </c>
      <c r="M865" s="14" t="str">
        <f>IF(messy_clinic_appointments[[#This Row],[days_to_appointment]]&gt;365, "Review", "OK")</f>
        <v>Review</v>
      </c>
    </row>
    <row r="866" spans="1:13" x14ac:dyDescent="0.25">
      <c r="A866">
        <v>1066</v>
      </c>
      <c r="B866" s="14" t="s">
        <v>1707</v>
      </c>
      <c r="C866">
        <v>36</v>
      </c>
      <c r="D866" s="14" t="s">
        <v>2039</v>
      </c>
      <c r="E866" s="1">
        <v>46033</v>
      </c>
      <c r="F866" s="1">
        <v>45930</v>
      </c>
      <c r="G866" s="14" t="s">
        <v>1708</v>
      </c>
      <c r="H866" s="14" t="s">
        <v>12</v>
      </c>
      <c r="I866" s="14" t="s">
        <v>2835</v>
      </c>
      <c r="J866" s="14" t="str">
        <f>IF(messy_clinic_appointments[[#This Row],[billing_amount]] &lt; 200, "Low", IF(messy_clinic_appointments[[#This Row],[billing_amount]]&lt;= 400, "Medium", "High"))</f>
        <v>High</v>
      </c>
      <c r="K866" s="14" t="s">
        <v>2026</v>
      </c>
      <c r="L866" s="2">
        <f>DATEDIF(messy_clinic_appointments[[#This Row],[booking_date]],messy_clinic_appointments[[#This Row],[appointment_date]],"d")</f>
        <v>103</v>
      </c>
      <c r="M866" s="14" t="str">
        <f>IF(messy_clinic_appointments[[#This Row],[days_to_appointment]]&gt;365, "Review", "OK")</f>
        <v>OK</v>
      </c>
    </row>
    <row r="867" spans="1:13" x14ac:dyDescent="0.25">
      <c r="A867">
        <v>1084</v>
      </c>
      <c r="B867" s="14" t="s">
        <v>1709</v>
      </c>
      <c r="C867">
        <v>83</v>
      </c>
      <c r="D867" s="14" t="s">
        <v>30</v>
      </c>
      <c r="E867" s="1">
        <v>45865</v>
      </c>
      <c r="F867" s="1">
        <v>45744</v>
      </c>
      <c r="G867" s="14" t="s">
        <v>1710</v>
      </c>
      <c r="H867" s="14" t="s">
        <v>15</v>
      </c>
      <c r="I867" s="14" t="s">
        <v>2836</v>
      </c>
      <c r="J867" s="14" t="str">
        <f>IF(messy_clinic_appointments[[#This Row],[billing_amount]] &lt; 200, "Low", IF(messy_clinic_appointments[[#This Row],[billing_amount]]&lt;= 400, "Medium", "High"))</f>
        <v>High</v>
      </c>
      <c r="K867" s="14" t="s">
        <v>22</v>
      </c>
      <c r="L867" s="2">
        <f>DATEDIF(messy_clinic_appointments[[#This Row],[booking_date]],messy_clinic_appointments[[#This Row],[appointment_date]],"d")</f>
        <v>121</v>
      </c>
      <c r="M867" s="14" t="str">
        <f>IF(messy_clinic_appointments[[#This Row],[days_to_appointment]]&gt;365, "Review", "OK")</f>
        <v>OK</v>
      </c>
    </row>
    <row r="868" spans="1:13" x14ac:dyDescent="0.25">
      <c r="A868">
        <v>1008</v>
      </c>
      <c r="B868" s="14" t="s">
        <v>1711</v>
      </c>
      <c r="C868">
        <v>44</v>
      </c>
      <c r="D868" s="14" t="s">
        <v>2011</v>
      </c>
      <c r="E868" s="1">
        <v>45937</v>
      </c>
      <c r="F868" s="1">
        <v>45613</v>
      </c>
      <c r="G868" s="14" t="s">
        <v>1712</v>
      </c>
      <c r="H868" s="14" t="s">
        <v>18</v>
      </c>
      <c r="I868" s="14" t="s">
        <v>2837</v>
      </c>
      <c r="J868" s="14" t="str">
        <f>IF(messy_clinic_appointments[[#This Row],[billing_amount]] &lt; 200, "Low", IF(messy_clinic_appointments[[#This Row],[billing_amount]]&lt;= 400, "Medium", "High"))</f>
        <v>High</v>
      </c>
      <c r="K868" s="14" t="s">
        <v>2039</v>
      </c>
      <c r="L868" s="2">
        <f>DATEDIF(messy_clinic_appointments[[#This Row],[booking_date]],messy_clinic_appointments[[#This Row],[appointment_date]],"d")</f>
        <v>324</v>
      </c>
      <c r="M868" s="14" t="str">
        <f>IF(messy_clinic_appointments[[#This Row],[days_to_appointment]]&gt;365, "Review", "OK")</f>
        <v>OK</v>
      </c>
    </row>
    <row r="869" spans="1:13" x14ac:dyDescent="0.25">
      <c r="A869">
        <v>1039</v>
      </c>
      <c r="B869" s="14" t="s">
        <v>1713</v>
      </c>
      <c r="C869">
        <v>69</v>
      </c>
      <c r="D869" s="14" t="s">
        <v>2008</v>
      </c>
      <c r="E869" s="1">
        <v>46057</v>
      </c>
      <c r="F869" s="1">
        <v>45582</v>
      </c>
      <c r="G869" s="14" t="s">
        <v>1714</v>
      </c>
      <c r="H869" s="14" t="s">
        <v>12</v>
      </c>
      <c r="I869" s="14" t="s">
        <v>2838</v>
      </c>
      <c r="J869" s="14" t="str">
        <f>IF(messy_clinic_appointments[[#This Row],[billing_amount]] &lt; 200, "Low", IF(messy_clinic_appointments[[#This Row],[billing_amount]]&lt;= 400, "Medium", "High"))</f>
        <v>High</v>
      </c>
      <c r="K869" s="14" t="s">
        <v>2013</v>
      </c>
      <c r="L869" s="2">
        <f>DATEDIF(messy_clinic_appointments[[#This Row],[booking_date]],messy_clinic_appointments[[#This Row],[appointment_date]],"d")</f>
        <v>475</v>
      </c>
      <c r="M869" s="14" t="str">
        <f>IF(messy_clinic_appointments[[#This Row],[days_to_appointment]]&gt;365, "Review", "OK")</f>
        <v>Review</v>
      </c>
    </row>
    <row r="870" spans="1:13" x14ac:dyDescent="0.25">
      <c r="A870">
        <v>1092</v>
      </c>
      <c r="B870" s="14" t="s">
        <v>1715</v>
      </c>
      <c r="C870">
        <v>58</v>
      </c>
      <c r="D870" s="14" t="s">
        <v>2014</v>
      </c>
      <c r="E870" s="1">
        <v>45843</v>
      </c>
      <c r="F870" s="1">
        <v>45793</v>
      </c>
      <c r="G870" s="14" t="s">
        <v>1716</v>
      </c>
      <c r="H870" s="14" t="s">
        <v>21</v>
      </c>
      <c r="I870" s="14" t="s">
        <v>2839</v>
      </c>
      <c r="J870" s="14" t="str">
        <f>IF(messy_clinic_appointments[[#This Row],[billing_amount]] &lt; 200, "Low", IF(messy_clinic_appointments[[#This Row],[billing_amount]]&lt;= 400, "Medium", "High"))</f>
        <v>High</v>
      </c>
      <c r="K870" s="14" t="s">
        <v>2013</v>
      </c>
      <c r="L870" s="2">
        <f>DATEDIF(messy_clinic_appointments[[#This Row],[booking_date]],messy_clinic_appointments[[#This Row],[appointment_date]],"d")</f>
        <v>50</v>
      </c>
      <c r="M870" s="14" t="str">
        <f>IF(messy_clinic_appointments[[#This Row],[days_to_appointment]]&gt;365, "Review", "OK")</f>
        <v>OK</v>
      </c>
    </row>
    <row r="871" spans="1:13" x14ac:dyDescent="0.25">
      <c r="A871">
        <v>1023</v>
      </c>
      <c r="B871" s="14" t="s">
        <v>1717</v>
      </c>
      <c r="C871">
        <v>76</v>
      </c>
      <c r="D871" s="14" t="s">
        <v>2010</v>
      </c>
      <c r="E871" s="1">
        <v>45888</v>
      </c>
      <c r="F871" s="1">
        <v>45884</v>
      </c>
      <c r="G871" s="14" t="s">
        <v>1718</v>
      </c>
      <c r="H871" s="14" t="s">
        <v>21</v>
      </c>
      <c r="I871" s="14" t="s">
        <v>2840</v>
      </c>
      <c r="J871" s="14" t="str">
        <f>IF(messy_clinic_appointments[[#This Row],[billing_amount]] &lt; 200, "Low", IF(messy_clinic_appointments[[#This Row],[billing_amount]]&lt;= 400, "Medium", "High"))</f>
        <v>High</v>
      </c>
      <c r="K871" s="14" t="s">
        <v>2010</v>
      </c>
      <c r="L871" s="2">
        <f>DATEDIF(messy_clinic_appointments[[#This Row],[booking_date]],messy_clinic_appointments[[#This Row],[appointment_date]],"d")</f>
        <v>4</v>
      </c>
      <c r="M871" s="14" t="str">
        <f>IF(messy_clinic_appointments[[#This Row],[days_to_appointment]]&gt;365, "Review", "OK")</f>
        <v>OK</v>
      </c>
    </row>
    <row r="872" spans="1:13" x14ac:dyDescent="0.25">
      <c r="A872">
        <v>1004</v>
      </c>
      <c r="B872" s="14" t="s">
        <v>1719</v>
      </c>
      <c r="C872">
        <v>67</v>
      </c>
      <c r="D872" s="14" t="s">
        <v>2010</v>
      </c>
      <c r="E872" s="1">
        <v>45981</v>
      </c>
      <c r="F872" s="1">
        <v>45871</v>
      </c>
      <c r="G872" s="14" t="s">
        <v>1720</v>
      </c>
      <c r="H872" s="14" t="s">
        <v>18</v>
      </c>
      <c r="I872" s="14" t="s">
        <v>2841</v>
      </c>
      <c r="J872" s="14" t="str">
        <f>IF(messy_clinic_appointments[[#This Row],[billing_amount]] &lt; 200, "Low", IF(messy_clinic_appointments[[#This Row],[billing_amount]]&lt;= 400, "Medium", "High"))</f>
        <v>High</v>
      </c>
      <c r="K872" s="14" t="s">
        <v>28</v>
      </c>
      <c r="L872" s="2">
        <f>DATEDIF(messy_clinic_appointments[[#This Row],[booking_date]],messy_clinic_appointments[[#This Row],[appointment_date]],"d")</f>
        <v>110</v>
      </c>
      <c r="M872" s="14" t="str">
        <f>IF(messy_clinic_appointments[[#This Row],[days_to_appointment]]&gt;365, "Review", "OK")</f>
        <v>OK</v>
      </c>
    </row>
    <row r="873" spans="1:13" x14ac:dyDescent="0.25">
      <c r="A873">
        <v>1056</v>
      </c>
      <c r="B873" s="14" t="s">
        <v>1721</v>
      </c>
      <c r="C873">
        <v>30</v>
      </c>
      <c r="D873" s="14" t="s">
        <v>24</v>
      </c>
      <c r="E873" s="1">
        <v>45806</v>
      </c>
      <c r="F873" s="1">
        <v>45443</v>
      </c>
      <c r="G873" s="14" t="s">
        <v>1722</v>
      </c>
      <c r="H873" s="14" t="s">
        <v>15</v>
      </c>
      <c r="I873" s="14" t="s">
        <v>2842</v>
      </c>
      <c r="J873" s="14" t="str">
        <f>IF(messy_clinic_appointments[[#This Row],[billing_amount]] &lt; 200, "Low", IF(messy_clinic_appointments[[#This Row],[billing_amount]]&lt;= 400, "Medium", "High"))</f>
        <v>High</v>
      </c>
      <c r="K873" s="14" t="s">
        <v>28</v>
      </c>
      <c r="L873" s="2">
        <f>DATEDIF(messy_clinic_appointments[[#This Row],[booking_date]],messy_clinic_appointments[[#This Row],[appointment_date]],"d")</f>
        <v>363</v>
      </c>
      <c r="M873" s="14" t="str">
        <f>IF(messy_clinic_appointments[[#This Row],[days_to_appointment]]&gt;365, "Review", "OK")</f>
        <v>OK</v>
      </c>
    </row>
    <row r="874" spans="1:13" x14ac:dyDescent="0.25">
      <c r="A874">
        <v>1077</v>
      </c>
      <c r="B874" s="14" t="s">
        <v>1723</v>
      </c>
      <c r="C874">
        <v>78</v>
      </c>
      <c r="D874" s="14" t="s">
        <v>2014</v>
      </c>
      <c r="E874" s="1">
        <v>45970</v>
      </c>
      <c r="F874" s="1">
        <v>45852</v>
      </c>
      <c r="G874" s="14" t="s">
        <v>1724</v>
      </c>
      <c r="H874" s="14" t="s">
        <v>15</v>
      </c>
      <c r="I874" s="14" t="s">
        <v>2843</v>
      </c>
      <c r="J874" s="14" t="str">
        <f>IF(messy_clinic_appointments[[#This Row],[billing_amount]] &lt; 200, "Low", IF(messy_clinic_appointments[[#This Row],[billing_amount]]&lt;= 400, "Medium", "High"))</f>
        <v>High</v>
      </c>
      <c r="K874" s="14" t="s">
        <v>28</v>
      </c>
      <c r="L874" s="2">
        <f>DATEDIF(messy_clinic_appointments[[#This Row],[booking_date]],messy_clinic_appointments[[#This Row],[appointment_date]],"d")</f>
        <v>118</v>
      </c>
      <c r="M874" s="14" t="str">
        <f>IF(messy_clinic_appointments[[#This Row],[days_to_appointment]]&gt;365, "Review", "OK")</f>
        <v>OK</v>
      </c>
    </row>
    <row r="875" spans="1:13" x14ac:dyDescent="0.25">
      <c r="A875">
        <v>1081</v>
      </c>
      <c r="B875" s="14" t="s">
        <v>1607</v>
      </c>
      <c r="C875">
        <v>45</v>
      </c>
      <c r="D875" s="14" t="s">
        <v>2014</v>
      </c>
      <c r="E875" s="1">
        <v>46102</v>
      </c>
      <c r="F875" s="1">
        <v>45416</v>
      </c>
      <c r="G875" s="14" t="s">
        <v>1725</v>
      </c>
      <c r="H875" s="14" t="s">
        <v>21</v>
      </c>
      <c r="I875" s="14" t="s">
        <v>2844</v>
      </c>
      <c r="J875" s="14" t="str">
        <f>IF(messy_clinic_appointments[[#This Row],[billing_amount]] &lt; 200, "Low", IF(messy_clinic_appointments[[#This Row],[billing_amount]]&lt;= 400, "Medium", "High"))</f>
        <v>High</v>
      </c>
      <c r="K875" s="14" t="s">
        <v>2013</v>
      </c>
      <c r="L875" s="2">
        <f>DATEDIF(messy_clinic_appointments[[#This Row],[booking_date]],messy_clinic_appointments[[#This Row],[appointment_date]],"d")</f>
        <v>686</v>
      </c>
      <c r="M875" s="14" t="str">
        <f>IF(messy_clinic_appointments[[#This Row],[days_to_appointment]]&gt;365, "Review", "OK")</f>
        <v>Review</v>
      </c>
    </row>
    <row r="876" spans="1:13" x14ac:dyDescent="0.25">
      <c r="A876">
        <v>1078</v>
      </c>
      <c r="B876" s="14" t="s">
        <v>1726</v>
      </c>
      <c r="C876">
        <v>25</v>
      </c>
      <c r="D876" s="14" t="s">
        <v>30</v>
      </c>
      <c r="E876" s="1">
        <v>45977</v>
      </c>
      <c r="F876" s="1">
        <v>45557</v>
      </c>
      <c r="G876" s="14" t="s">
        <v>1727</v>
      </c>
      <c r="H876" s="14" t="s">
        <v>12</v>
      </c>
      <c r="I876" s="14" t="s">
        <v>2845</v>
      </c>
      <c r="J876" s="14" t="str">
        <f>IF(messy_clinic_appointments[[#This Row],[billing_amount]] &lt; 200, "Low", IF(messy_clinic_appointments[[#This Row],[billing_amount]]&lt;= 400, "Medium", "High"))</f>
        <v>High</v>
      </c>
      <c r="K876" s="14" t="s">
        <v>22</v>
      </c>
      <c r="L876" s="2">
        <f>DATEDIF(messy_clinic_appointments[[#This Row],[booking_date]],messy_clinic_appointments[[#This Row],[appointment_date]],"d")</f>
        <v>420</v>
      </c>
      <c r="M876" s="14" t="str">
        <f>IF(messy_clinic_appointments[[#This Row],[days_to_appointment]]&gt;365, "Review", "OK")</f>
        <v>Review</v>
      </c>
    </row>
    <row r="877" spans="1:13" x14ac:dyDescent="0.25">
      <c r="A877">
        <v>1054</v>
      </c>
      <c r="B877" s="14" t="s">
        <v>1728</v>
      </c>
      <c r="C877">
        <v>50</v>
      </c>
      <c r="D877" s="14" t="s">
        <v>30</v>
      </c>
      <c r="E877" s="1">
        <v>45813</v>
      </c>
      <c r="F877" s="1">
        <v>45645</v>
      </c>
      <c r="G877" s="14" t="s">
        <v>1729</v>
      </c>
      <c r="H877" s="14" t="s">
        <v>21</v>
      </c>
      <c r="I877" s="14" t="s">
        <v>2846</v>
      </c>
      <c r="J877" s="14" t="str">
        <f>IF(messy_clinic_appointments[[#This Row],[billing_amount]] &lt; 200, "Low", IF(messy_clinic_appointments[[#This Row],[billing_amount]]&lt;= 400, "Medium", "High"))</f>
        <v>High</v>
      </c>
      <c r="K877" s="14" t="s">
        <v>22</v>
      </c>
      <c r="L877" s="2">
        <f>DATEDIF(messy_clinic_appointments[[#This Row],[booking_date]],messy_clinic_appointments[[#This Row],[appointment_date]],"d")</f>
        <v>168</v>
      </c>
      <c r="M877" s="14" t="str">
        <f>IF(messy_clinic_appointments[[#This Row],[days_to_appointment]]&gt;365, "Review", "OK")</f>
        <v>OK</v>
      </c>
    </row>
    <row r="878" spans="1:13" x14ac:dyDescent="0.25">
      <c r="A878">
        <v>1085</v>
      </c>
      <c r="B878" s="14" t="s">
        <v>1730</v>
      </c>
      <c r="C878">
        <v>85</v>
      </c>
      <c r="D878" s="14" t="s">
        <v>50</v>
      </c>
      <c r="E878" s="1">
        <v>46031</v>
      </c>
      <c r="F878" s="1">
        <v>45780</v>
      </c>
      <c r="G878" s="14" t="s">
        <v>1731</v>
      </c>
      <c r="H878" s="14" t="s">
        <v>12</v>
      </c>
      <c r="I878" s="14" t="s">
        <v>2847</v>
      </c>
      <c r="J878" s="14" t="str">
        <f>IF(messy_clinic_appointments[[#This Row],[billing_amount]] &lt; 200, "Low", IF(messy_clinic_appointments[[#This Row],[billing_amount]]&lt;= 400, "Medium", "High"))</f>
        <v>High</v>
      </c>
      <c r="K878" s="14" t="s">
        <v>22</v>
      </c>
      <c r="L878" s="2">
        <f>DATEDIF(messy_clinic_appointments[[#This Row],[booking_date]],messy_clinic_appointments[[#This Row],[appointment_date]],"d")</f>
        <v>251</v>
      </c>
      <c r="M878" s="14" t="str">
        <f>IF(messy_clinic_appointments[[#This Row],[days_to_appointment]]&gt;365, "Review", "OK")</f>
        <v>OK</v>
      </c>
    </row>
    <row r="879" spans="1:13" x14ac:dyDescent="0.25">
      <c r="A879">
        <v>1028</v>
      </c>
      <c r="B879" s="14" t="s">
        <v>1732</v>
      </c>
      <c r="C879">
        <v>22</v>
      </c>
      <c r="D879" s="14" t="s">
        <v>2010</v>
      </c>
      <c r="E879" s="1">
        <v>46008</v>
      </c>
      <c r="F879" s="1">
        <v>45875</v>
      </c>
      <c r="G879" s="14" t="s">
        <v>1733</v>
      </c>
      <c r="H879" s="14" t="s">
        <v>15</v>
      </c>
      <c r="I879" s="14" t="s">
        <v>2848</v>
      </c>
      <c r="J879" s="14" t="str">
        <f>IF(messy_clinic_appointments[[#This Row],[billing_amount]] &lt; 200, "Low", IF(messy_clinic_appointments[[#This Row],[billing_amount]]&lt;= 400, "Medium", "High"))</f>
        <v>High</v>
      </c>
      <c r="K879" s="14" t="s">
        <v>22</v>
      </c>
      <c r="L879" s="2">
        <f>DATEDIF(messy_clinic_appointments[[#This Row],[booking_date]],messy_clinic_appointments[[#This Row],[appointment_date]],"d")</f>
        <v>133</v>
      </c>
      <c r="M879" s="14" t="str">
        <f>IF(messy_clinic_appointments[[#This Row],[days_to_appointment]]&gt;365, "Review", "OK")</f>
        <v>OK</v>
      </c>
    </row>
    <row r="880" spans="1:13" x14ac:dyDescent="0.25">
      <c r="A880">
        <v>1048</v>
      </c>
      <c r="B880" s="14" t="s">
        <v>1734</v>
      </c>
      <c r="C880">
        <v>89</v>
      </c>
      <c r="D880" s="14" t="s">
        <v>2039</v>
      </c>
      <c r="E880" s="1">
        <v>45858</v>
      </c>
      <c r="F880" s="1">
        <v>45455</v>
      </c>
      <c r="G880" s="14" t="s">
        <v>1735</v>
      </c>
      <c r="H880" s="14" t="s">
        <v>18</v>
      </c>
      <c r="I880" s="14" t="s">
        <v>2849</v>
      </c>
      <c r="J880" s="14" t="str">
        <f>IF(messy_clinic_appointments[[#This Row],[billing_amount]] &lt; 200, "Low", IF(messy_clinic_appointments[[#This Row],[billing_amount]]&lt;= 400, "Medium", "High"))</f>
        <v>High</v>
      </c>
      <c r="K880" s="14" t="s">
        <v>22</v>
      </c>
      <c r="L880" s="2">
        <f>DATEDIF(messy_clinic_appointments[[#This Row],[booking_date]],messy_clinic_appointments[[#This Row],[appointment_date]],"d")</f>
        <v>403</v>
      </c>
      <c r="M880" s="14" t="str">
        <f>IF(messy_clinic_appointments[[#This Row],[days_to_appointment]]&gt;365, "Review", "OK")</f>
        <v>Review</v>
      </c>
    </row>
    <row r="881" spans="1:13" x14ac:dyDescent="0.25">
      <c r="A881">
        <v>1008</v>
      </c>
      <c r="B881" s="14" t="s">
        <v>1736</v>
      </c>
      <c r="C881">
        <v>34</v>
      </c>
      <c r="D881" s="14" t="s">
        <v>30</v>
      </c>
      <c r="E881" s="1">
        <v>45940</v>
      </c>
      <c r="F881" s="1">
        <v>45779</v>
      </c>
      <c r="G881" s="14" t="s">
        <v>1737</v>
      </c>
      <c r="H881" s="14" t="s">
        <v>18</v>
      </c>
      <c r="I881" s="14" t="s">
        <v>2850</v>
      </c>
      <c r="J881" s="14" t="str">
        <f>IF(messy_clinic_appointments[[#This Row],[billing_amount]] &lt; 200, "Low", IF(messy_clinic_appointments[[#This Row],[billing_amount]]&lt;= 400, "Medium", "High"))</f>
        <v>High</v>
      </c>
      <c r="K881" s="14" t="s">
        <v>2039</v>
      </c>
      <c r="L881" s="2">
        <f>DATEDIF(messy_clinic_appointments[[#This Row],[booking_date]],messy_clinic_appointments[[#This Row],[appointment_date]],"d")</f>
        <v>161</v>
      </c>
      <c r="M881" s="14" t="str">
        <f>IF(messy_clinic_appointments[[#This Row],[days_to_appointment]]&gt;365, "Review", "OK")</f>
        <v>OK</v>
      </c>
    </row>
    <row r="882" spans="1:13" x14ac:dyDescent="0.25">
      <c r="A882">
        <v>1002</v>
      </c>
      <c r="B882" s="14" t="s">
        <v>1738</v>
      </c>
      <c r="C882">
        <v>22</v>
      </c>
      <c r="D882" s="14" t="s">
        <v>2014</v>
      </c>
      <c r="E882" s="1">
        <v>45886</v>
      </c>
      <c r="F882" s="1">
        <v>45662</v>
      </c>
      <c r="G882" s="14" t="s">
        <v>1739</v>
      </c>
      <c r="H882" s="14" t="s">
        <v>15</v>
      </c>
      <c r="I882" s="14" t="s">
        <v>2851</v>
      </c>
      <c r="J882" s="14" t="str">
        <f>IF(messy_clinic_appointments[[#This Row],[billing_amount]] &lt; 200, "Low", IF(messy_clinic_appointments[[#This Row],[billing_amount]]&lt;= 400, "Medium", "High"))</f>
        <v>High</v>
      </c>
      <c r="K882" s="14" t="s">
        <v>2039</v>
      </c>
      <c r="L882" s="2">
        <f>DATEDIF(messy_clinic_appointments[[#This Row],[booking_date]],messy_clinic_appointments[[#This Row],[appointment_date]],"d")</f>
        <v>224</v>
      </c>
      <c r="M882" s="14" t="str">
        <f>IF(messy_clinic_appointments[[#This Row],[days_to_appointment]]&gt;365, "Review", "OK")</f>
        <v>OK</v>
      </c>
    </row>
    <row r="883" spans="1:13" x14ac:dyDescent="0.25">
      <c r="A883">
        <v>1013</v>
      </c>
      <c r="B883" s="14" t="s">
        <v>1740</v>
      </c>
      <c r="C883">
        <v>24</v>
      </c>
      <c r="D883" s="14" t="s">
        <v>24</v>
      </c>
      <c r="E883" s="1">
        <v>45757</v>
      </c>
      <c r="F883" s="1">
        <v>45738</v>
      </c>
      <c r="G883" s="14" t="s">
        <v>1741</v>
      </c>
      <c r="H883" s="14" t="s">
        <v>15</v>
      </c>
      <c r="I883" s="14" t="s">
        <v>2852</v>
      </c>
      <c r="J883" s="14" t="str">
        <f>IF(messy_clinic_appointments[[#This Row],[billing_amount]] &lt; 200, "Low", IF(messy_clinic_appointments[[#This Row],[billing_amount]]&lt;= 400, "Medium", "High"))</f>
        <v>High</v>
      </c>
      <c r="K883" s="14" t="s">
        <v>22</v>
      </c>
      <c r="L883" s="2">
        <f>DATEDIF(messy_clinic_appointments[[#This Row],[booking_date]],messy_clinic_appointments[[#This Row],[appointment_date]],"d")</f>
        <v>19</v>
      </c>
      <c r="M883" s="14" t="str">
        <f>IF(messy_clinic_appointments[[#This Row],[days_to_appointment]]&gt;365, "Review", "OK")</f>
        <v>OK</v>
      </c>
    </row>
    <row r="884" spans="1:13" x14ac:dyDescent="0.25">
      <c r="A884">
        <v>1032</v>
      </c>
      <c r="B884" s="14" t="s">
        <v>1742</v>
      </c>
      <c r="C884">
        <v>21</v>
      </c>
      <c r="D884" s="14" t="s">
        <v>50</v>
      </c>
      <c r="E884" s="1">
        <v>46061</v>
      </c>
      <c r="F884" s="1">
        <v>45791</v>
      </c>
      <c r="G884" s="14" t="s">
        <v>1405</v>
      </c>
      <c r="H884" s="14" t="s">
        <v>21</v>
      </c>
      <c r="I884" s="14" t="s">
        <v>2853</v>
      </c>
      <c r="J884" s="14" t="str">
        <f>IF(messy_clinic_appointments[[#This Row],[billing_amount]] &lt; 200, "Low", IF(messy_clinic_appointments[[#This Row],[billing_amount]]&lt;= 400, "Medium", "High"))</f>
        <v>High</v>
      </c>
      <c r="K884" s="14" t="s">
        <v>2026</v>
      </c>
      <c r="L884" s="2">
        <f>DATEDIF(messy_clinic_appointments[[#This Row],[booking_date]],messy_clinic_appointments[[#This Row],[appointment_date]],"d")</f>
        <v>270</v>
      </c>
      <c r="M884" s="14" t="str">
        <f>IF(messy_clinic_appointments[[#This Row],[days_to_appointment]]&gt;365, "Review", "OK")</f>
        <v>OK</v>
      </c>
    </row>
    <row r="885" spans="1:13" x14ac:dyDescent="0.25">
      <c r="A885">
        <v>1074</v>
      </c>
      <c r="B885" s="14" t="s">
        <v>1743</v>
      </c>
      <c r="C885">
        <v>23</v>
      </c>
      <c r="D885" s="14" t="s">
        <v>2022</v>
      </c>
      <c r="E885" s="1">
        <v>45803</v>
      </c>
      <c r="F885" s="1">
        <v>45674</v>
      </c>
      <c r="G885" s="14" t="s">
        <v>1744</v>
      </c>
      <c r="H885" s="14" t="s">
        <v>18</v>
      </c>
      <c r="I885" s="14" t="s">
        <v>2854</v>
      </c>
      <c r="J885" s="14" t="str">
        <f>IF(messy_clinic_appointments[[#This Row],[billing_amount]] &lt; 200, "Low", IF(messy_clinic_appointments[[#This Row],[billing_amount]]&lt;= 400, "Medium", "High"))</f>
        <v>High</v>
      </c>
      <c r="K885" s="14" t="s">
        <v>28</v>
      </c>
      <c r="L885" s="2">
        <f>DATEDIF(messy_clinic_appointments[[#This Row],[booking_date]],messy_clinic_appointments[[#This Row],[appointment_date]],"d")</f>
        <v>129</v>
      </c>
      <c r="M885" s="14" t="str">
        <f>IF(messy_clinic_appointments[[#This Row],[days_to_appointment]]&gt;365, "Review", "OK")</f>
        <v>OK</v>
      </c>
    </row>
    <row r="886" spans="1:13" x14ac:dyDescent="0.25">
      <c r="A886">
        <v>1025</v>
      </c>
      <c r="B886" s="14" t="s">
        <v>1745</v>
      </c>
      <c r="C886">
        <v>52</v>
      </c>
      <c r="D886" s="14" t="s">
        <v>2039</v>
      </c>
      <c r="E886" s="1">
        <v>45813</v>
      </c>
      <c r="F886" s="1">
        <v>45602</v>
      </c>
      <c r="G886" s="14" t="s">
        <v>1746</v>
      </c>
      <c r="H886" s="14" t="s">
        <v>15</v>
      </c>
      <c r="I886" s="14" t="s">
        <v>2855</v>
      </c>
      <c r="J886" s="14" t="str">
        <f>IF(messy_clinic_appointments[[#This Row],[billing_amount]] &lt; 200, "Low", IF(messy_clinic_appointments[[#This Row],[billing_amount]]&lt;= 400, "Medium", "High"))</f>
        <v>High</v>
      </c>
      <c r="K886" s="14" t="s">
        <v>2026</v>
      </c>
      <c r="L886" s="2">
        <f>DATEDIF(messy_clinic_appointments[[#This Row],[booking_date]],messy_clinic_appointments[[#This Row],[appointment_date]],"d")</f>
        <v>211</v>
      </c>
      <c r="M886" s="14" t="str">
        <f>IF(messy_clinic_appointments[[#This Row],[days_to_appointment]]&gt;365, "Review", "OK")</f>
        <v>OK</v>
      </c>
    </row>
    <row r="887" spans="1:13" x14ac:dyDescent="0.25">
      <c r="A887">
        <v>1040</v>
      </c>
      <c r="B887" s="14" t="s">
        <v>1747</v>
      </c>
      <c r="C887">
        <v>36</v>
      </c>
      <c r="D887" s="14" t="s">
        <v>24</v>
      </c>
      <c r="E887" s="1">
        <v>45804</v>
      </c>
      <c r="F887" s="1">
        <v>45628</v>
      </c>
      <c r="G887" s="14" t="s">
        <v>1748</v>
      </c>
      <c r="H887" s="14" t="s">
        <v>15</v>
      </c>
      <c r="I887" s="14" t="s">
        <v>2856</v>
      </c>
      <c r="J887" s="14" t="str">
        <f>IF(messy_clinic_appointments[[#This Row],[billing_amount]] &lt; 200, "Low", IF(messy_clinic_appointments[[#This Row],[billing_amount]]&lt;= 400, "Medium", "High"))</f>
        <v>High</v>
      </c>
      <c r="K887" s="14" t="s">
        <v>22</v>
      </c>
      <c r="L887" s="2">
        <f>DATEDIF(messy_clinic_appointments[[#This Row],[booking_date]],messy_clinic_appointments[[#This Row],[appointment_date]],"d")</f>
        <v>176</v>
      </c>
      <c r="M887" s="14" t="str">
        <f>IF(messy_clinic_appointments[[#This Row],[days_to_appointment]]&gt;365, "Review", "OK")</f>
        <v>OK</v>
      </c>
    </row>
    <row r="888" spans="1:13" x14ac:dyDescent="0.25">
      <c r="A888">
        <v>1089</v>
      </c>
      <c r="B888" s="14" t="s">
        <v>1749</v>
      </c>
      <c r="C888">
        <v>20</v>
      </c>
      <c r="D888" s="14" t="s">
        <v>2010</v>
      </c>
      <c r="E888" s="1">
        <v>45933</v>
      </c>
      <c r="F888" s="1">
        <v>45868</v>
      </c>
      <c r="G888" s="14" t="s">
        <v>1750</v>
      </c>
      <c r="H888" s="14" t="s">
        <v>18</v>
      </c>
      <c r="I888" s="14" t="s">
        <v>2857</v>
      </c>
      <c r="J888" s="14" t="str">
        <f>IF(messy_clinic_appointments[[#This Row],[billing_amount]] &lt; 200, "Low", IF(messy_clinic_appointments[[#This Row],[billing_amount]]&lt;= 400, "Medium", "High"))</f>
        <v>High</v>
      </c>
      <c r="K888" s="14" t="s">
        <v>2039</v>
      </c>
      <c r="L888" s="2">
        <f>DATEDIF(messy_clinic_appointments[[#This Row],[booking_date]],messy_clinic_appointments[[#This Row],[appointment_date]],"d")</f>
        <v>65</v>
      </c>
      <c r="M888" s="14" t="str">
        <f>IF(messy_clinic_appointments[[#This Row],[days_to_appointment]]&gt;365, "Review", "OK")</f>
        <v>OK</v>
      </c>
    </row>
    <row r="889" spans="1:13" x14ac:dyDescent="0.25">
      <c r="A889">
        <v>1069</v>
      </c>
      <c r="B889" s="14" t="s">
        <v>1751</v>
      </c>
      <c r="C889">
        <v>32</v>
      </c>
      <c r="D889" s="14" t="s">
        <v>2039</v>
      </c>
      <c r="E889" s="1">
        <v>46076</v>
      </c>
      <c r="F889" s="1">
        <v>45671</v>
      </c>
      <c r="G889" s="14" t="s">
        <v>1752</v>
      </c>
      <c r="H889" s="14" t="s">
        <v>21</v>
      </c>
      <c r="I889" s="14" t="s">
        <v>2858</v>
      </c>
      <c r="J889" s="14" t="str">
        <f>IF(messy_clinic_appointments[[#This Row],[billing_amount]] &lt; 200, "Low", IF(messy_clinic_appointments[[#This Row],[billing_amount]]&lt;= 400, "Medium", "High"))</f>
        <v>High</v>
      </c>
      <c r="K889" s="14" t="s">
        <v>2010</v>
      </c>
      <c r="L889" s="2">
        <f>DATEDIF(messy_clinic_appointments[[#This Row],[booking_date]],messy_clinic_appointments[[#This Row],[appointment_date]],"d")</f>
        <v>405</v>
      </c>
      <c r="M889" s="14" t="str">
        <f>IF(messy_clinic_appointments[[#This Row],[days_to_appointment]]&gt;365, "Review", "OK")</f>
        <v>Review</v>
      </c>
    </row>
    <row r="890" spans="1:13" x14ac:dyDescent="0.25">
      <c r="A890">
        <v>1070</v>
      </c>
      <c r="B890" s="14" t="s">
        <v>1753</v>
      </c>
      <c r="C890">
        <v>38</v>
      </c>
      <c r="D890" s="14" t="s">
        <v>2010</v>
      </c>
      <c r="E890" s="1">
        <v>45844</v>
      </c>
      <c r="F890" s="1">
        <v>45770</v>
      </c>
      <c r="G890" s="14" t="s">
        <v>1754</v>
      </c>
      <c r="H890" s="14" t="s">
        <v>18</v>
      </c>
      <c r="I890" s="14" t="s">
        <v>2859</v>
      </c>
      <c r="J890" s="14" t="str">
        <f>IF(messy_clinic_appointments[[#This Row],[billing_amount]] &lt; 200, "Low", IF(messy_clinic_appointments[[#This Row],[billing_amount]]&lt;= 400, "Medium", "High"))</f>
        <v>High</v>
      </c>
      <c r="K890" s="14" t="s">
        <v>2013</v>
      </c>
      <c r="L890" s="2">
        <f>DATEDIF(messy_clinic_appointments[[#This Row],[booking_date]],messy_clinic_appointments[[#This Row],[appointment_date]],"d")</f>
        <v>74</v>
      </c>
      <c r="M890" s="14" t="str">
        <f>IF(messy_clinic_appointments[[#This Row],[days_to_appointment]]&gt;365, "Review", "OK")</f>
        <v>OK</v>
      </c>
    </row>
    <row r="891" spans="1:13" x14ac:dyDescent="0.25">
      <c r="A891">
        <v>1070</v>
      </c>
      <c r="B891" s="14" t="s">
        <v>1755</v>
      </c>
      <c r="C891">
        <v>53</v>
      </c>
      <c r="D891" s="14" t="s">
        <v>24</v>
      </c>
      <c r="E891" s="1">
        <v>46040</v>
      </c>
      <c r="F891" s="1">
        <v>45727</v>
      </c>
      <c r="G891" s="14" t="s">
        <v>1756</v>
      </c>
      <c r="H891" s="14" t="s">
        <v>18</v>
      </c>
      <c r="I891" s="14" t="s">
        <v>2860</v>
      </c>
      <c r="J891" s="14" t="str">
        <f>IF(messy_clinic_appointments[[#This Row],[billing_amount]] &lt; 200, "Low", IF(messy_clinic_appointments[[#This Row],[billing_amount]]&lt;= 400, "Medium", "High"))</f>
        <v>High</v>
      </c>
      <c r="K891" s="14" t="s">
        <v>28</v>
      </c>
      <c r="L891" s="2">
        <f>DATEDIF(messy_clinic_appointments[[#This Row],[booking_date]],messy_clinic_appointments[[#This Row],[appointment_date]],"d")</f>
        <v>313</v>
      </c>
      <c r="M891" s="14" t="str">
        <f>IF(messy_clinic_appointments[[#This Row],[days_to_appointment]]&gt;365, "Review", "OK")</f>
        <v>OK</v>
      </c>
    </row>
    <row r="892" spans="1:13" x14ac:dyDescent="0.25">
      <c r="A892">
        <v>1077</v>
      </c>
      <c r="B892" s="14" t="s">
        <v>1757</v>
      </c>
      <c r="C892">
        <v>58</v>
      </c>
      <c r="D892" s="14" t="s">
        <v>2011</v>
      </c>
      <c r="E892" s="1">
        <v>46106</v>
      </c>
      <c r="F892" s="1">
        <v>45954</v>
      </c>
      <c r="G892" s="14" t="s">
        <v>1758</v>
      </c>
      <c r="H892" s="14" t="s">
        <v>18</v>
      </c>
      <c r="I892" s="14" t="s">
        <v>2861</v>
      </c>
      <c r="J892" s="14" t="str">
        <f>IF(messy_clinic_appointments[[#This Row],[billing_amount]] &lt; 200, "Low", IF(messy_clinic_appointments[[#This Row],[billing_amount]]&lt;= 400, "Medium", "High"))</f>
        <v>High</v>
      </c>
      <c r="K892" s="14" t="s">
        <v>22</v>
      </c>
      <c r="L892" s="2">
        <f>DATEDIF(messy_clinic_appointments[[#This Row],[booking_date]],messy_clinic_appointments[[#This Row],[appointment_date]],"d")</f>
        <v>152</v>
      </c>
      <c r="M892" s="14" t="str">
        <f>IF(messy_clinic_appointments[[#This Row],[days_to_appointment]]&gt;365, "Review", "OK")</f>
        <v>OK</v>
      </c>
    </row>
    <row r="893" spans="1:13" x14ac:dyDescent="0.25">
      <c r="A893">
        <v>1082</v>
      </c>
      <c r="B893" s="14" t="s">
        <v>1759</v>
      </c>
      <c r="C893">
        <v>61</v>
      </c>
      <c r="D893" s="14" t="s">
        <v>2014</v>
      </c>
      <c r="E893" s="1">
        <v>45966</v>
      </c>
      <c r="F893" s="1">
        <v>45920</v>
      </c>
      <c r="G893" s="14" t="s">
        <v>689</v>
      </c>
      <c r="H893" s="14" t="s">
        <v>12</v>
      </c>
      <c r="I893" s="14" t="s">
        <v>2862</v>
      </c>
      <c r="J893" s="14" t="str">
        <f>IF(messy_clinic_appointments[[#This Row],[billing_amount]] &lt; 200, "Low", IF(messy_clinic_appointments[[#This Row],[billing_amount]]&lt;= 400, "Medium", "High"))</f>
        <v>High</v>
      </c>
      <c r="K893" s="14" t="s">
        <v>2039</v>
      </c>
      <c r="L893" s="2">
        <f>DATEDIF(messy_clinic_appointments[[#This Row],[booking_date]],messy_clinic_appointments[[#This Row],[appointment_date]],"d")</f>
        <v>46</v>
      </c>
      <c r="M893" s="14" t="str">
        <f>IF(messy_clinic_appointments[[#This Row],[days_to_appointment]]&gt;365, "Review", "OK")</f>
        <v>OK</v>
      </c>
    </row>
    <row r="894" spans="1:13" x14ac:dyDescent="0.25">
      <c r="A894">
        <v>1053</v>
      </c>
      <c r="B894" s="14" t="s">
        <v>1760</v>
      </c>
      <c r="C894">
        <v>66</v>
      </c>
      <c r="D894" s="14" t="s">
        <v>2039</v>
      </c>
      <c r="E894" s="1">
        <v>45893</v>
      </c>
      <c r="F894" s="1">
        <v>45431</v>
      </c>
      <c r="G894" s="14" t="s">
        <v>1761</v>
      </c>
      <c r="H894" s="14" t="s">
        <v>15</v>
      </c>
      <c r="I894" s="14" t="s">
        <v>2863</v>
      </c>
      <c r="J894" s="14" t="str">
        <f>IF(messy_clinic_appointments[[#This Row],[billing_amount]] &lt; 200, "Low", IF(messy_clinic_appointments[[#This Row],[billing_amount]]&lt;= 400, "Medium", "High"))</f>
        <v>High</v>
      </c>
      <c r="K894" s="14" t="s">
        <v>2039</v>
      </c>
      <c r="L894" s="2">
        <f>DATEDIF(messy_clinic_appointments[[#This Row],[booking_date]],messy_clinic_appointments[[#This Row],[appointment_date]],"d")</f>
        <v>462</v>
      </c>
      <c r="M894" s="14" t="str">
        <f>IF(messy_clinic_appointments[[#This Row],[days_to_appointment]]&gt;365, "Review", "OK")</f>
        <v>Review</v>
      </c>
    </row>
    <row r="895" spans="1:13" x14ac:dyDescent="0.25">
      <c r="A895">
        <v>1083</v>
      </c>
      <c r="B895" s="14" t="s">
        <v>1762</v>
      </c>
      <c r="C895">
        <v>18</v>
      </c>
      <c r="D895" s="14" t="s">
        <v>50</v>
      </c>
      <c r="E895" s="1">
        <v>45768</v>
      </c>
      <c r="F895" s="1">
        <v>45539</v>
      </c>
      <c r="G895" s="14" t="s">
        <v>1763</v>
      </c>
      <c r="H895" s="14" t="s">
        <v>18</v>
      </c>
      <c r="I895" s="14" t="s">
        <v>2864</v>
      </c>
      <c r="J895" s="14" t="str">
        <f>IF(messy_clinic_appointments[[#This Row],[billing_amount]] &lt; 200, "Low", IF(messy_clinic_appointments[[#This Row],[billing_amount]]&lt;= 400, "Medium", "High"))</f>
        <v>High</v>
      </c>
      <c r="K895" s="14" t="s">
        <v>28</v>
      </c>
      <c r="L895" s="2">
        <f>DATEDIF(messy_clinic_appointments[[#This Row],[booking_date]],messy_clinic_appointments[[#This Row],[appointment_date]],"d")</f>
        <v>229</v>
      </c>
      <c r="M895" s="14" t="str">
        <f>IF(messy_clinic_appointments[[#This Row],[days_to_appointment]]&gt;365, "Review", "OK")</f>
        <v>OK</v>
      </c>
    </row>
    <row r="896" spans="1:13" x14ac:dyDescent="0.25">
      <c r="A896">
        <v>1096</v>
      </c>
      <c r="B896" s="14" t="s">
        <v>1764</v>
      </c>
      <c r="C896">
        <v>70</v>
      </c>
      <c r="D896" s="14" t="s">
        <v>2010</v>
      </c>
      <c r="E896" s="1">
        <v>45820</v>
      </c>
      <c r="F896" s="1">
        <v>45623</v>
      </c>
      <c r="G896" s="14" t="s">
        <v>1765</v>
      </c>
      <c r="H896" s="14" t="s">
        <v>18</v>
      </c>
      <c r="I896" s="14" t="s">
        <v>2865</v>
      </c>
      <c r="J896" s="14" t="str">
        <f>IF(messy_clinic_appointments[[#This Row],[billing_amount]] &lt; 200, "Low", IF(messy_clinic_appointments[[#This Row],[billing_amount]]&lt;= 400, "Medium", "High"))</f>
        <v>High</v>
      </c>
      <c r="K896" s="14" t="s">
        <v>28</v>
      </c>
      <c r="L896" s="2">
        <f>DATEDIF(messy_clinic_appointments[[#This Row],[booking_date]],messy_clinic_appointments[[#This Row],[appointment_date]],"d")</f>
        <v>197</v>
      </c>
      <c r="M896" s="14" t="str">
        <f>IF(messy_clinic_appointments[[#This Row],[days_to_appointment]]&gt;365, "Review", "OK")</f>
        <v>OK</v>
      </c>
    </row>
    <row r="897" spans="1:13" x14ac:dyDescent="0.25">
      <c r="A897">
        <v>1043</v>
      </c>
      <c r="B897" s="14" t="s">
        <v>1766</v>
      </c>
      <c r="C897">
        <v>31</v>
      </c>
      <c r="D897" s="14" t="s">
        <v>2022</v>
      </c>
      <c r="E897" s="1">
        <v>45982</v>
      </c>
      <c r="F897" s="1">
        <v>45885</v>
      </c>
      <c r="G897" s="14" t="s">
        <v>1767</v>
      </c>
      <c r="H897" s="14" t="s">
        <v>18</v>
      </c>
      <c r="I897" s="14" t="s">
        <v>2866</v>
      </c>
      <c r="J897" s="14" t="str">
        <f>IF(messy_clinic_appointments[[#This Row],[billing_amount]] &lt; 200, "Low", IF(messy_clinic_appointments[[#This Row],[billing_amount]]&lt;= 400, "Medium", "High"))</f>
        <v>High</v>
      </c>
      <c r="K897" s="14" t="s">
        <v>2026</v>
      </c>
      <c r="L897" s="2">
        <f>DATEDIF(messy_clinic_appointments[[#This Row],[booking_date]],messy_clinic_appointments[[#This Row],[appointment_date]],"d")</f>
        <v>97</v>
      </c>
      <c r="M897" s="14" t="str">
        <f>IF(messy_clinic_appointments[[#This Row],[days_to_appointment]]&gt;365, "Review", "OK")</f>
        <v>OK</v>
      </c>
    </row>
    <row r="898" spans="1:13" x14ac:dyDescent="0.25">
      <c r="A898">
        <v>1058</v>
      </c>
      <c r="B898" s="14" t="s">
        <v>1768</v>
      </c>
      <c r="C898">
        <v>64</v>
      </c>
      <c r="D898" s="14" t="s">
        <v>50</v>
      </c>
      <c r="E898" s="1">
        <v>45761</v>
      </c>
      <c r="F898" s="1">
        <v>45692</v>
      </c>
      <c r="G898" s="14" t="s">
        <v>1769</v>
      </c>
      <c r="H898" s="14" t="s">
        <v>18</v>
      </c>
      <c r="I898" s="14" t="s">
        <v>2867</v>
      </c>
      <c r="J898" s="14" t="str">
        <f>IF(messy_clinic_appointments[[#This Row],[billing_amount]] &lt; 200, "Low", IF(messy_clinic_appointments[[#This Row],[billing_amount]]&lt;= 400, "Medium", "High"))</f>
        <v>High</v>
      </c>
      <c r="K898" s="14" t="s">
        <v>2010</v>
      </c>
      <c r="L898" s="2">
        <f>DATEDIF(messy_clinic_appointments[[#This Row],[booking_date]],messy_clinic_appointments[[#This Row],[appointment_date]],"d")</f>
        <v>69</v>
      </c>
      <c r="M898" s="14" t="str">
        <f>IF(messy_clinic_appointments[[#This Row],[days_to_appointment]]&gt;365, "Review", "OK")</f>
        <v>OK</v>
      </c>
    </row>
    <row r="899" spans="1:13" x14ac:dyDescent="0.25">
      <c r="A899">
        <v>1080</v>
      </c>
      <c r="B899" s="14" t="s">
        <v>1770</v>
      </c>
      <c r="C899">
        <v>21</v>
      </c>
      <c r="D899" s="14" t="s">
        <v>2022</v>
      </c>
      <c r="E899" s="1">
        <v>45774</v>
      </c>
      <c r="F899" s="1">
        <v>45729</v>
      </c>
      <c r="G899" s="14" t="s">
        <v>1771</v>
      </c>
      <c r="H899" s="14" t="s">
        <v>18</v>
      </c>
      <c r="I899" s="14" t="s">
        <v>2868</v>
      </c>
      <c r="J899" s="14" t="str">
        <f>IF(messy_clinic_appointments[[#This Row],[billing_amount]] &lt; 200, "Low", IF(messy_clinic_appointments[[#This Row],[billing_amount]]&lt;= 400, "Medium", "High"))</f>
        <v>High</v>
      </c>
      <c r="K899" s="14" t="s">
        <v>28</v>
      </c>
      <c r="L899" s="2">
        <f>DATEDIF(messy_clinic_appointments[[#This Row],[booking_date]],messy_clinic_appointments[[#This Row],[appointment_date]],"d")</f>
        <v>45</v>
      </c>
      <c r="M899" s="14" t="str">
        <f>IF(messy_clinic_appointments[[#This Row],[days_to_appointment]]&gt;365, "Review", "OK")</f>
        <v>OK</v>
      </c>
    </row>
    <row r="900" spans="1:13" x14ac:dyDescent="0.25">
      <c r="A900">
        <v>1097</v>
      </c>
      <c r="B900" s="14" t="s">
        <v>1772</v>
      </c>
      <c r="C900">
        <v>51</v>
      </c>
      <c r="D900" s="14" t="s">
        <v>2008</v>
      </c>
      <c r="E900" s="1">
        <v>45911</v>
      </c>
      <c r="F900" s="1">
        <v>45456</v>
      </c>
      <c r="G900" s="14" t="s">
        <v>1773</v>
      </c>
      <c r="H900" s="14" t="s">
        <v>21</v>
      </c>
      <c r="I900" s="14" t="s">
        <v>2869</v>
      </c>
      <c r="J900" s="14" t="str">
        <f>IF(messy_clinic_appointments[[#This Row],[billing_amount]] &lt; 200, "Low", IF(messy_clinic_appointments[[#This Row],[billing_amount]]&lt;= 400, "Medium", "High"))</f>
        <v>High</v>
      </c>
      <c r="K900" s="14" t="s">
        <v>22</v>
      </c>
      <c r="L900" s="2">
        <f>DATEDIF(messy_clinic_appointments[[#This Row],[booking_date]],messy_clinic_appointments[[#This Row],[appointment_date]],"d")</f>
        <v>455</v>
      </c>
      <c r="M900" s="14" t="str">
        <f>IF(messy_clinic_appointments[[#This Row],[days_to_appointment]]&gt;365, "Review", "OK")</f>
        <v>Review</v>
      </c>
    </row>
    <row r="901" spans="1:13" x14ac:dyDescent="0.25">
      <c r="A901">
        <v>1054</v>
      </c>
      <c r="B901" s="14" t="s">
        <v>1774</v>
      </c>
      <c r="C901">
        <v>29</v>
      </c>
      <c r="D901" s="14" t="s">
        <v>2014</v>
      </c>
      <c r="E901" s="1">
        <v>45794</v>
      </c>
      <c r="F901" s="1">
        <v>45571</v>
      </c>
      <c r="G901" s="14" t="s">
        <v>1775</v>
      </c>
      <c r="H901" s="14" t="s">
        <v>18</v>
      </c>
      <c r="I901" s="14" t="s">
        <v>2870</v>
      </c>
      <c r="J901" s="14" t="str">
        <f>IF(messy_clinic_appointments[[#This Row],[billing_amount]] &lt; 200, "Low", IF(messy_clinic_appointments[[#This Row],[billing_amount]]&lt;= 400, "Medium", "High"))</f>
        <v>High</v>
      </c>
      <c r="K901" s="14" t="s">
        <v>2026</v>
      </c>
      <c r="L901" s="2">
        <f>DATEDIF(messy_clinic_appointments[[#This Row],[booking_date]],messy_clinic_appointments[[#This Row],[appointment_date]],"d")</f>
        <v>223</v>
      </c>
      <c r="M901" s="14" t="str">
        <f>IF(messy_clinic_appointments[[#This Row],[days_to_appointment]]&gt;365, "Review", "OK")</f>
        <v>OK</v>
      </c>
    </row>
    <row r="902" spans="1:13" x14ac:dyDescent="0.25">
      <c r="A902">
        <v>1075</v>
      </c>
      <c r="B902" s="14" t="s">
        <v>1776</v>
      </c>
      <c r="C902">
        <v>51</v>
      </c>
      <c r="D902" s="14" t="s">
        <v>50</v>
      </c>
      <c r="E902" s="1">
        <v>46002</v>
      </c>
      <c r="F902" s="1">
        <v>45949</v>
      </c>
      <c r="G902" s="14" t="s">
        <v>1777</v>
      </c>
      <c r="H902" s="14" t="s">
        <v>18</v>
      </c>
      <c r="I902" s="14" t="s">
        <v>2871</v>
      </c>
      <c r="J902" s="14" t="str">
        <f>IF(messy_clinic_appointments[[#This Row],[billing_amount]] &lt; 200, "Low", IF(messy_clinic_appointments[[#This Row],[billing_amount]]&lt;= 400, "Medium", "High"))</f>
        <v>High</v>
      </c>
      <c r="K902" s="14" t="s">
        <v>22</v>
      </c>
      <c r="L902" s="2">
        <f>DATEDIF(messy_clinic_appointments[[#This Row],[booking_date]],messy_clinic_appointments[[#This Row],[appointment_date]],"d")</f>
        <v>53</v>
      </c>
      <c r="M902" s="14" t="str">
        <f>IF(messy_clinic_appointments[[#This Row],[days_to_appointment]]&gt;365, "Review", "OK")</f>
        <v>OK</v>
      </c>
    </row>
    <row r="903" spans="1:13" x14ac:dyDescent="0.25">
      <c r="A903">
        <v>1036</v>
      </c>
      <c r="B903" s="14" t="s">
        <v>1778</v>
      </c>
      <c r="C903">
        <v>82</v>
      </c>
      <c r="D903" s="14" t="s">
        <v>2022</v>
      </c>
      <c r="E903" s="1">
        <v>45999</v>
      </c>
      <c r="F903" s="1">
        <v>45389</v>
      </c>
      <c r="G903" s="14" t="s">
        <v>1779</v>
      </c>
      <c r="H903" s="14" t="s">
        <v>21</v>
      </c>
      <c r="I903" s="14" t="s">
        <v>2872</v>
      </c>
      <c r="J903" s="14" t="str">
        <f>IF(messy_clinic_appointments[[#This Row],[billing_amount]] &lt; 200, "Low", IF(messy_clinic_appointments[[#This Row],[billing_amount]]&lt;= 400, "Medium", "High"))</f>
        <v>High</v>
      </c>
      <c r="K903" s="14" t="s">
        <v>2013</v>
      </c>
      <c r="L903" s="2">
        <f>DATEDIF(messy_clinic_appointments[[#This Row],[booking_date]],messy_clinic_appointments[[#This Row],[appointment_date]],"d")</f>
        <v>610</v>
      </c>
      <c r="M903" s="14" t="str">
        <f>IF(messy_clinic_appointments[[#This Row],[days_to_appointment]]&gt;365, "Review", "OK")</f>
        <v>Review</v>
      </c>
    </row>
    <row r="904" spans="1:13" x14ac:dyDescent="0.25">
      <c r="A904">
        <v>1064</v>
      </c>
      <c r="B904" s="14" t="s">
        <v>1780</v>
      </c>
      <c r="C904">
        <v>78</v>
      </c>
      <c r="D904" s="14" t="s">
        <v>2008</v>
      </c>
      <c r="E904" s="1">
        <v>46036</v>
      </c>
      <c r="F904" s="1">
        <v>45784</v>
      </c>
      <c r="G904" s="14" t="s">
        <v>1781</v>
      </c>
      <c r="H904" s="14" t="s">
        <v>15</v>
      </c>
      <c r="I904" s="14" t="s">
        <v>2873</v>
      </c>
      <c r="J904" s="14" t="str">
        <f>IF(messy_clinic_appointments[[#This Row],[billing_amount]] &lt; 200, "Low", IF(messy_clinic_appointments[[#This Row],[billing_amount]]&lt;= 400, "Medium", "High"))</f>
        <v>High</v>
      </c>
      <c r="K904" s="14" t="s">
        <v>22</v>
      </c>
      <c r="L904" s="2">
        <f>DATEDIF(messy_clinic_appointments[[#This Row],[booking_date]],messy_clinic_appointments[[#This Row],[appointment_date]],"d")</f>
        <v>252</v>
      </c>
      <c r="M904" s="14" t="str">
        <f>IF(messy_clinic_appointments[[#This Row],[days_to_appointment]]&gt;365, "Review", "OK")</f>
        <v>OK</v>
      </c>
    </row>
    <row r="905" spans="1:13" x14ac:dyDescent="0.25">
      <c r="A905">
        <v>1015</v>
      </c>
      <c r="B905" s="14" t="s">
        <v>1782</v>
      </c>
      <c r="C905">
        <v>63</v>
      </c>
      <c r="D905" s="14" t="s">
        <v>2010</v>
      </c>
      <c r="E905" s="1">
        <v>45989</v>
      </c>
      <c r="F905" s="1">
        <v>45559</v>
      </c>
      <c r="G905" s="14" t="s">
        <v>1783</v>
      </c>
      <c r="H905" s="14" t="s">
        <v>18</v>
      </c>
      <c r="I905" s="14" t="s">
        <v>2874</v>
      </c>
      <c r="J905" s="14" t="str">
        <f>IF(messy_clinic_appointments[[#This Row],[billing_amount]] &lt; 200, "Low", IF(messy_clinic_appointments[[#This Row],[billing_amount]]&lt;= 400, "Medium", "High"))</f>
        <v>High</v>
      </c>
      <c r="K905" s="14" t="s">
        <v>28</v>
      </c>
      <c r="L905" s="2">
        <f>DATEDIF(messy_clinic_appointments[[#This Row],[booking_date]],messy_clinic_appointments[[#This Row],[appointment_date]],"d")</f>
        <v>430</v>
      </c>
      <c r="M905" s="14" t="str">
        <f>IF(messy_clinic_appointments[[#This Row],[days_to_appointment]]&gt;365, "Review", "OK")</f>
        <v>Review</v>
      </c>
    </row>
    <row r="906" spans="1:13" x14ac:dyDescent="0.25">
      <c r="A906">
        <v>1045</v>
      </c>
      <c r="B906" s="14" t="s">
        <v>1784</v>
      </c>
      <c r="C906">
        <v>66</v>
      </c>
      <c r="D906" s="14" t="s">
        <v>2010</v>
      </c>
      <c r="E906" s="1">
        <v>45800</v>
      </c>
      <c r="F906" s="1">
        <v>45411</v>
      </c>
      <c r="G906" s="14" t="s">
        <v>1785</v>
      </c>
      <c r="H906" s="14" t="s">
        <v>15</v>
      </c>
      <c r="I906" s="14" t="s">
        <v>2875</v>
      </c>
      <c r="J906" s="14" t="str">
        <f>IF(messy_clinic_appointments[[#This Row],[billing_amount]] &lt; 200, "Low", IF(messy_clinic_appointments[[#This Row],[billing_amount]]&lt;= 400, "Medium", "High"))</f>
        <v>High</v>
      </c>
      <c r="K906" s="14" t="s">
        <v>28</v>
      </c>
      <c r="L906" s="2">
        <f>DATEDIF(messy_clinic_appointments[[#This Row],[booking_date]],messy_clinic_appointments[[#This Row],[appointment_date]],"d")</f>
        <v>389</v>
      </c>
      <c r="M906" s="14" t="str">
        <f>IF(messy_clinic_appointments[[#This Row],[days_to_appointment]]&gt;365, "Review", "OK")</f>
        <v>Review</v>
      </c>
    </row>
    <row r="907" spans="1:13" x14ac:dyDescent="0.25">
      <c r="A907">
        <v>1016</v>
      </c>
      <c r="B907" s="14" t="s">
        <v>1786</v>
      </c>
      <c r="C907">
        <v>49</v>
      </c>
      <c r="D907" s="14" t="s">
        <v>2022</v>
      </c>
      <c r="E907" s="1">
        <v>45916</v>
      </c>
      <c r="F907" s="1">
        <v>45779</v>
      </c>
      <c r="G907" s="14" t="s">
        <v>1787</v>
      </c>
      <c r="H907" s="14" t="s">
        <v>15</v>
      </c>
      <c r="I907" s="14" t="s">
        <v>24</v>
      </c>
      <c r="J907" s="14" t="str">
        <f>IF(messy_clinic_appointments[[#This Row],[billing_amount]] &lt; 200, "Low", IF(messy_clinic_appointments[[#This Row],[billing_amount]]&lt;= 400, "Medium", "High"))</f>
        <v>High</v>
      </c>
      <c r="K907" s="14" t="s">
        <v>2039</v>
      </c>
      <c r="L907" s="2">
        <f>DATEDIF(messy_clinic_appointments[[#This Row],[booking_date]],messy_clinic_appointments[[#This Row],[appointment_date]],"d")</f>
        <v>137</v>
      </c>
      <c r="M907" s="14" t="str">
        <f>IF(messy_clinic_appointments[[#This Row],[days_to_appointment]]&gt;365, "Review", "OK")</f>
        <v>OK</v>
      </c>
    </row>
    <row r="908" spans="1:13" x14ac:dyDescent="0.25">
      <c r="A908">
        <v>1006</v>
      </c>
      <c r="B908" s="14" t="s">
        <v>1788</v>
      </c>
      <c r="C908">
        <v>61</v>
      </c>
      <c r="D908" s="14" t="s">
        <v>2014</v>
      </c>
      <c r="E908" s="1">
        <v>45975</v>
      </c>
      <c r="F908" s="1">
        <v>45422</v>
      </c>
      <c r="G908" s="14" t="s">
        <v>1789</v>
      </c>
      <c r="H908" s="14" t="s">
        <v>15</v>
      </c>
      <c r="I908" s="14" t="s">
        <v>2876</v>
      </c>
      <c r="J908" s="14" t="str">
        <f>IF(messy_clinic_appointments[[#This Row],[billing_amount]] &lt; 200, "Low", IF(messy_clinic_appointments[[#This Row],[billing_amount]]&lt;= 400, "Medium", "High"))</f>
        <v>High</v>
      </c>
      <c r="K908" s="14" t="s">
        <v>2026</v>
      </c>
      <c r="L908" s="2">
        <f>DATEDIF(messy_clinic_appointments[[#This Row],[booking_date]],messy_clinic_appointments[[#This Row],[appointment_date]],"d")</f>
        <v>553</v>
      </c>
      <c r="M908" s="14" t="str">
        <f>IF(messy_clinic_appointments[[#This Row],[days_to_appointment]]&gt;365, "Review", "OK")</f>
        <v>Review</v>
      </c>
    </row>
    <row r="909" spans="1:13" x14ac:dyDescent="0.25">
      <c r="A909">
        <v>1058</v>
      </c>
      <c r="B909" s="14" t="s">
        <v>1790</v>
      </c>
      <c r="C909">
        <v>30</v>
      </c>
      <c r="D909" s="14" t="s">
        <v>2011</v>
      </c>
      <c r="E909" s="1">
        <v>46079</v>
      </c>
      <c r="F909" s="1">
        <v>46060</v>
      </c>
      <c r="G909" s="14" t="s">
        <v>1791</v>
      </c>
      <c r="H909" s="14" t="s">
        <v>21</v>
      </c>
      <c r="I909" s="14" t="s">
        <v>2877</v>
      </c>
      <c r="J909" s="14" t="str">
        <f>IF(messy_clinic_appointments[[#This Row],[billing_amount]] &lt; 200, "Low", IF(messy_clinic_appointments[[#This Row],[billing_amount]]&lt;= 400, "Medium", "High"))</f>
        <v>High</v>
      </c>
      <c r="K909" s="14" t="s">
        <v>2039</v>
      </c>
      <c r="L909" s="2">
        <f>DATEDIF(messy_clinic_appointments[[#This Row],[booking_date]],messy_clinic_appointments[[#This Row],[appointment_date]],"d")</f>
        <v>19</v>
      </c>
      <c r="M909" s="14" t="str">
        <f>IF(messy_clinic_appointments[[#This Row],[days_to_appointment]]&gt;365, "Review", "OK")</f>
        <v>OK</v>
      </c>
    </row>
    <row r="910" spans="1:13" x14ac:dyDescent="0.25">
      <c r="A910">
        <v>1050</v>
      </c>
      <c r="B910" s="14" t="s">
        <v>1792</v>
      </c>
      <c r="C910">
        <v>23</v>
      </c>
      <c r="D910" s="14" t="s">
        <v>2010</v>
      </c>
      <c r="E910" s="1">
        <v>45957</v>
      </c>
      <c r="F910" s="1">
        <v>45830</v>
      </c>
      <c r="G910" s="14" t="s">
        <v>1793</v>
      </c>
      <c r="H910" s="14" t="s">
        <v>12</v>
      </c>
      <c r="I910" s="14" t="s">
        <v>2878</v>
      </c>
      <c r="J910" s="14" t="str">
        <f>IF(messy_clinic_appointments[[#This Row],[billing_amount]] &lt; 200, "Low", IF(messy_clinic_appointments[[#This Row],[billing_amount]]&lt;= 400, "Medium", "High"))</f>
        <v>High</v>
      </c>
      <c r="K910" s="14" t="s">
        <v>2010</v>
      </c>
      <c r="L910" s="2">
        <f>DATEDIF(messy_clinic_appointments[[#This Row],[booking_date]],messy_clinic_appointments[[#This Row],[appointment_date]],"d")</f>
        <v>127</v>
      </c>
      <c r="M910" s="14" t="str">
        <f>IF(messy_clinic_appointments[[#This Row],[days_to_appointment]]&gt;365, "Review", "OK")</f>
        <v>OK</v>
      </c>
    </row>
    <row r="911" spans="1:13" x14ac:dyDescent="0.25">
      <c r="A911">
        <v>1016</v>
      </c>
      <c r="B911" s="14" t="s">
        <v>1794</v>
      </c>
      <c r="C911">
        <v>87</v>
      </c>
      <c r="D911" s="14" t="s">
        <v>2008</v>
      </c>
      <c r="E911" s="1">
        <v>46046</v>
      </c>
      <c r="F911" s="1">
        <v>45635</v>
      </c>
      <c r="G911" s="14" t="s">
        <v>1795</v>
      </c>
      <c r="H911" s="14" t="s">
        <v>21</v>
      </c>
      <c r="I911" s="14" t="s">
        <v>2879</v>
      </c>
      <c r="J911" s="14" t="str">
        <f>IF(messy_clinic_appointments[[#This Row],[billing_amount]] &lt; 200, "Low", IF(messy_clinic_appointments[[#This Row],[billing_amount]]&lt;= 400, "Medium", "High"))</f>
        <v>High</v>
      </c>
      <c r="K911" s="14" t="s">
        <v>2013</v>
      </c>
      <c r="L911" s="2">
        <f>DATEDIF(messy_clinic_appointments[[#This Row],[booking_date]],messy_clinic_appointments[[#This Row],[appointment_date]],"d")</f>
        <v>411</v>
      </c>
      <c r="M911" s="14" t="str">
        <f>IF(messy_clinic_appointments[[#This Row],[days_to_appointment]]&gt;365, "Review", "OK")</f>
        <v>Review</v>
      </c>
    </row>
    <row r="912" spans="1:13" x14ac:dyDescent="0.25">
      <c r="A912">
        <v>1014</v>
      </c>
      <c r="B912" s="14" t="s">
        <v>1796</v>
      </c>
      <c r="C912">
        <v>31</v>
      </c>
      <c r="D912" s="14" t="s">
        <v>2039</v>
      </c>
      <c r="E912" s="1">
        <v>45899</v>
      </c>
      <c r="F912" s="1">
        <v>45674</v>
      </c>
      <c r="G912" s="14" t="s">
        <v>1797</v>
      </c>
      <c r="H912" s="14" t="s">
        <v>21</v>
      </c>
      <c r="I912" s="14" t="s">
        <v>2880</v>
      </c>
      <c r="J912" s="14" t="str">
        <f>IF(messy_clinic_appointments[[#This Row],[billing_amount]] &lt; 200, "Low", IF(messy_clinic_appointments[[#This Row],[billing_amount]]&lt;= 400, "Medium", "High"))</f>
        <v>High</v>
      </c>
      <c r="K912" s="14" t="s">
        <v>2013</v>
      </c>
      <c r="L912" s="2">
        <f>DATEDIF(messy_clinic_appointments[[#This Row],[booking_date]],messy_clinic_appointments[[#This Row],[appointment_date]],"d")</f>
        <v>225</v>
      </c>
      <c r="M912" s="14" t="str">
        <f>IF(messy_clinic_appointments[[#This Row],[days_to_appointment]]&gt;365, "Review", "OK")</f>
        <v>OK</v>
      </c>
    </row>
    <row r="913" spans="1:13" x14ac:dyDescent="0.25">
      <c r="A913">
        <v>1070</v>
      </c>
      <c r="B913" s="14" t="s">
        <v>1798</v>
      </c>
      <c r="C913">
        <v>49</v>
      </c>
      <c r="D913" s="14" t="s">
        <v>2039</v>
      </c>
      <c r="E913" s="1">
        <v>45797</v>
      </c>
      <c r="F913" s="1">
        <v>45547</v>
      </c>
      <c r="G913" s="14" t="s">
        <v>1799</v>
      </c>
      <c r="H913" s="14" t="s">
        <v>21</v>
      </c>
      <c r="I913" s="14" t="s">
        <v>2881</v>
      </c>
      <c r="J913" s="14" t="str">
        <f>IF(messy_clinic_appointments[[#This Row],[billing_amount]] &lt; 200, "Low", IF(messy_clinic_appointments[[#This Row],[billing_amount]]&lt;= 400, "Medium", "High"))</f>
        <v>High</v>
      </c>
      <c r="K913" s="14" t="s">
        <v>28</v>
      </c>
      <c r="L913" s="2">
        <f>DATEDIF(messy_clinic_appointments[[#This Row],[booking_date]],messy_clinic_appointments[[#This Row],[appointment_date]],"d")</f>
        <v>250</v>
      </c>
      <c r="M913" s="14" t="str">
        <f>IF(messy_clinic_appointments[[#This Row],[days_to_appointment]]&gt;365, "Review", "OK")</f>
        <v>OK</v>
      </c>
    </row>
    <row r="914" spans="1:13" x14ac:dyDescent="0.25">
      <c r="A914">
        <v>1068</v>
      </c>
      <c r="B914" s="14" t="s">
        <v>1800</v>
      </c>
      <c r="C914">
        <v>52</v>
      </c>
      <c r="D914" s="14" t="s">
        <v>30</v>
      </c>
      <c r="E914" s="1">
        <v>46034</v>
      </c>
      <c r="F914" s="1">
        <v>45543</v>
      </c>
      <c r="G914" s="14" t="s">
        <v>1801</v>
      </c>
      <c r="H914" s="14" t="s">
        <v>18</v>
      </c>
      <c r="I914" s="14" t="s">
        <v>2882</v>
      </c>
      <c r="J914" s="14" t="str">
        <f>IF(messy_clinic_appointments[[#This Row],[billing_amount]] &lt; 200, "Low", IF(messy_clinic_appointments[[#This Row],[billing_amount]]&lt;= 400, "Medium", "High"))</f>
        <v>High</v>
      </c>
      <c r="K914" s="14" t="s">
        <v>2039</v>
      </c>
      <c r="L914" s="2">
        <f>DATEDIF(messy_clinic_appointments[[#This Row],[booking_date]],messy_clinic_appointments[[#This Row],[appointment_date]],"d")</f>
        <v>491</v>
      </c>
      <c r="M914" s="14" t="str">
        <f>IF(messy_clinic_appointments[[#This Row],[days_to_appointment]]&gt;365, "Review", "OK")</f>
        <v>Review</v>
      </c>
    </row>
    <row r="915" spans="1:13" x14ac:dyDescent="0.25">
      <c r="A915">
        <v>1088</v>
      </c>
      <c r="B915" s="14" t="s">
        <v>1802</v>
      </c>
      <c r="C915">
        <v>65</v>
      </c>
      <c r="D915" s="14" t="s">
        <v>2014</v>
      </c>
      <c r="E915" s="1">
        <v>45861</v>
      </c>
      <c r="F915" s="1">
        <v>45692</v>
      </c>
      <c r="G915" s="14" t="s">
        <v>1803</v>
      </c>
      <c r="H915" s="14" t="s">
        <v>18</v>
      </c>
      <c r="I915" s="14" t="s">
        <v>2883</v>
      </c>
      <c r="J915" s="14" t="str">
        <f>IF(messy_clinic_appointments[[#This Row],[billing_amount]] &lt; 200, "Low", IF(messy_clinic_appointments[[#This Row],[billing_amount]]&lt;= 400, "Medium", "High"))</f>
        <v>High</v>
      </c>
      <c r="K915" s="14" t="s">
        <v>2013</v>
      </c>
      <c r="L915" s="2">
        <f>DATEDIF(messy_clinic_appointments[[#This Row],[booking_date]],messy_clinic_appointments[[#This Row],[appointment_date]],"d")</f>
        <v>169</v>
      </c>
      <c r="M915" s="14" t="str">
        <f>IF(messy_clinic_appointments[[#This Row],[days_to_appointment]]&gt;365, "Review", "OK")</f>
        <v>OK</v>
      </c>
    </row>
    <row r="916" spans="1:13" x14ac:dyDescent="0.25">
      <c r="A916">
        <v>1012</v>
      </c>
      <c r="B916" s="14" t="s">
        <v>1804</v>
      </c>
      <c r="C916">
        <v>18</v>
      </c>
      <c r="D916" s="14" t="s">
        <v>2011</v>
      </c>
      <c r="E916" s="1">
        <v>46041</v>
      </c>
      <c r="F916" s="1">
        <v>45809</v>
      </c>
      <c r="G916" s="14" t="s">
        <v>1805</v>
      </c>
      <c r="H916" s="14" t="s">
        <v>18</v>
      </c>
      <c r="I916" s="14" t="s">
        <v>2884</v>
      </c>
      <c r="J916" s="14" t="str">
        <f>IF(messy_clinic_appointments[[#This Row],[billing_amount]] &lt; 200, "Low", IF(messy_clinic_appointments[[#This Row],[billing_amount]]&lt;= 400, "Medium", "High"))</f>
        <v>High</v>
      </c>
      <c r="K916" s="14" t="s">
        <v>28</v>
      </c>
      <c r="L916" s="2">
        <f>DATEDIF(messy_clinic_appointments[[#This Row],[booking_date]],messy_clinic_appointments[[#This Row],[appointment_date]],"d")</f>
        <v>232</v>
      </c>
      <c r="M916" s="14" t="str">
        <f>IF(messy_clinic_appointments[[#This Row],[days_to_appointment]]&gt;365, "Review", "OK")</f>
        <v>OK</v>
      </c>
    </row>
    <row r="917" spans="1:13" x14ac:dyDescent="0.25">
      <c r="A917">
        <v>1066</v>
      </c>
      <c r="B917" s="14" t="s">
        <v>1345</v>
      </c>
      <c r="C917">
        <v>37</v>
      </c>
      <c r="D917" s="14" t="s">
        <v>30</v>
      </c>
      <c r="E917" s="1">
        <v>45802</v>
      </c>
      <c r="F917" s="1">
        <v>45577</v>
      </c>
      <c r="G917" s="14" t="s">
        <v>1806</v>
      </c>
      <c r="H917" s="14" t="s">
        <v>21</v>
      </c>
      <c r="I917" s="14" t="s">
        <v>2885</v>
      </c>
      <c r="J917" s="14" t="str">
        <f>IF(messy_clinic_appointments[[#This Row],[billing_amount]] &lt; 200, "Low", IF(messy_clinic_appointments[[#This Row],[billing_amount]]&lt;= 400, "Medium", "High"))</f>
        <v>High</v>
      </c>
      <c r="K917" s="14" t="s">
        <v>2013</v>
      </c>
      <c r="L917" s="2">
        <f>DATEDIF(messy_clinic_appointments[[#This Row],[booking_date]],messy_clinic_appointments[[#This Row],[appointment_date]],"d")</f>
        <v>225</v>
      </c>
      <c r="M917" s="14" t="str">
        <f>IF(messy_clinic_appointments[[#This Row],[days_to_appointment]]&gt;365, "Review", "OK")</f>
        <v>OK</v>
      </c>
    </row>
    <row r="918" spans="1:13" x14ac:dyDescent="0.25">
      <c r="A918">
        <v>1071</v>
      </c>
      <c r="B918" s="14" t="s">
        <v>1807</v>
      </c>
      <c r="C918">
        <v>74</v>
      </c>
      <c r="D918" s="14" t="s">
        <v>2014</v>
      </c>
      <c r="E918" s="1">
        <v>45892</v>
      </c>
      <c r="F918" s="1">
        <v>45559</v>
      </c>
      <c r="G918" s="14" t="s">
        <v>1808</v>
      </c>
      <c r="H918" s="14" t="s">
        <v>12</v>
      </c>
      <c r="I918" s="14" t="s">
        <v>2886</v>
      </c>
      <c r="J918" s="14" t="str">
        <f>IF(messy_clinic_appointments[[#This Row],[billing_amount]] &lt; 200, "Low", IF(messy_clinic_appointments[[#This Row],[billing_amount]]&lt;= 400, "Medium", "High"))</f>
        <v>High</v>
      </c>
      <c r="K918" s="14" t="s">
        <v>2026</v>
      </c>
      <c r="L918" s="2">
        <f>DATEDIF(messy_clinic_appointments[[#This Row],[booking_date]],messy_clinic_appointments[[#This Row],[appointment_date]],"d")</f>
        <v>333</v>
      </c>
      <c r="M918" s="14" t="str">
        <f>IF(messy_clinic_appointments[[#This Row],[days_to_appointment]]&gt;365, "Review", "OK")</f>
        <v>OK</v>
      </c>
    </row>
    <row r="919" spans="1:13" x14ac:dyDescent="0.25">
      <c r="A919">
        <v>1094</v>
      </c>
      <c r="B919" s="14" t="s">
        <v>1809</v>
      </c>
      <c r="C919">
        <v>60</v>
      </c>
      <c r="D919" s="14" t="s">
        <v>24</v>
      </c>
      <c r="E919" s="1">
        <v>46017</v>
      </c>
      <c r="F919" s="1">
        <v>45434</v>
      </c>
      <c r="G919" s="14" t="s">
        <v>1810</v>
      </c>
      <c r="H919" s="14" t="s">
        <v>21</v>
      </c>
      <c r="I919" s="14" t="s">
        <v>2887</v>
      </c>
      <c r="J919" s="14" t="str">
        <f>IF(messy_clinic_appointments[[#This Row],[billing_amount]] &lt; 200, "Low", IF(messy_clinic_appointments[[#This Row],[billing_amount]]&lt;= 400, "Medium", "High"))</f>
        <v>High</v>
      </c>
      <c r="K919" s="14" t="s">
        <v>2039</v>
      </c>
      <c r="L919" s="2">
        <f>DATEDIF(messy_clinic_appointments[[#This Row],[booking_date]],messy_clinic_appointments[[#This Row],[appointment_date]],"d")</f>
        <v>583</v>
      </c>
      <c r="M919" s="14" t="str">
        <f>IF(messy_clinic_appointments[[#This Row],[days_to_appointment]]&gt;365, "Review", "OK")</f>
        <v>Review</v>
      </c>
    </row>
    <row r="920" spans="1:13" x14ac:dyDescent="0.25">
      <c r="A920">
        <v>1075</v>
      </c>
      <c r="B920" s="14" t="s">
        <v>1811</v>
      </c>
      <c r="C920">
        <v>43</v>
      </c>
      <c r="D920" s="14" t="s">
        <v>2010</v>
      </c>
      <c r="E920" s="1">
        <v>46005</v>
      </c>
      <c r="F920" s="1">
        <v>45716</v>
      </c>
      <c r="G920" s="14" t="s">
        <v>1812</v>
      </c>
      <c r="H920" s="14" t="s">
        <v>18</v>
      </c>
      <c r="I920" s="14" t="s">
        <v>2888</v>
      </c>
      <c r="J920" s="14" t="str">
        <f>IF(messy_clinic_appointments[[#This Row],[billing_amount]] &lt; 200, "Low", IF(messy_clinic_appointments[[#This Row],[billing_amount]]&lt;= 400, "Medium", "High"))</f>
        <v>High</v>
      </c>
      <c r="K920" s="14" t="s">
        <v>28</v>
      </c>
      <c r="L920" s="2">
        <f>DATEDIF(messy_clinic_appointments[[#This Row],[booking_date]],messy_clinic_appointments[[#This Row],[appointment_date]],"d")</f>
        <v>289</v>
      </c>
      <c r="M920" s="14" t="str">
        <f>IF(messy_clinic_appointments[[#This Row],[days_to_appointment]]&gt;365, "Review", "OK")</f>
        <v>OK</v>
      </c>
    </row>
    <row r="921" spans="1:13" x14ac:dyDescent="0.25">
      <c r="A921">
        <v>1077</v>
      </c>
      <c r="B921" s="14" t="s">
        <v>1813</v>
      </c>
      <c r="C921">
        <v>30</v>
      </c>
      <c r="D921" s="14" t="s">
        <v>2022</v>
      </c>
      <c r="E921" s="1">
        <v>45806</v>
      </c>
      <c r="F921" s="1">
        <v>45683</v>
      </c>
      <c r="G921" s="14" t="s">
        <v>1814</v>
      </c>
      <c r="H921" s="14" t="s">
        <v>15</v>
      </c>
      <c r="I921" s="14" t="s">
        <v>2889</v>
      </c>
      <c r="J921" s="14" t="str">
        <f>IF(messy_clinic_appointments[[#This Row],[billing_amount]] &lt; 200, "Low", IF(messy_clinic_appointments[[#This Row],[billing_amount]]&lt;= 400, "Medium", "High"))</f>
        <v>High</v>
      </c>
      <c r="K921" s="14" t="s">
        <v>2039</v>
      </c>
      <c r="L921" s="2">
        <f>DATEDIF(messy_clinic_appointments[[#This Row],[booking_date]],messy_clinic_appointments[[#This Row],[appointment_date]],"d")</f>
        <v>123</v>
      </c>
      <c r="M921" s="14" t="str">
        <f>IF(messy_clinic_appointments[[#This Row],[days_to_appointment]]&gt;365, "Review", "OK")</f>
        <v>OK</v>
      </c>
    </row>
    <row r="922" spans="1:13" x14ac:dyDescent="0.25">
      <c r="A922">
        <v>1044</v>
      </c>
      <c r="B922" s="14" t="s">
        <v>1815</v>
      </c>
      <c r="C922">
        <v>43</v>
      </c>
      <c r="D922" s="14" t="s">
        <v>2022</v>
      </c>
      <c r="E922" s="1">
        <v>45749</v>
      </c>
      <c r="F922" s="1">
        <v>45481</v>
      </c>
      <c r="G922" s="14" t="s">
        <v>1816</v>
      </c>
      <c r="H922" s="14" t="s">
        <v>21</v>
      </c>
      <c r="I922" s="14" t="s">
        <v>2890</v>
      </c>
      <c r="J922" s="14" t="str">
        <f>IF(messy_clinic_appointments[[#This Row],[billing_amount]] &lt; 200, "Low", IF(messy_clinic_appointments[[#This Row],[billing_amount]]&lt;= 400, "Medium", "High"))</f>
        <v>High</v>
      </c>
      <c r="K922" s="14" t="s">
        <v>2039</v>
      </c>
      <c r="L922" s="2">
        <f>DATEDIF(messy_clinic_appointments[[#This Row],[booking_date]],messy_clinic_appointments[[#This Row],[appointment_date]],"d")</f>
        <v>268</v>
      </c>
      <c r="M922" s="14" t="str">
        <f>IF(messy_clinic_appointments[[#This Row],[days_to_appointment]]&gt;365, "Review", "OK")</f>
        <v>OK</v>
      </c>
    </row>
    <row r="923" spans="1:13" x14ac:dyDescent="0.25">
      <c r="A923">
        <v>1084</v>
      </c>
      <c r="B923" s="14" t="s">
        <v>1817</v>
      </c>
      <c r="C923">
        <v>68</v>
      </c>
      <c r="D923" s="14" t="s">
        <v>50</v>
      </c>
      <c r="E923" s="1">
        <v>45860</v>
      </c>
      <c r="F923" s="1">
        <v>45836</v>
      </c>
      <c r="G923" s="14" t="s">
        <v>2005</v>
      </c>
      <c r="H923" s="14" t="s">
        <v>21</v>
      </c>
      <c r="I923" s="14" t="s">
        <v>2891</v>
      </c>
      <c r="J923" s="14" t="str">
        <f>IF(messy_clinic_appointments[[#This Row],[billing_amount]] &lt; 200, "Low", IF(messy_clinic_appointments[[#This Row],[billing_amount]]&lt;= 400, "Medium", "High"))</f>
        <v>High</v>
      </c>
      <c r="K923" s="14" t="s">
        <v>2039</v>
      </c>
      <c r="L923" s="2">
        <f>DATEDIF(messy_clinic_appointments[[#This Row],[booking_date]],messy_clinic_appointments[[#This Row],[appointment_date]],"d")</f>
        <v>24</v>
      </c>
      <c r="M923" s="14" t="str">
        <f>IF(messy_clinic_appointments[[#This Row],[days_to_appointment]]&gt;365, "Review", "OK")</f>
        <v>OK</v>
      </c>
    </row>
    <row r="924" spans="1:13" x14ac:dyDescent="0.25">
      <c r="A924">
        <v>1060</v>
      </c>
      <c r="B924" s="14" t="s">
        <v>1818</v>
      </c>
      <c r="C924">
        <v>85</v>
      </c>
      <c r="D924" s="14" t="s">
        <v>2008</v>
      </c>
      <c r="E924" s="1">
        <v>45919</v>
      </c>
      <c r="F924" s="1">
        <v>45916</v>
      </c>
      <c r="G924" s="14" t="s">
        <v>1819</v>
      </c>
      <c r="H924" s="14" t="s">
        <v>12</v>
      </c>
      <c r="I924" s="14" t="s">
        <v>2892</v>
      </c>
      <c r="J924" s="14" t="str">
        <f>IF(messy_clinic_appointments[[#This Row],[billing_amount]] &lt; 200, "Low", IF(messy_clinic_appointments[[#This Row],[billing_amount]]&lt;= 400, "Medium", "High"))</f>
        <v>High</v>
      </c>
      <c r="K924" s="14" t="s">
        <v>2013</v>
      </c>
      <c r="L924" s="2">
        <f>DATEDIF(messy_clinic_appointments[[#This Row],[booking_date]],messy_clinic_appointments[[#This Row],[appointment_date]],"d")</f>
        <v>3</v>
      </c>
      <c r="M924" s="14" t="str">
        <f>IF(messy_clinic_appointments[[#This Row],[days_to_appointment]]&gt;365, "Review", "OK")</f>
        <v>OK</v>
      </c>
    </row>
    <row r="925" spans="1:13" x14ac:dyDescent="0.25">
      <c r="A925">
        <v>1055</v>
      </c>
      <c r="B925" s="14" t="s">
        <v>1820</v>
      </c>
      <c r="C925">
        <v>69</v>
      </c>
      <c r="D925" s="14" t="s">
        <v>50</v>
      </c>
      <c r="E925" s="1">
        <v>45747</v>
      </c>
      <c r="F925" s="1">
        <v>45601</v>
      </c>
      <c r="G925" s="14" t="s">
        <v>1821</v>
      </c>
      <c r="H925" s="14" t="s">
        <v>15</v>
      </c>
      <c r="I925" s="14" t="s">
        <v>2893</v>
      </c>
      <c r="J925" s="14" t="str">
        <f>IF(messy_clinic_appointments[[#This Row],[billing_amount]] &lt; 200, "Low", IF(messy_clinic_appointments[[#This Row],[billing_amount]]&lt;= 400, "Medium", "High"))</f>
        <v>High</v>
      </c>
      <c r="K925" s="14" t="s">
        <v>28</v>
      </c>
      <c r="L925" s="2">
        <f>DATEDIF(messy_clinic_appointments[[#This Row],[booking_date]],messy_clinic_appointments[[#This Row],[appointment_date]],"d")</f>
        <v>146</v>
      </c>
      <c r="M925" s="14" t="str">
        <f>IF(messy_clinic_appointments[[#This Row],[days_to_appointment]]&gt;365, "Review", "OK")</f>
        <v>OK</v>
      </c>
    </row>
    <row r="926" spans="1:13" x14ac:dyDescent="0.25">
      <c r="A926">
        <v>1046</v>
      </c>
      <c r="B926" s="14" t="s">
        <v>1822</v>
      </c>
      <c r="C926">
        <v>29</v>
      </c>
      <c r="D926" s="14" t="s">
        <v>2010</v>
      </c>
      <c r="E926" s="1">
        <v>45754</v>
      </c>
      <c r="F926" s="1">
        <v>45445</v>
      </c>
      <c r="G926" s="14" t="s">
        <v>1823</v>
      </c>
      <c r="H926" s="14" t="s">
        <v>12</v>
      </c>
      <c r="I926" s="14" t="s">
        <v>2894</v>
      </c>
      <c r="J926" s="14" t="str">
        <f>IF(messy_clinic_appointments[[#This Row],[billing_amount]] &lt; 200, "Low", IF(messy_clinic_appointments[[#This Row],[billing_amount]]&lt;= 400, "Medium", "High"))</f>
        <v>High</v>
      </c>
      <c r="K926" s="14" t="s">
        <v>2010</v>
      </c>
      <c r="L926" s="2">
        <f>DATEDIF(messy_clinic_appointments[[#This Row],[booking_date]],messy_clinic_appointments[[#This Row],[appointment_date]],"d")</f>
        <v>309</v>
      </c>
      <c r="M926" s="14" t="str">
        <f>IF(messy_clinic_appointments[[#This Row],[days_to_appointment]]&gt;365, "Review", "OK")</f>
        <v>OK</v>
      </c>
    </row>
    <row r="927" spans="1:13" x14ac:dyDescent="0.25">
      <c r="A927">
        <v>1087</v>
      </c>
      <c r="B927" s="14" t="s">
        <v>1824</v>
      </c>
      <c r="C927">
        <v>31</v>
      </c>
      <c r="D927" s="14" t="s">
        <v>2039</v>
      </c>
      <c r="E927" s="1">
        <v>45808</v>
      </c>
      <c r="F927" s="1">
        <v>45801</v>
      </c>
      <c r="G927" s="14" t="s">
        <v>1359</v>
      </c>
      <c r="H927" s="14" t="s">
        <v>12</v>
      </c>
      <c r="I927" s="14" t="s">
        <v>2895</v>
      </c>
      <c r="J927" s="14" t="str">
        <f>IF(messy_clinic_appointments[[#This Row],[billing_amount]] &lt; 200, "Low", IF(messy_clinic_appointments[[#This Row],[billing_amount]]&lt;= 400, "Medium", "High"))</f>
        <v>High</v>
      </c>
      <c r="K927" s="14" t="s">
        <v>28</v>
      </c>
      <c r="L927" s="2">
        <f>DATEDIF(messy_clinic_appointments[[#This Row],[booking_date]],messy_clinic_appointments[[#This Row],[appointment_date]],"d")</f>
        <v>7</v>
      </c>
      <c r="M927" s="14" t="str">
        <f>IF(messy_clinic_appointments[[#This Row],[days_to_appointment]]&gt;365, "Review", "OK")</f>
        <v>OK</v>
      </c>
    </row>
    <row r="928" spans="1:13" x14ac:dyDescent="0.25">
      <c r="A928">
        <v>1020</v>
      </c>
      <c r="B928" s="14" t="s">
        <v>1825</v>
      </c>
      <c r="C928">
        <v>56</v>
      </c>
      <c r="D928" s="14" t="s">
        <v>2014</v>
      </c>
      <c r="E928" s="1">
        <v>45767</v>
      </c>
      <c r="F928" s="1">
        <v>45633</v>
      </c>
      <c r="G928" s="14" t="s">
        <v>1826</v>
      </c>
      <c r="H928" s="14" t="s">
        <v>18</v>
      </c>
      <c r="I928" s="14" t="s">
        <v>2896</v>
      </c>
      <c r="J928" s="14" t="str">
        <f>IF(messy_clinic_appointments[[#This Row],[billing_amount]] &lt; 200, "Low", IF(messy_clinic_appointments[[#This Row],[billing_amount]]&lt;= 400, "Medium", "High"))</f>
        <v>High</v>
      </c>
      <c r="K928" s="14" t="s">
        <v>2013</v>
      </c>
      <c r="L928" s="2">
        <f>DATEDIF(messy_clinic_appointments[[#This Row],[booking_date]],messy_clinic_appointments[[#This Row],[appointment_date]],"d")</f>
        <v>134</v>
      </c>
      <c r="M928" s="14" t="str">
        <f>IF(messy_clinic_appointments[[#This Row],[days_to_appointment]]&gt;365, "Review", "OK")</f>
        <v>OK</v>
      </c>
    </row>
    <row r="929" spans="1:13" x14ac:dyDescent="0.25">
      <c r="A929">
        <v>1047</v>
      </c>
      <c r="B929" s="14" t="s">
        <v>1827</v>
      </c>
      <c r="C929">
        <v>63</v>
      </c>
      <c r="D929" s="14" t="s">
        <v>2011</v>
      </c>
      <c r="E929" s="1">
        <v>45768</v>
      </c>
      <c r="F929" s="1">
        <v>45722</v>
      </c>
      <c r="G929" s="14" t="s">
        <v>1828</v>
      </c>
      <c r="H929" s="14" t="s">
        <v>18</v>
      </c>
      <c r="I929" s="14" t="s">
        <v>2897</v>
      </c>
      <c r="J929" s="14" t="str">
        <f>IF(messy_clinic_appointments[[#This Row],[billing_amount]] &lt; 200, "Low", IF(messy_clinic_appointments[[#This Row],[billing_amount]]&lt;= 400, "Medium", "High"))</f>
        <v>High</v>
      </c>
      <c r="K929" s="14" t="s">
        <v>22</v>
      </c>
      <c r="L929" s="2">
        <f>DATEDIF(messy_clinic_appointments[[#This Row],[booking_date]],messy_clinic_appointments[[#This Row],[appointment_date]],"d")</f>
        <v>46</v>
      </c>
      <c r="M929" s="14" t="str">
        <f>IF(messy_clinic_appointments[[#This Row],[days_to_appointment]]&gt;365, "Review", "OK")</f>
        <v>OK</v>
      </c>
    </row>
    <row r="930" spans="1:13" x14ac:dyDescent="0.25">
      <c r="A930">
        <v>1053</v>
      </c>
      <c r="B930" s="14" t="s">
        <v>1829</v>
      </c>
      <c r="C930">
        <v>86</v>
      </c>
      <c r="D930" s="14" t="s">
        <v>2039</v>
      </c>
      <c r="E930" s="1">
        <v>45943</v>
      </c>
      <c r="F930" s="1">
        <v>45516</v>
      </c>
      <c r="G930" s="14" t="s">
        <v>1830</v>
      </c>
      <c r="H930" s="14" t="s">
        <v>21</v>
      </c>
      <c r="I930" s="14" t="s">
        <v>2898</v>
      </c>
      <c r="J930" s="14" t="str">
        <f>IF(messy_clinic_appointments[[#This Row],[billing_amount]] &lt; 200, "Low", IF(messy_clinic_appointments[[#This Row],[billing_amount]]&lt;= 400, "Medium", "High"))</f>
        <v>High</v>
      </c>
      <c r="K930" s="14" t="s">
        <v>2010</v>
      </c>
      <c r="L930" s="2">
        <f>DATEDIF(messy_clinic_appointments[[#This Row],[booking_date]],messy_clinic_appointments[[#This Row],[appointment_date]],"d")</f>
        <v>427</v>
      </c>
      <c r="M930" s="14" t="str">
        <f>IF(messy_clinic_appointments[[#This Row],[days_to_appointment]]&gt;365, "Review", "OK")</f>
        <v>Review</v>
      </c>
    </row>
    <row r="931" spans="1:13" x14ac:dyDescent="0.25">
      <c r="A931">
        <v>1031</v>
      </c>
      <c r="B931" s="14" t="s">
        <v>1831</v>
      </c>
      <c r="C931">
        <v>31</v>
      </c>
      <c r="D931" s="14" t="s">
        <v>2039</v>
      </c>
      <c r="E931" s="1">
        <v>46098</v>
      </c>
      <c r="F931" s="1">
        <v>45871</v>
      </c>
      <c r="G931" s="14" t="s">
        <v>1202</v>
      </c>
      <c r="H931" s="14" t="s">
        <v>12</v>
      </c>
      <c r="I931" s="14" t="s">
        <v>2899</v>
      </c>
      <c r="J931" s="14" t="str">
        <f>IF(messy_clinic_appointments[[#This Row],[billing_amount]] &lt; 200, "Low", IF(messy_clinic_appointments[[#This Row],[billing_amount]]&lt;= 400, "Medium", "High"))</f>
        <v>High</v>
      </c>
      <c r="K931" s="14" t="s">
        <v>28</v>
      </c>
      <c r="L931" s="2">
        <f>DATEDIF(messy_clinic_appointments[[#This Row],[booking_date]],messy_clinic_appointments[[#This Row],[appointment_date]],"d")</f>
        <v>227</v>
      </c>
      <c r="M931" s="14" t="str">
        <f>IF(messy_clinic_appointments[[#This Row],[days_to_appointment]]&gt;365, "Review", "OK")</f>
        <v>OK</v>
      </c>
    </row>
    <row r="932" spans="1:13" x14ac:dyDescent="0.25">
      <c r="A932">
        <v>1041</v>
      </c>
      <c r="B932" s="14" t="s">
        <v>1832</v>
      </c>
      <c r="C932">
        <v>81</v>
      </c>
      <c r="D932" s="14" t="s">
        <v>50</v>
      </c>
      <c r="E932" s="1">
        <v>45926</v>
      </c>
      <c r="F932" s="1">
        <v>45689</v>
      </c>
      <c r="G932" s="14" t="s">
        <v>1833</v>
      </c>
      <c r="H932" s="14" t="s">
        <v>15</v>
      </c>
      <c r="I932" s="14" t="s">
        <v>24</v>
      </c>
      <c r="J932" s="14" t="str">
        <f>IF(messy_clinic_appointments[[#This Row],[billing_amount]] &lt; 200, "Low", IF(messy_clinic_appointments[[#This Row],[billing_amount]]&lt;= 400, "Medium", "High"))</f>
        <v>High</v>
      </c>
      <c r="K932" s="14" t="s">
        <v>2039</v>
      </c>
      <c r="L932" s="2">
        <f>DATEDIF(messy_clinic_appointments[[#This Row],[booking_date]],messy_clinic_appointments[[#This Row],[appointment_date]],"d")</f>
        <v>237</v>
      </c>
      <c r="M932" s="14" t="str">
        <f>IF(messy_clinic_appointments[[#This Row],[days_to_appointment]]&gt;365, "Review", "OK")</f>
        <v>OK</v>
      </c>
    </row>
    <row r="933" spans="1:13" x14ac:dyDescent="0.25">
      <c r="A933">
        <v>1047</v>
      </c>
      <c r="B933" s="14" t="s">
        <v>1834</v>
      </c>
      <c r="C933">
        <v>76</v>
      </c>
      <c r="D933" s="14" t="s">
        <v>50</v>
      </c>
      <c r="E933" s="1">
        <v>45887</v>
      </c>
      <c r="F933" s="1">
        <v>45822</v>
      </c>
      <c r="G933" s="14" t="s">
        <v>1835</v>
      </c>
      <c r="H933" s="14" t="s">
        <v>15</v>
      </c>
      <c r="I933" s="14" t="s">
        <v>2900</v>
      </c>
      <c r="J933" s="14" t="str">
        <f>IF(messy_clinic_appointments[[#This Row],[billing_amount]] &lt; 200, "Low", IF(messy_clinic_appointments[[#This Row],[billing_amount]]&lt;= 400, "Medium", "High"))</f>
        <v>High</v>
      </c>
      <c r="K933" s="14" t="s">
        <v>2026</v>
      </c>
      <c r="L933" s="2">
        <f>DATEDIF(messy_clinic_appointments[[#This Row],[booking_date]],messy_clinic_appointments[[#This Row],[appointment_date]],"d")</f>
        <v>65</v>
      </c>
      <c r="M933" s="14" t="str">
        <f>IF(messy_clinic_appointments[[#This Row],[days_to_appointment]]&gt;365, "Review", "OK")</f>
        <v>OK</v>
      </c>
    </row>
    <row r="934" spans="1:13" x14ac:dyDescent="0.25">
      <c r="A934">
        <v>1012</v>
      </c>
      <c r="B934" s="14" t="s">
        <v>1836</v>
      </c>
      <c r="C934">
        <v>76</v>
      </c>
      <c r="D934" s="14" t="s">
        <v>2014</v>
      </c>
      <c r="E934" s="1">
        <v>46060</v>
      </c>
      <c r="F934" s="1">
        <v>46037</v>
      </c>
      <c r="G934" s="14" t="s">
        <v>1837</v>
      </c>
      <c r="H934" s="14" t="s">
        <v>15</v>
      </c>
      <c r="I934" s="14" t="s">
        <v>2901</v>
      </c>
      <c r="J934" s="14" t="str">
        <f>IF(messy_clinic_appointments[[#This Row],[billing_amount]] &lt; 200, "Low", IF(messy_clinic_appointments[[#This Row],[billing_amount]]&lt;= 400, "Medium", "High"))</f>
        <v>High</v>
      </c>
      <c r="K934" s="14" t="s">
        <v>22</v>
      </c>
      <c r="L934" s="2">
        <f>DATEDIF(messy_clinic_appointments[[#This Row],[booking_date]],messy_clinic_appointments[[#This Row],[appointment_date]],"d")</f>
        <v>23</v>
      </c>
      <c r="M934" s="14" t="str">
        <f>IF(messy_clinic_appointments[[#This Row],[days_to_appointment]]&gt;365, "Review", "OK")</f>
        <v>OK</v>
      </c>
    </row>
    <row r="935" spans="1:13" x14ac:dyDescent="0.25">
      <c r="A935">
        <v>1034</v>
      </c>
      <c r="B935" s="14" t="s">
        <v>1838</v>
      </c>
      <c r="C935">
        <v>90</v>
      </c>
      <c r="D935" s="14" t="s">
        <v>2010</v>
      </c>
      <c r="E935" s="1">
        <v>46088</v>
      </c>
      <c r="F935" s="1">
        <v>45468</v>
      </c>
      <c r="G935" s="14" t="s">
        <v>1839</v>
      </c>
      <c r="H935" s="14" t="s">
        <v>21</v>
      </c>
      <c r="I935" s="14" t="s">
        <v>24</v>
      </c>
      <c r="J935" s="14" t="str">
        <f>IF(messy_clinic_appointments[[#This Row],[billing_amount]] &lt; 200, "Low", IF(messy_clinic_appointments[[#This Row],[billing_amount]]&lt;= 400, "Medium", "High"))</f>
        <v>High</v>
      </c>
      <c r="K935" s="14" t="s">
        <v>2039</v>
      </c>
      <c r="L935" s="2">
        <f>DATEDIF(messy_clinic_appointments[[#This Row],[booking_date]],messy_clinic_appointments[[#This Row],[appointment_date]],"d")</f>
        <v>620</v>
      </c>
      <c r="M935" s="14" t="str">
        <f>IF(messy_clinic_appointments[[#This Row],[days_to_appointment]]&gt;365, "Review", "OK")</f>
        <v>Review</v>
      </c>
    </row>
    <row r="936" spans="1:13" x14ac:dyDescent="0.25">
      <c r="A936">
        <v>1091</v>
      </c>
      <c r="B936" s="14" t="s">
        <v>1840</v>
      </c>
      <c r="C936">
        <v>62</v>
      </c>
      <c r="D936" s="14" t="s">
        <v>50</v>
      </c>
      <c r="E936" s="1">
        <v>46103</v>
      </c>
      <c r="F936" s="1">
        <v>45989</v>
      </c>
      <c r="G936" s="14" t="s">
        <v>1841</v>
      </c>
      <c r="H936" s="14" t="s">
        <v>18</v>
      </c>
      <c r="I936" s="14" t="s">
        <v>2902</v>
      </c>
      <c r="J936" s="14" t="str">
        <f>IF(messy_clinic_appointments[[#This Row],[billing_amount]] &lt; 200, "Low", IF(messy_clinic_appointments[[#This Row],[billing_amount]]&lt;= 400, "Medium", "High"))</f>
        <v>High</v>
      </c>
      <c r="K936" s="14" t="s">
        <v>2013</v>
      </c>
      <c r="L936" s="2">
        <f>DATEDIF(messy_clinic_appointments[[#This Row],[booking_date]],messy_clinic_appointments[[#This Row],[appointment_date]],"d")</f>
        <v>114</v>
      </c>
      <c r="M936" s="14" t="str">
        <f>IF(messy_clinic_appointments[[#This Row],[days_to_appointment]]&gt;365, "Review", "OK")</f>
        <v>OK</v>
      </c>
    </row>
    <row r="937" spans="1:13" x14ac:dyDescent="0.25">
      <c r="A937">
        <v>1034</v>
      </c>
      <c r="B937" s="14" t="s">
        <v>1842</v>
      </c>
      <c r="C937">
        <v>71</v>
      </c>
      <c r="D937" s="14" t="s">
        <v>50</v>
      </c>
      <c r="E937" s="1">
        <v>46017</v>
      </c>
      <c r="F937" s="1">
        <v>45409</v>
      </c>
      <c r="G937" s="14" t="s">
        <v>1843</v>
      </c>
      <c r="H937" s="14" t="s">
        <v>18</v>
      </c>
      <c r="I937" s="14" t="s">
        <v>2903</v>
      </c>
      <c r="J937" s="14" t="str">
        <f>IF(messy_clinic_appointments[[#This Row],[billing_amount]] &lt; 200, "Low", IF(messy_clinic_appointments[[#This Row],[billing_amount]]&lt;= 400, "Medium", "High"))</f>
        <v>High</v>
      </c>
      <c r="K937" s="14" t="s">
        <v>2039</v>
      </c>
      <c r="L937" s="2">
        <f>DATEDIF(messy_clinic_appointments[[#This Row],[booking_date]],messy_clinic_appointments[[#This Row],[appointment_date]],"d")</f>
        <v>608</v>
      </c>
      <c r="M937" s="14" t="str">
        <f>IF(messy_clinic_appointments[[#This Row],[days_to_appointment]]&gt;365, "Review", "OK")</f>
        <v>Review</v>
      </c>
    </row>
    <row r="938" spans="1:13" x14ac:dyDescent="0.25">
      <c r="A938">
        <v>1072</v>
      </c>
      <c r="B938" s="14" t="s">
        <v>1844</v>
      </c>
      <c r="C938">
        <v>59</v>
      </c>
      <c r="D938" s="14" t="s">
        <v>2008</v>
      </c>
      <c r="E938" s="1">
        <v>45772</v>
      </c>
      <c r="F938" s="1">
        <v>45412</v>
      </c>
      <c r="G938" s="14" t="s">
        <v>1845</v>
      </c>
      <c r="H938" s="14" t="s">
        <v>12</v>
      </c>
      <c r="I938" s="14" t="s">
        <v>2904</v>
      </c>
      <c r="J938" s="14" t="str">
        <f>IF(messy_clinic_appointments[[#This Row],[billing_amount]] &lt; 200, "Low", IF(messy_clinic_appointments[[#This Row],[billing_amount]]&lt;= 400, "Medium", "High"))</f>
        <v>High</v>
      </c>
      <c r="K938" s="14" t="s">
        <v>2013</v>
      </c>
      <c r="L938" s="2">
        <f>DATEDIF(messy_clinic_appointments[[#This Row],[booking_date]],messy_clinic_appointments[[#This Row],[appointment_date]],"d")</f>
        <v>360</v>
      </c>
      <c r="M938" s="14" t="str">
        <f>IF(messy_clinic_appointments[[#This Row],[days_to_appointment]]&gt;365, "Review", "OK")</f>
        <v>OK</v>
      </c>
    </row>
    <row r="939" spans="1:13" x14ac:dyDescent="0.25">
      <c r="A939">
        <v>1048</v>
      </c>
      <c r="B939" s="14" t="s">
        <v>1846</v>
      </c>
      <c r="C939">
        <v>84</v>
      </c>
      <c r="D939" s="14" t="s">
        <v>2011</v>
      </c>
      <c r="E939" s="1">
        <v>45806</v>
      </c>
      <c r="F939" s="1">
        <v>45686</v>
      </c>
      <c r="G939" s="14" t="s">
        <v>1847</v>
      </c>
      <c r="H939" s="14" t="s">
        <v>18</v>
      </c>
      <c r="I939" s="14" t="s">
        <v>24</v>
      </c>
      <c r="J939" s="14" t="str">
        <f>IF(messy_clinic_appointments[[#This Row],[billing_amount]] &lt; 200, "Low", IF(messy_clinic_appointments[[#This Row],[billing_amount]]&lt;= 400, "Medium", "High"))</f>
        <v>High</v>
      </c>
      <c r="K939" s="14" t="s">
        <v>2026</v>
      </c>
      <c r="L939" s="2">
        <f>DATEDIF(messy_clinic_appointments[[#This Row],[booking_date]],messy_clinic_appointments[[#This Row],[appointment_date]],"d")</f>
        <v>120</v>
      </c>
      <c r="M939" s="14" t="str">
        <f>IF(messy_clinic_appointments[[#This Row],[days_to_appointment]]&gt;365, "Review", "OK")</f>
        <v>OK</v>
      </c>
    </row>
    <row r="940" spans="1:13" x14ac:dyDescent="0.25">
      <c r="A940">
        <v>1068</v>
      </c>
      <c r="B940" s="14" t="s">
        <v>1848</v>
      </c>
      <c r="C940">
        <v>40</v>
      </c>
      <c r="D940" s="14" t="s">
        <v>2022</v>
      </c>
      <c r="E940" s="1">
        <v>46067</v>
      </c>
      <c r="F940" s="1">
        <v>45909</v>
      </c>
      <c r="G940" s="14" t="s">
        <v>1849</v>
      </c>
      <c r="H940" s="14" t="s">
        <v>18</v>
      </c>
      <c r="I940" s="14" t="s">
        <v>24</v>
      </c>
      <c r="J940" s="14" t="str">
        <f>IF(messy_clinic_appointments[[#This Row],[billing_amount]] &lt; 200, "Low", IF(messy_clinic_appointments[[#This Row],[billing_amount]]&lt;= 400, "Medium", "High"))</f>
        <v>High</v>
      </c>
      <c r="K940" s="14" t="s">
        <v>2010</v>
      </c>
      <c r="L940" s="2">
        <f>DATEDIF(messy_clinic_appointments[[#This Row],[booking_date]],messy_clinic_appointments[[#This Row],[appointment_date]],"d")</f>
        <v>158</v>
      </c>
      <c r="M940" s="14" t="str">
        <f>IF(messy_clinic_appointments[[#This Row],[days_to_appointment]]&gt;365, "Review", "OK")</f>
        <v>OK</v>
      </c>
    </row>
    <row r="941" spans="1:13" x14ac:dyDescent="0.25">
      <c r="A941">
        <v>1063</v>
      </c>
      <c r="B941" s="14" t="s">
        <v>1850</v>
      </c>
      <c r="C941">
        <v>75</v>
      </c>
      <c r="D941" s="14" t="s">
        <v>2008</v>
      </c>
      <c r="E941" s="1">
        <v>45811</v>
      </c>
      <c r="F941" s="1">
        <v>45605</v>
      </c>
      <c r="G941" s="14" t="s">
        <v>1851</v>
      </c>
      <c r="H941" s="14" t="s">
        <v>12</v>
      </c>
      <c r="I941" s="14" t="s">
        <v>2905</v>
      </c>
      <c r="J941" s="14" t="str">
        <f>IF(messy_clinic_appointments[[#This Row],[billing_amount]] &lt; 200, "Low", IF(messy_clinic_appointments[[#This Row],[billing_amount]]&lt;= 400, "Medium", "High"))</f>
        <v>High</v>
      </c>
      <c r="K941" s="14" t="s">
        <v>28</v>
      </c>
      <c r="L941" s="2">
        <f>DATEDIF(messy_clinic_appointments[[#This Row],[booking_date]],messy_clinic_appointments[[#This Row],[appointment_date]],"d")</f>
        <v>206</v>
      </c>
      <c r="M941" s="14" t="str">
        <f>IF(messy_clinic_appointments[[#This Row],[days_to_appointment]]&gt;365, "Review", "OK")</f>
        <v>OK</v>
      </c>
    </row>
    <row r="942" spans="1:13" x14ac:dyDescent="0.25">
      <c r="A942">
        <v>1063</v>
      </c>
      <c r="B942" s="14" t="s">
        <v>1852</v>
      </c>
      <c r="C942">
        <v>58</v>
      </c>
      <c r="D942" s="14" t="s">
        <v>30</v>
      </c>
      <c r="E942" s="1">
        <v>46078</v>
      </c>
      <c r="F942" s="1">
        <v>45594</v>
      </c>
      <c r="G942" s="14" t="s">
        <v>1853</v>
      </c>
      <c r="H942" s="14" t="s">
        <v>18</v>
      </c>
      <c r="I942" s="14" t="s">
        <v>2906</v>
      </c>
      <c r="J942" s="14" t="str">
        <f>IF(messy_clinic_appointments[[#This Row],[billing_amount]] &lt; 200, "Low", IF(messy_clinic_appointments[[#This Row],[billing_amount]]&lt;= 400, "Medium", "High"))</f>
        <v>High</v>
      </c>
      <c r="K942" s="14" t="s">
        <v>2039</v>
      </c>
      <c r="L942" s="2">
        <f>DATEDIF(messy_clinic_appointments[[#This Row],[booking_date]],messy_clinic_appointments[[#This Row],[appointment_date]],"d")</f>
        <v>484</v>
      </c>
      <c r="M942" s="14" t="str">
        <f>IF(messy_clinic_appointments[[#This Row],[days_to_appointment]]&gt;365, "Review", "OK")</f>
        <v>Review</v>
      </c>
    </row>
    <row r="943" spans="1:13" x14ac:dyDescent="0.25">
      <c r="A943">
        <v>1045</v>
      </c>
      <c r="B943" s="14" t="s">
        <v>1854</v>
      </c>
      <c r="C943">
        <v>24</v>
      </c>
      <c r="D943" s="14" t="s">
        <v>2008</v>
      </c>
      <c r="E943" s="1">
        <v>45993</v>
      </c>
      <c r="F943" s="1">
        <v>45760</v>
      </c>
      <c r="G943" s="14" t="s">
        <v>1855</v>
      </c>
      <c r="H943" s="14" t="s">
        <v>21</v>
      </c>
      <c r="I943" s="14" t="s">
        <v>2907</v>
      </c>
      <c r="J943" s="14" t="str">
        <f>IF(messy_clinic_appointments[[#This Row],[billing_amount]] &lt; 200, "Low", IF(messy_clinic_appointments[[#This Row],[billing_amount]]&lt;= 400, "Medium", "High"))</f>
        <v>High</v>
      </c>
      <c r="K943" s="14" t="s">
        <v>2039</v>
      </c>
      <c r="L943" s="2">
        <f>DATEDIF(messy_clinic_appointments[[#This Row],[booking_date]],messy_clinic_appointments[[#This Row],[appointment_date]],"d")</f>
        <v>233</v>
      </c>
      <c r="M943" s="14" t="str">
        <f>IF(messy_clinic_appointments[[#This Row],[days_to_appointment]]&gt;365, "Review", "OK")</f>
        <v>OK</v>
      </c>
    </row>
    <row r="944" spans="1:13" x14ac:dyDescent="0.25">
      <c r="A944">
        <v>1028</v>
      </c>
      <c r="B944" s="14" t="s">
        <v>1856</v>
      </c>
      <c r="C944">
        <v>88</v>
      </c>
      <c r="D944" s="14" t="s">
        <v>2010</v>
      </c>
      <c r="E944" s="1">
        <v>45959</v>
      </c>
      <c r="F944" s="1">
        <v>45738</v>
      </c>
      <c r="G944" s="14" t="s">
        <v>23</v>
      </c>
      <c r="H944" s="14" t="s">
        <v>12</v>
      </c>
      <c r="I944" s="14" t="s">
        <v>2908</v>
      </c>
      <c r="J944" s="14" t="str">
        <f>IF(messy_clinic_appointments[[#This Row],[billing_amount]] &lt; 200, "Low", IF(messy_clinic_appointments[[#This Row],[billing_amount]]&lt;= 400, "Medium", "High"))</f>
        <v>High</v>
      </c>
      <c r="K944" s="14" t="s">
        <v>28</v>
      </c>
      <c r="L944" s="2">
        <f>DATEDIF(messy_clinic_appointments[[#This Row],[booking_date]],messy_clinic_appointments[[#This Row],[appointment_date]],"d")</f>
        <v>221</v>
      </c>
      <c r="M944" s="14" t="str">
        <f>IF(messy_clinic_appointments[[#This Row],[days_to_appointment]]&gt;365, "Review", "OK")</f>
        <v>OK</v>
      </c>
    </row>
    <row r="945" spans="1:13" x14ac:dyDescent="0.25">
      <c r="A945">
        <v>1025</v>
      </c>
      <c r="B945" s="14" t="s">
        <v>1857</v>
      </c>
      <c r="C945">
        <v>84</v>
      </c>
      <c r="D945" s="14" t="s">
        <v>30</v>
      </c>
      <c r="E945" s="1">
        <v>45926</v>
      </c>
      <c r="F945" s="1">
        <v>45824</v>
      </c>
      <c r="G945" s="14" t="s">
        <v>1858</v>
      </c>
      <c r="H945" s="14" t="s">
        <v>18</v>
      </c>
      <c r="I945" s="14" t="s">
        <v>2909</v>
      </c>
      <c r="J945" s="14" t="str">
        <f>IF(messy_clinic_appointments[[#This Row],[billing_amount]] &lt; 200, "Low", IF(messy_clinic_appointments[[#This Row],[billing_amount]]&lt;= 400, "Medium", "High"))</f>
        <v>High</v>
      </c>
      <c r="K945" s="14" t="s">
        <v>2013</v>
      </c>
      <c r="L945" s="2">
        <f>DATEDIF(messy_clinic_appointments[[#This Row],[booking_date]],messy_clinic_appointments[[#This Row],[appointment_date]],"d")</f>
        <v>102</v>
      </c>
      <c r="M945" s="14" t="str">
        <f>IF(messy_clinic_appointments[[#This Row],[days_to_appointment]]&gt;365, "Review", "OK")</f>
        <v>OK</v>
      </c>
    </row>
    <row r="946" spans="1:13" x14ac:dyDescent="0.25">
      <c r="A946">
        <v>1046</v>
      </c>
      <c r="B946" s="14" t="s">
        <v>1859</v>
      </c>
      <c r="C946">
        <v>64</v>
      </c>
      <c r="D946" s="14" t="s">
        <v>2010</v>
      </c>
      <c r="E946" s="1">
        <v>45808</v>
      </c>
      <c r="F946" s="1">
        <v>45525</v>
      </c>
      <c r="G946" s="14" t="s">
        <v>1860</v>
      </c>
      <c r="H946" s="14" t="s">
        <v>15</v>
      </c>
      <c r="I946" s="14" t="s">
        <v>2910</v>
      </c>
      <c r="J946" s="14" t="str">
        <f>IF(messy_clinic_appointments[[#This Row],[billing_amount]] &lt; 200, "Low", IF(messy_clinic_appointments[[#This Row],[billing_amount]]&lt;= 400, "Medium", "High"))</f>
        <v>High</v>
      </c>
      <c r="K946" s="14" t="s">
        <v>2026</v>
      </c>
      <c r="L946" s="2">
        <f>DATEDIF(messy_clinic_appointments[[#This Row],[booking_date]],messy_clinic_appointments[[#This Row],[appointment_date]],"d")</f>
        <v>283</v>
      </c>
      <c r="M946" s="14" t="str">
        <f>IF(messy_clinic_appointments[[#This Row],[days_to_appointment]]&gt;365, "Review", "OK")</f>
        <v>OK</v>
      </c>
    </row>
    <row r="947" spans="1:13" x14ac:dyDescent="0.25">
      <c r="A947">
        <v>1036</v>
      </c>
      <c r="B947" s="14" t="s">
        <v>1861</v>
      </c>
      <c r="C947">
        <v>76</v>
      </c>
      <c r="D947" s="14" t="s">
        <v>2039</v>
      </c>
      <c r="E947" s="1">
        <v>46032</v>
      </c>
      <c r="F947" s="1">
        <v>45869</v>
      </c>
      <c r="G947" s="14" t="s">
        <v>1862</v>
      </c>
      <c r="H947" s="14" t="s">
        <v>21</v>
      </c>
      <c r="I947" s="14" t="s">
        <v>2911</v>
      </c>
      <c r="J947" s="14" t="str">
        <f>IF(messy_clinic_appointments[[#This Row],[billing_amount]] &lt; 200, "Low", IF(messy_clinic_appointments[[#This Row],[billing_amount]]&lt;= 400, "Medium", "High"))</f>
        <v>High</v>
      </c>
      <c r="K947" s="14" t="s">
        <v>2013</v>
      </c>
      <c r="L947" s="2">
        <f>DATEDIF(messy_clinic_appointments[[#This Row],[booking_date]],messy_clinic_appointments[[#This Row],[appointment_date]],"d")</f>
        <v>163</v>
      </c>
      <c r="M947" s="14" t="str">
        <f>IF(messy_clinic_appointments[[#This Row],[days_to_appointment]]&gt;365, "Review", "OK")</f>
        <v>OK</v>
      </c>
    </row>
    <row r="948" spans="1:13" x14ac:dyDescent="0.25">
      <c r="A948">
        <v>1026</v>
      </c>
      <c r="B948" s="14" t="s">
        <v>1863</v>
      </c>
      <c r="C948">
        <v>49</v>
      </c>
      <c r="D948" s="14" t="s">
        <v>50</v>
      </c>
      <c r="E948" s="1">
        <v>46067</v>
      </c>
      <c r="F948" s="1">
        <v>45727</v>
      </c>
      <c r="G948" s="14" t="s">
        <v>1864</v>
      </c>
      <c r="H948" s="14" t="s">
        <v>18</v>
      </c>
      <c r="I948" s="14" t="s">
        <v>2912</v>
      </c>
      <c r="J948" s="14" t="str">
        <f>IF(messy_clinic_appointments[[#This Row],[billing_amount]] &lt; 200, "Low", IF(messy_clinic_appointments[[#This Row],[billing_amount]]&lt;= 400, "Medium", "High"))</f>
        <v>High</v>
      </c>
      <c r="K948" s="14" t="s">
        <v>22</v>
      </c>
      <c r="L948" s="2">
        <f>DATEDIF(messy_clinic_appointments[[#This Row],[booking_date]],messy_clinic_appointments[[#This Row],[appointment_date]],"d")</f>
        <v>340</v>
      </c>
      <c r="M948" s="14" t="str">
        <f>IF(messy_clinic_appointments[[#This Row],[days_to_appointment]]&gt;365, "Review", "OK")</f>
        <v>OK</v>
      </c>
    </row>
    <row r="949" spans="1:13" x14ac:dyDescent="0.25">
      <c r="A949">
        <v>1097</v>
      </c>
      <c r="B949" s="14" t="s">
        <v>1865</v>
      </c>
      <c r="C949">
        <v>27</v>
      </c>
      <c r="D949" s="14" t="s">
        <v>2022</v>
      </c>
      <c r="E949" s="1">
        <v>45963</v>
      </c>
      <c r="F949" s="1">
        <v>45407</v>
      </c>
      <c r="G949" s="14" t="s">
        <v>1866</v>
      </c>
      <c r="H949" s="14" t="s">
        <v>21</v>
      </c>
      <c r="I949" s="14" t="s">
        <v>2913</v>
      </c>
      <c r="J949" s="14" t="str">
        <f>IF(messy_clinic_appointments[[#This Row],[billing_amount]] &lt; 200, "Low", IF(messy_clinic_appointments[[#This Row],[billing_amount]]&lt;= 400, "Medium", "High"))</f>
        <v>High</v>
      </c>
      <c r="K949" s="14" t="s">
        <v>28</v>
      </c>
      <c r="L949" s="2">
        <f>DATEDIF(messy_clinic_appointments[[#This Row],[booking_date]],messy_clinic_appointments[[#This Row],[appointment_date]],"d")</f>
        <v>556</v>
      </c>
      <c r="M949" s="14" t="str">
        <f>IF(messy_clinic_appointments[[#This Row],[days_to_appointment]]&gt;365, "Review", "OK")</f>
        <v>Review</v>
      </c>
    </row>
    <row r="950" spans="1:13" x14ac:dyDescent="0.25">
      <c r="A950">
        <v>1014</v>
      </c>
      <c r="B950" s="14" t="s">
        <v>1867</v>
      </c>
      <c r="C950">
        <v>29</v>
      </c>
      <c r="D950" s="14" t="s">
        <v>2010</v>
      </c>
      <c r="E950" s="1">
        <v>46021</v>
      </c>
      <c r="F950" s="1">
        <v>45877</v>
      </c>
      <c r="G950" s="14" t="s">
        <v>1868</v>
      </c>
      <c r="H950" s="14" t="s">
        <v>18</v>
      </c>
      <c r="I950" s="14" t="s">
        <v>2914</v>
      </c>
      <c r="J950" s="14" t="str">
        <f>IF(messy_clinic_appointments[[#This Row],[billing_amount]] &lt; 200, "Low", IF(messy_clinic_appointments[[#This Row],[billing_amount]]&lt;= 400, "Medium", "High"))</f>
        <v>High</v>
      </c>
      <c r="K950" s="14" t="s">
        <v>2026</v>
      </c>
      <c r="L950" s="2">
        <f>DATEDIF(messy_clinic_appointments[[#This Row],[booking_date]],messy_clinic_appointments[[#This Row],[appointment_date]],"d")</f>
        <v>144</v>
      </c>
      <c r="M950" s="14" t="str">
        <f>IF(messy_clinic_appointments[[#This Row],[days_to_appointment]]&gt;365, "Review", "OK")</f>
        <v>OK</v>
      </c>
    </row>
    <row r="951" spans="1:13" x14ac:dyDescent="0.25">
      <c r="A951">
        <v>1085</v>
      </c>
      <c r="B951" s="14" t="s">
        <v>1869</v>
      </c>
      <c r="C951">
        <v>63</v>
      </c>
      <c r="D951" s="14" t="s">
        <v>50</v>
      </c>
      <c r="E951" s="1">
        <v>45881</v>
      </c>
      <c r="F951" s="1">
        <v>45599</v>
      </c>
      <c r="G951" s="14" t="s">
        <v>1870</v>
      </c>
      <c r="H951" s="14" t="s">
        <v>15</v>
      </c>
      <c r="I951" s="14" t="s">
        <v>2915</v>
      </c>
      <c r="J951" s="14" t="str">
        <f>IF(messy_clinic_appointments[[#This Row],[billing_amount]] &lt; 200, "Low", IF(messy_clinic_appointments[[#This Row],[billing_amount]]&lt;= 400, "Medium", "High"))</f>
        <v>High</v>
      </c>
      <c r="K951" s="14" t="s">
        <v>2013</v>
      </c>
      <c r="L951" s="2">
        <f>DATEDIF(messy_clinic_appointments[[#This Row],[booking_date]],messy_clinic_appointments[[#This Row],[appointment_date]],"d")</f>
        <v>282</v>
      </c>
      <c r="M951" s="14" t="str">
        <f>IF(messy_clinic_appointments[[#This Row],[days_to_appointment]]&gt;365, "Review", "OK")</f>
        <v>OK</v>
      </c>
    </row>
    <row r="952" spans="1:13" x14ac:dyDescent="0.25">
      <c r="A952">
        <v>1005</v>
      </c>
      <c r="B952" s="14" t="s">
        <v>1871</v>
      </c>
      <c r="C952">
        <v>54</v>
      </c>
      <c r="D952" s="14" t="s">
        <v>50</v>
      </c>
      <c r="E952" s="1">
        <v>45784</v>
      </c>
      <c r="F952" s="1">
        <v>45465</v>
      </c>
      <c r="G952" s="14" t="s">
        <v>1872</v>
      </c>
      <c r="H952" s="14" t="s">
        <v>21</v>
      </c>
      <c r="I952" s="14" t="s">
        <v>2916</v>
      </c>
      <c r="J952" s="14" t="str">
        <f>IF(messy_clinic_appointments[[#This Row],[billing_amount]] &lt; 200, "Low", IF(messy_clinic_appointments[[#This Row],[billing_amount]]&lt;= 400, "Medium", "High"))</f>
        <v>High</v>
      </c>
      <c r="K952" s="14" t="s">
        <v>22</v>
      </c>
      <c r="L952" s="2">
        <f>DATEDIF(messy_clinic_appointments[[#This Row],[booking_date]],messy_clinic_appointments[[#This Row],[appointment_date]],"d")</f>
        <v>319</v>
      </c>
      <c r="M952" s="14" t="str">
        <f>IF(messy_clinic_appointments[[#This Row],[days_to_appointment]]&gt;365, "Review", "OK")</f>
        <v>OK</v>
      </c>
    </row>
    <row r="953" spans="1:13" x14ac:dyDescent="0.25">
      <c r="A953">
        <v>1075</v>
      </c>
      <c r="B953" s="14" t="s">
        <v>1873</v>
      </c>
      <c r="C953">
        <v>59</v>
      </c>
      <c r="D953" s="14" t="s">
        <v>2014</v>
      </c>
      <c r="E953" s="1">
        <v>46101</v>
      </c>
      <c r="F953" s="1">
        <v>46015</v>
      </c>
      <c r="G953" s="14" t="s">
        <v>2006</v>
      </c>
      <c r="H953" s="14" t="s">
        <v>12</v>
      </c>
      <c r="I953" s="14" t="s">
        <v>2917</v>
      </c>
      <c r="J953" s="14" t="str">
        <f>IF(messy_clinic_appointments[[#This Row],[billing_amount]] &lt; 200, "Low", IF(messy_clinic_appointments[[#This Row],[billing_amount]]&lt;= 400, "Medium", "High"))</f>
        <v>High</v>
      </c>
      <c r="K953" s="14" t="s">
        <v>2010</v>
      </c>
      <c r="L953" s="2">
        <f>DATEDIF(messy_clinic_appointments[[#This Row],[booking_date]],messy_clinic_appointments[[#This Row],[appointment_date]],"d")</f>
        <v>86</v>
      </c>
      <c r="M953" s="14" t="str">
        <f>IF(messy_clinic_appointments[[#This Row],[days_to_appointment]]&gt;365, "Review", "OK")</f>
        <v>OK</v>
      </c>
    </row>
    <row r="954" spans="1:13" x14ac:dyDescent="0.25">
      <c r="A954">
        <v>1082</v>
      </c>
      <c r="B954" s="14" t="s">
        <v>1874</v>
      </c>
      <c r="C954">
        <v>37</v>
      </c>
      <c r="D954" s="14" t="s">
        <v>50</v>
      </c>
      <c r="E954" s="1">
        <v>45766</v>
      </c>
      <c r="F954" s="1">
        <v>45411</v>
      </c>
      <c r="G954" s="14" t="s">
        <v>1875</v>
      </c>
      <c r="H954" s="14" t="s">
        <v>15</v>
      </c>
      <c r="I954" s="14" t="s">
        <v>2918</v>
      </c>
      <c r="J954" s="14" t="str">
        <f>IF(messy_clinic_appointments[[#This Row],[billing_amount]] &lt; 200, "Low", IF(messy_clinic_appointments[[#This Row],[billing_amount]]&lt;= 400, "Medium", "High"))</f>
        <v>High</v>
      </c>
      <c r="K954" s="14" t="s">
        <v>2039</v>
      </c>
      <c r="L954" s="2">
        <f>DATEDIF(messy_clinic_appointments[[#This Row],[booking_date]],messy_clinic_appointments[[#This Row],[appointment_date]],"d")</f>
        <v>355</v>
      </c>
      <c r="M954" s="14" t="str">
        <f>IF(messy_clinic_appointments[[#This Row],[days_to_appointment]]&gt;365, "Review", "OK")</f>
        <v>OK</v>
      </c>
    </row>
    <row r="955" spans="1:13" x14ac:dyDescent="0.25">
      <c r="A955">
        <v>1089</v>
      </c>
      <c r="B955" s="14" t="s">
        <v>1876</v>
      </c>
      <c r="C955">
        <v>69</v>
      </c>
      <c r="D955" s="14" t="s">
        <v>2022</v>
      </c>
      <c r="E955" s="1">
        <v>45934</v>
      </c>
      <c r="F955" s="1">
        <v>45869</v>
      </c>
      <c r="G955" s="14" t="s">
        <v>1877</v>
      </c>
      <c r="H955" s="14" t="s">
        <v>21</v>
      </c>
      <c r="I955" s="14" t="s">
        <v>2919</v>
      </c>
      <c r="J955" s="14" t="str">
        <f>IF(messy_clinic_appointments[[#This Row],[billing_amount]] &lt; 200, "Low", IF(messy_clinic_appointments[[#This Row],[billing_amount]]&lt;= 400, "Medium", "High"))</f>
        <v>High</v>
      </c>
      <c r="K955" s="14" t="s">
        <v>2013</v>
      </c>
      <c r="L955" s="2">
        <f>DATEDIF(messy_clinic_appointments[[#This Row],[booking_date]],messy_clinic_appointments[[#This Row],[appointment_date]],"d")</f>
        <v>65</v>
      </c>
      <c r="M955" s="14" t="str">
        <f>IF(messy_clinic_appointments[[#This Row],[days_to_appointment]]&gt;365, "Review", "OK")</f>
        <v>OK</v>
      </c>
    </row>
    <row r="956" spans="1:13" x14ac:dyDescent="0.25">
      <c r="A956">
        <v>1092</v>
      </c>
      <c r="B956" s="14" t="s">
        <v>1878</v>
      </c>
      <c r="C956">
        <v>53</v>
      </c>
      <c r="D956" s="14" t="s">
        <v>30</v>
      </c>
      <c r="E956" s="1">
        <v>45955</v>
      </c>
      <c r="F956" s="1">
        <v>45435</v>
      </c>
      <c r="G956" s="14" t="s">
        <v>1879</v>
      </c>
      <c r="H956" s="14" t="s">
        <v>15</v>
      </c>
      <c r="I956" s="14" t="s">
        <v>2920</v>
      </c>
      <c r="J956" s="14" t="str">
        <f>IF(messy_clinic_appointments[[#This Row],[billing_amount]] &lt; 200, "Low", IF(messy_clinic_appointments[[#This Row],[billing_amount]]&lt;= 400, "Medium", "High"))</f>
        <v>High</v>
      </c>
      <c r="K956" s="14" t="s">
        <v>2013</v>
      </c>
      <c r="L956" s="2">
        <f>DATEDIF(messy_clinic_appointments[[#This Row],[booking_date]],messy_clinic_appointments[[#This Row],[appointment_date]],"d")</f>
        <v>520</v>
      </c>
      <c r="M956" s="14" t="str">
        <f>IF(messy_clinic_appointments[[#This Row],[days_to_appointment]]&gt;365, "Review", "OK")</f>
        <v>Review</v>
      </c>
    </row>
    <row r="957" spans="1:13" x14ac:dyDescent="0.25">
      <c r="A957">
        <v>1066</v>
      </c>
      <c r="B957" s="14" t="s">
        <v>1880</v>
      </c>
      <c r="C957">
        <v>46</v>
      </c>
      <c r="D957" s="14" t="s">
        <v>2010</v>
      </c>
      <c r="E957" s="1">
        <v>46107</v>
      </c>
      <c r="F957" s="1">
        <v>45829</v>
      </c>
      <c r="G957" s="14" t="s">
        <v>1881</v>
      </c>
      <c r="H957" s="14" t="s">
        <v>12</v>
      </c>
      <c r="I957" s="14" t="s">
        <v>2921</v>
      </c>
      <c r="J957" s="14" t="str">
        <f>IF(messy_clinic_appointments[[#This Row],[billing_amount]] &lt; 200, "Low", IF(messy_clinic_appointments[[#This Row],[billing_amount]]&lt;= 400, "Medium", "High"))</f>
        <v>High</v>
      </c>
      <c r="K957" s="14" t="s">
        <v>2039</v>
      </c>
      <c r="L957" s="2">
        <f>DATEDIF(messy_clinic_appointments[[#This Row],[booking_date]],messy_clinic_appointments[[#This Row],[appointment_date]],"d")</f>
        <v>278</v>
      </c>
      <c r="M957" s="14" t="str">
        <f>IF(messy_clinic_appointments[[#This Row],[days_to_appointment]]&gt;365, "Review", "OK")</f>
        <v>OK</v>
      </c>
    </row>
    <row r="958" spans="1:13" x14ac:dyDescent="0.25">
      <c r="A958">
        <v>1016</v>
      </c>
      <c r="B958" s="14" t="s">
        <v>1882</v>
      </c>
      <c r="C958">
        <v>22</v>
      </c>
      <c r="D958" s="14" t="s">
        <v>2014</v>
      </c>
      <c r="E958" s="1">
        <v>45777</v>
      </c>
      <c r="F958" s="1">
        <v>45483</v>
      </c>
      <c r="G958" s="14" t="s">
        <v>1883</v>
      </c>
      <c r="H958" s="14" t="s">
        <v>12</v>
      </c>
      <c r="I958" s="14" t="s">
        <v>24</v>
      </c>
      <c r="J958" s="14" t="str">
        <f>IF(messy_clinic_appointments[[#This Row],[billing_amount]] &lt; 200, "Low", IF(messy_clinic_appointments[[#This Row],[billing_amount]]&lt;= 400, "Medium", "High"))</f>
        <v>High</v>
      </c>
      <c r="K958" s="14" t="s">
        <v>2026</v>
      </c>
      <c r="L958" s="2">
        <f>DATEDIF(messy_clinic_appointments[[#This Row],[booking_date]],messy_clinic_appointments[[#This Row],[appointment_date]],"d")</f>
        <v>294</v>
      </c>
      <c r="M958" s="14" t="str">
        <f>IF(messy_clinic_appointments[[#This Row],[days_to_appointment]]&gt;365, "Review", "OK")</f>
        <v>OK</v>
      </c>
    </row>
    <row r="959" spans="1:13" x14ac:dyDescent="0.25">
      <c r="A959">
        <v>1041</v>
      </c>
      <c r="B959" s="14" t="s">
        <v>1884</v>
      </c>
      <c r="C959">
        <v>43</v>
      </c>
      <c r="D959" s="14" t="s">
        <v>2039</v>
      </c>
      <c r="E959" s="1">
        <v>45917</v>
      </c>
      <c r="F959" s="1">
        <v>45421</v>
      </c>
      <c r="G959" s="14" t="s">
        <v>1885</v>
      </c>
      <c r="H959" s="14" t="s">
        <v>15</v>
      </c>
      <c r="I959" s="14" t="s">
        <v>2922</v>
      </c>
      <c r="J959" s="14" t="str">
        <f>IF(messy_clinic_appointments[[#This Row],[billing_amount]] &lt; 200, "Low", IF(messy_clinic_appointments[[#This Row],[billing_amount]]&lt;= 400, "Medium", "High"))</f>
        <v>High</v>
      </c>
      <c r="K959" s="14" t="s">
        <v>2039</v>
      </c>
      <c r="L959" s="2">
        <f>DATEDIF(messy_clinic_appointments[[#This Row],[booking_date]],messy_clinic_appointments[[#This Row],[appointment_date]],"d")</f>
        <v>496</v>
      </c>
      <c r="M959" s="14" t="str">
        <f>IF(messy_clinic_appointments[[#This Row],[days_to_appointment]]&gt;365, "Review", "OK")</f>
        <v>Review</v>
      </c>
    </row>
    <row r="960" spans="1:13" x14ac:dyDescent="0.25">
      <c r="A960">
        <v>1052</v>
      </c>
      <c r="B960" s="14" t="s">
        <v>1886</v>
      </c>
      <c r="C960">
        <v>88</v>
      </c>
      <c r="D960" s="14" t="s">
        <v>2039</v>
      </c>
      <c r="E960" s="1">
        <v>46006</v>
      </c>
      <c r="F960" s="1">
        <v>45975</v>
      </c>
      <c r="G960" s="14" t="s">
        <v>1887</v>
      </c>
      <c r="H960" s="14" t="s">
        <v>15</v>
      </c>
      <c r="I960" s="14" t="s">
        <v>2923</v>
      </c>
      <c r="J960" s="14" t="str">
        <f>IF(messy_clinic_appointments[[#This Row],[billing_amount]] &lt; 200, "Low", IF(messy_clinic_appointments[[#This Row],[billing_amount]]&lt;= 400, "Medium", "High"))</f>
        <v>High</v>
      </c>
      <c r="K960" s="14" t="s">
        <v>2010</v>
      </c>
      <c r="L960" s="2">
        <f>DATEDIF(messy_clinic_appointments[[#This Row],[booking_date]],messy_clinic_appointments[[#This Row],[appointment_date]],"d")</f>
        <v>31</v>
      </c>
      <c r="M960" s="14" t="str">
        <f>IF(messy_clinic_appointments[[#This Row],[days_to_appointment]]&gt;365, "Review", "OK")</f>
        <v>OK</v>
      </c>
    </row>
    <row r="961" spans="1:13" x14ac:dyDescent="0.25">
      <c r="A961">
        <v>1051</v>
      </c>
      <c r="B961" s="14" t="s">
        <v>1888</v>
      </c>
      <c r="C961">
        <v>64</v>
      </c>
      <c r="D961" s="14" t="s">
        <v>2011</v>
      </c>
      <c r="E961" s="1">
        <v>45755</v>
      </c>
      <c r="F961" s="1">
        <v>45496</v>
      </c>
      <c r="G961" s="14" t="s">
        <v>1889</v>
      </c>
      <c r="H961" s="14" t="s">
        <v>12</v>
      </c>
      <c r="I961" s="14" t="s">
        <v>2924</v>
      </c>
      <c r="J961" s="14" t="str">
        <f>IF(messy_clinic_appointments[[#This Row],[billing_amount]] &lt; 200, "Low", IF(messy_clinic_appointments[[#This Row],[billing_amount]]&lt;= 400, "Medium", "High"))</f>
        <v>High</v>
      </c>
      <c r="K961" s="14" t="s">
        <v>22</v>
      </c>
      <c r="L961" s="2">
        <f>DATEDIF(messy_clinic_appointments[[#This Row],[booking_date]],messy_clinic_appointments[[#This Row],[appointment_date]],"d")</f>
        <v>259</v>
      </c>
      <c r="M961" s="14" t="str">
        <f>IF(messy_clinic_appointments[[#This Row],[days_to_appointment]]&gt;365, "Review", "OK")</f>
        <v>OK</v>
      </c>
    </row>
    <row r="962" spans="1:13" x14ac:dyDescent="0.25">
      <c r="A962">
        <v>1035</v>
      </c>
      <c r="B962" s="14" t="s">
        <v>1890</v>
      </c>
      <c r="C962">
        <v>33</v>
      </c>
      <c r="D962" s="14" t="s">
        <v>2022</v>
      </c>
      <c r="E962" s="1">
        <v>45781</v>
      </c>
      <c r="F962" s="1">
        <v>45447</v>
      </c>
      <c r="G962" s="14" t="s">
        <v>640</v>
      </c>
      <c r="H962" s="14" t="s">
        <v>21</v>
      </c>
      <c r="I962" s="14" t="s">
        <v>2925</v>
      </c>
      <c r="J962" s="14" t="str">
        <f>IF(messy_clinic_appointments[[#This Row],[billing_amount]] &lt; 200, "Low", IF(messy_clinic_appointments[[#This Row],[billing_amount]]&lt;= 400, "Medium", "High"))</f>
        <v>High</v>
      </c>
      <c r="K962" s="14" t="s">
        <v>2010</v>
      </c>
      <c r="L962" s="2">
        <f>DATEDIF(messy_clinic_appointments[[#This Row],[booking_date]],messy_clinic_appointments[[#This Row],[appointment_date]],"d")</f>
        <v>334</v>
      </c>
      <c r="M962" s="14" t="str">
        <f>IF(messy_clinic_appointments[[#This Row],[days_to_appointment]]&gt;365, "Review", "OK")</f>
        <v>OK</v>
      </c>
    </row>
    <row r="963" spans="1:13" x14ac:dyDescent="0.25">
      <c r="A963">
        <v>1074</v>
      </c>
      <c r="B963" s="14" t="s">
        <v>1891</v>
      </c>
      <c r="C963">
        <v>80</v>
      </c>
      <c r="D963" s="14" t="s">
        <v>2014</v>
      </c>
      <c r="E963" s="1">
        <v>45972</v>
      </c>
      <c r="F963" s="1">
        <v>45797</v>
      </c>
      <c r="G963" s="14" t="s">
        <v>1892</v>
      </c>
      <c r="H963" s="14" t="s">
        <v>18</v>
      </c>
      <c r="I963" s="14" t="s">
        <v>2926</v>
      </c>
      <c r="J963" s="14" t="str">
        <f>IF(messy_clinic_appointments[[#This Row],[billing_amount]] &lt; 200, "Low", IF(messy_clinic_appointments[[#This Row],[billing_amount]]&lt;= 400, "Medium", "High"))</f>
        <v>High</v>
      </c>
      <c r="K963" s="14" t="s">
        <v>22</v>
      </c>
      <c r="L963" s="2">
        <f>DATEDIF(messy_clinic_appointments[[#This Row],[booking_date]],messy_clinic_appointments[[#This Row],[appointment_date]],"d")</f>
        <v>175</v>
      </c>
      <c r="M963" s="14" t="str">
        <f>IF(messy_clinic_appointments[[#This Row],[days_to_appointment]]&gt;365, "Review", "OK")</f>
        <v>OK</v>
      </c>
    </row>
    <row r="964" spans="1:13" x14ac:dyDescent="0.25">
      <c r="A964">
        <v>1098</v>
      </c>
      <c r="B964" s="14" t="s">
        <v>1893</v>
      </c>
      <c r="C964">
        <v>87</v>
      </c>
      <c r="D964" s="14" t="s">
        <v>2014</v>
      </c>
      <c r="E964" s="1">
        <v>45840</v>
      </c>
      <c r="F964" s="1">
        <v>45621</v>
      </c>
      <c r="G964" s="14" t="s">
        <v>1894</v>
      </c>
      <c r="H964" s="14" t="s">
        <v>15</v>
      </c>
      <c r="I964" s="14" t="s">
        <v>2927</v>
      </c>
      <c r="J964" s="14" t="str">
        <f>IF(messy_clinic_appointments[[#This Row],[billing_amount]] &lt; 200, "Low", IF(messy_clinic_appointments[[#This Row],[billing_amount]]&lt;= 400, "Medium", "High"))</f>
        <v>High</v>
      </c>
      <c r="K964" s="14" t="s">
        <v>2039</v>
      </c>
      <c r="L964" s="2">
        <f>DATEDIF(messy_clinic_appointments[[#This Row],[booking_date]],messy_clinic_appointments[[#This Row],[appointment_date]],"d")</f>
        <v>219</v>
      </c>
      <c r="M964" s="14" t="str">
        <f>IF(messy_clinic_appointments[[#This Row],[days_to_appointment]]&gt;365, "Review", "OK")</f>
        <v>OK</v>
      </c>
    </row>
    <row r="965" spans="1:13" x14ac:dyDescent="0.25">
      <c r="A965">
        <v>1100</v>
      </c>
      <c r="B965" s="14" t="s">
        <v>1895</v>
      </c>
      <c r="C965">
        <v>31</v>
      </c>
      <c r="D965" s="14" t="s">
        <v>2014</v>
      </c>
      <c r="E965" s="1">
        <v>45931</v>
      </c>
      <c r="F965" s="1">
        <v>45590</v>
      </c>
      <c r="G965" s="14" t="s">
        <v>1896</v>
      </c>
      <c r="H965" s="14" t="s">
        <v>12</v>
      </c>
      <c r="I965" s="14" t="s">
        <v>2928</v>
      </c>
      <c r="J965" s="14" t="str">
        <f>IF(messy_clinic_appointments[[#This Row],[billing_amount]] &lt; 200, "Low", IF(messy_clinic_appointments[[#This Row],[billing_amount]]&lt;= 400, "Medium", "High"))</f>
        <v>High</v>
      </c>
      <c r="K965" s="14" t="s">
        <v>22</v>
      </c>
      <c r="L965" s="2">
        <f>DATEDIF(messy_clinic_appointments[[#This Row],[booking_date]],messy_clinic_appointments[[#This Row],[appointment_date]],"d")</f>
        <v>341</v>
      </c>
      <c r="M965" s="14" t="str">
        <f>IF(messy_clinic_appointments[[#This Row],[days_to_appointment]]&gt;365, "Review", "OK")</f>
        <v>OK</v>
      </c>
    </row>
    <row r="966" spans="1:13" x14ac:dyDescent="0.25">
      <c r="A966">
        <v>1049</v>
      </c>
      <c r="B966" s="14" t="s">
        <v>1897</v>
      </c>
      <c r="C966">
        <v>20</v>
      </c>
      <c r="D966" s="14" t="s">
        <v>2010</v>
      </c>
      <c r="E966" s="1">
        <v>46020</v>
      </c>
      <c r="F966" s="1">
        <v>45831</v>
      </c>
      <c r="G966" s="14" t="s">
        <v>1898</v>
      </c>
      <c r="H966" s="14" t="s">
        <v>21</v>
      </c>
      <c r="I966" s="14" t="s">
        <v>2929</v>
      </c>
      <c r="J966" s="14" t="str">
        <f>IF(messy_clinic_appointments[[#This Row],[billing_amount]] &lt; 200, "Low", IF(messy_clinic_appointments[[#This Row],[billing_amount]]&lt;= 400, "Medium", "High"))</f>
        <v>High</v>
      </c>
      <c r="K966" s="14" t="s">
        <v>2026</v>
      </c>
      <c r="L966" s="2">
        <f>DATEDIF(messy_clinic_appointments[[#This Row],[booking_date]],messy_clinic_appointments[[#This Row],[appointment_date]],"d")</f>
        <v>189</v>
      </c>
      <c r="M966" s="14" t="str">
        <f>IF(messy_clinic_appointments[[#This Row],[days_to_appointment]]&gt;365, "Review", "OK")</f>
        <v>OK</v>
      </c>
    </row>
    <row r="967" spans="1:13" x14ac:dyDescent="0.25">
      <c r="A967">
        <v>1021</v>
      </c>
      <c r="B967" s="14" t="s">
        <v>1899</v>
      </c>
      <c r="C967">
        <v>80</v>
      </c>
      <c r="D967" s="14" t="s">
        <v>2010</v>
      </c>
      <c r="E967" s="1">
        <v>45823</v>
      </c>
      <c r="F967" s="1">
        <v>45521</v>
      </c>
      <c r="G967" s="14" t="s">
        <v>1900</v>
      </c>
      <c r="H967" s="14" t="s">
        <v>15</v>
      </c>
      <c r="I967" s="14" t="s">
        <v>2930</v>
      </c>
      <c r="J967" s="14" t="str">
        <f>IF(messy_clinic_appointments[[#This Row],[billing_amount]] &lt; 200, "Low", IF(messy_clinic_appointments[[#This Row],[billing_amount]]&lt;= 400, "Medium", "High"))</f>
        <v>High</v>
      </c>
      <c r="K967" s="14" t="s">
        <v>2010</v>
      </c>
      <c r="L967" s="2">
        <f>DATEDIF(messy_clinic_appointments[[#This Row],[booking_date]],messy_clinic_appointments[[#This Row],[appointment_date]],"d")</f>
        <v>302</v>
      </c>
      <c r="M967" s="14" t="str">
        <f>IF(messy_clinic_appointments[[#This Row],[days_to_appointment]]&gt;365, "Review", "OK")</f>
        <v>OK</v>
      </c>
    </row>
    <row r="968" spans="1:13" x14ac:dyDescent="0.25">
      <c r="A968">
        <v>1069</v>
      </c>
      <c r="B968" s="14" t="s">
        <v>1901</v>
      </c>
      <c r="C968">
        <v>18</v>
      </c>
      <c r="D968" s="14" t="s">
        <v>2010</v>
      </c>
      <c r="E968" s="1">
        <v>45947</v>
      </c>
      <c r="F968" s="1">
        <v>45419</v>
      </c>
      <c r="G968" s="14" t="s">
        <v>1902</v>
      </c>
      <c r="H968" s="14" t="s">
        <v>12</v>
      </c>
      <c r="I968" s="14" t="s">
        <v>2931</v>
      </c>
      <c r="J968" s="14" t="str">
        <f>IF(messy_clinic_appointments[[#This Row],[billing_amount]] &lt; 200, "Low", IF(messy_clinic_appointments[[#This Row],[billing_amount]]&lt;= 400, "Medium", "High"))</f>
        <v>High</v>
      </c>
      <c r="K968" s="14" t="s">
        <v>22</v>
      </c>
      <c r="L968" s="2">
        <f>DATEDIF(messy_clinic_appointments[[#This Row],[booking_date]],messy_clinic_appointments[[#This Row],[appointment_date]],"d")</f>
        <v>528</v>
      </c>
      <c r="M968" s="14" t="str">
        <f>IF(messy_clinic_appointments[[#This Row],[days_to_appointment]]&gt;365, "Review", "OK")</f>
        <v>Review</v>
      </c>
    </row>
    <row r="969" spans="1:13" x14ac:dyDescent="0.25">
      <c r="A969">
        <v>1056</v>
      </c>
      <c r="B969" s="14" t="s">
        <v>1903</v>
      </c>
      <c r="C969">
        <v>71</v>
      </c>
      <c r="D969" s="14" t="s">
        <v>2039</v>
      </c>
      <c r="E969" s="1">
        <v>46031</v>
      </c>
      <c r="F969" s="1">
        <v>46006</v>
      </c>
      <c r="G969" s="14" t="s">
        <v>1904</v>
      </c>
      <c r="H969" s="14" t="s">
        <v>21</v>
      </c>
      <c r="I969" s="14" t="s">
        <v>2932</v>
      </c>
      <c r="J969" s="14" t="str">
        <f>IF(messy_clinic_appointments[[#This Row],[billing_amount]] &lt; 200, "Low", IF(messy_clinic_appointments[[#This Row],[billing_amount]]&lt;= 400, "Medium", "High"))</f>
        <v>High</v>
      </c>
      <c r="K969" s="14" t="s">
        <v>2039</v>
      </c>
      <c r="L969" s="2">
        <f>DATEDIF(messy_clinic_appointments[[#This Row],[booking_date]],messy_clinic_appointments[[#This Row],[appointment_date]],"d")</f>
        <v>25</v>
      </c>
      <c r="M969" s="14" t="str">
        <f>IF(messy_clinic_appointments[[#This Row],[days_to_appointment]]&gt;365, "Review", "OK")</f>
        <v>OK</v>
      </c>
    </row>
    <row r="970" spans="1:13" x14ac:dyDescent="0.25">
      <c r="A970">
        <v>1036</v>
      </c>
      <c r="B970" s="14" t="s">
        <v>1905</v>
      </c>
      <c r="C970">
        <v>44</v>
      </c>
      <c r="D970" s="14" t="s">
        <v>2008</v>
      </c>
      <c r="E970" s="1">
        <v>45774</v>
      </c>
      <c r="F970" s="1">
        <v>45639</v>
      </c>
      <c r="G970" s="14" t="s">
        <v>1906</v>
      </c>
      <c r="H970" s="14" t="s">
        <v>15</v>
      </c>
      <c r="I970" s="14" t="s">
        <v>2933</v>
      </c>
      <c r="J970" s="14" t="str">
        <f>IF(messy_clinic_appointments[[#This Row],[billing_amount]] &lt; 200, "Low", IF(messy_clinic_appointments[[#This Row],[billing_amount]]&lt;= 400, "Medium", "High"))</f>
        <v>High</v>
      </c>
      <c r="K970" s="14" t="s">
        <v>28</v>
      </c>
      <c r="L970" s="2">
        <f>DATEDIF(messy_clinic_appointments[[#This Row],[booking_date]],messy_clinic_appointments[[#This Row],[appointment_date]],"d")</f>
        <v>135</v>
      </c>
      <c r="M970" s="14" t="str">
        <f>IF(messy_clinic_appointments[[#This Row],[days_to_appointment]]&gt;365, "Review", "OK")</f>
        <v>OK</v>
      </c>
    </row>
    <row r="971" spans="1:13" x14ac:dyDescent="0.25">
      <c r="A971">
        <v>1063</v>
      </c>
      <c r="B971" s="14" t="s">
        <v>1907</v>
      </c>
      <c r="C971">
        <v>32</v>
      </c>
      <c r="D971" s="14" t="s">
        <v>50</v>
      </c>
      <c r="E971" s="1">
        <v>45843</v>
      </c>
      <c r="F971" s="1">
        <v>45661</v>
      </c>
      <c r="G971" s="14" t="s">
        <v>727</v>
      </c>
      <c r="H971" s="14" t="s">
        <v>15</v>
      </c>
      <c r="I971" s="14" t="s">
        <v>2934</v>
      </c>
      <c r="J971" s="14" t="str">
        <f>IF(messy_clinic_appointments[[#This Row],[billing_amount]] &lt; 200, "Low", IF(messy_clinic_appointments[[#This Row],[billing_amount]]&lt;= 400, "Medium", "High"))</f>
        <v>High</v>
      </c>
      <c r="K971" s="14" t="s">
        <v>2010</v>
      </c>
      <c r="L971" s="2">
        <f>DATEDIF(messy_clinic_appointments[[#This Row],[booking_date]],messy_clinic_appointments[[#This Row],[appointment_date]],"d")</f>
        <v>182</v>
      </c>
      <c r="M971" s="14" t="str">
        <f>IF(messy_clinic_appointments[[#This Row],[days_to_appointment]]&gt;365, "Review", "OK")</f>
        <v>OK</v>
      </c>
    </row>
    <row r="972" spans="1:13" x14ac:dyDescent="0.25">
      <c r="A972">
        <v>1081</v>
      </c>
      <c r="B972" s="14" t="s">
        <v>1908</v>
      </c>
      <c r="C972">
        <v>32</v>
      </c>
      <c r="D972" s="14" t="s">
        <v>2014</v>
      </c>
      <c r="E972" s="1">
        <v>46079</v>
      </c>
      <c r="F972" s="1">
        <v>45761</v>
      </c>
      <c r="G972" s="14" t="s">
        <v>1022</v>
      </c>
      <c r="H972" s="14" t="s">
        <v>18</v>
      </c>
      <c r="I972" s="14" t="s">
        <v>2935</v>
      </c>
      <c r="J972" s="14" t="str">
        <f>IF(messy_clinic_appointments[[#This Row],[billing_amount]] &lt; 200, "Low", IF(messy_clinic_appointments[[#This Row],[billing_amount]]&lt;= 400, "Medium", "High"))</f>
        <v>High</v>
      </c>
      <c r="K972" s="14" t="s">
        <v>2039</v>
      </c>
      <c r="L972" s="2">
        <f>DATEDIF(messy_clinic_appointments[[#This Row],[booking_date]],messy_clinic_appointments[[#This Row],[appointment_date]],"d")</f>
        <v>318</v>
      </c>
      <c r="M972" s="14" t="str">
        <f>IF(messy_clinic_appointments[[#This Row],[days_to_appointment]]&gt;365, "Review", "OK")</f>
        <v>OK</v>
      </c>
    </row>
    <row r="973" spans="1:13" x14ac:dyDescent="0.25">
      <c r="A973">
        <v>1042</v>
      </c>
      <c r="B973" s="14" t="s">
        <v>1909</v>
      </c>
      <c r="C973">
        <v>48</v>
      </c>
      <c r="D973" s="14" t="s">
        <v>2039</v>
      </c>
      <c r="E973" s="1">
        <v>45822</v>
      </c>
      <c r="F973" s="1">
        <v>45737</v>
      </c>
      <c r="G973" s="14" t="s">
        <v>1910</v>
      </c>
      <c r="H973" s="14" t="s">
        <v>12</v>
      </c>
      <c r="I973" s="14" t="s">
        <v>2936</v>
      </c>
      <c r="J973" s="14" t="str">
        <f>IF(messy_clinic_appointments[[#This Row],[billing_amount]] &lt; 200, "Low", IF(messy_clinic_appointments[[#This Row],[billing_amount]]&lt;= 400, "Medium", "High"))</f>
        <v>High</v>
      </c>
      <c r="K973" s="14" t="s">
        <v>2013</v>
      </c>
      <c r="L973" s="2">
        <f>DATEDIF(messy_clinic_appointments[[#This Row],[booking_date]],messy_clinic_appointments[[#This Row],[appointment_date]],"d")</f>
        <v>85</v>
      </c>
      <c r="M973" s="14" t="str">
        <f>IF(messy_clinic_appointments[[#This Row],[days_to_appointment]]&gt;365, "Review", "OK")</f>
        <v>OK</v>
      </c>
    </row>
    <row r="974" spans="1:13" x14ac:dyDescent="0.25">
      <c r="A974">
        <v>1082</v>
      </c>
      <c r="B974" s="14" t="s">
        <v>1911</v>
      </c>
      <c r="C974">
        <v>69</v>
      </c>
      <c r="D974" s="14" t="s">
        <v>2008</v>
      </c>
      <c r="E974" s="1">
        <v>45802</v>
      </c>
      <c r="F974" s="1">
        <v>45458</v>
      </c>
      <c r="G974" s="14" t="s">
        <v>1912</v>
      </c>
      <c r="H974" s="14" t="s">
        <v>12</v>
      </c>
      <c r="I974" s="14" t="s">
        <v>2937</v>
      </c>
      <c r="J974" s="14" t="str">
        <f>IF(messy_clinic_appointments[[#This Row],[billing_amount]] &lt; 200, "Low", IF(messy_clinic_appointments[[#This Row],[billing_amount]]&lt;= 400, "Medium", "High"))</f>
        <v>High</v>
      </c>
      <c r="K974" s="14" t="s">
        <v>2010</v>
      </c>
      <c r="L974" s="2">
        <f>DATEDIF(messy_clinic_appointments[[#This Row],[booking_date]],messy_clinic_appointments[[#This Row],[appointment_date]],"d")</f>
        <v>344</v>
      </c>
      <c r="M974" s="14" t="str">
        <f>IF(messy_clinic_appointments[[#This Row],[days_to_appointment]]&gt;365, "Review", "OK")</f>
        <v>OK</v>
      </c>
    </row>
    <row r="975" spans="1:13" x14ac:dyDescent="0.25">
      <c r="A975">
        <v>1002</v>
      </c>
      <c r="B975" s="14" t="s">
        <v>1913</v>
      </c>
      <c r="C975">
        <v>88</v>
      </c>
      <c r="D975" s="14" t="s">
        <v>2011</v>
      </c>
      <c r="E975" s="1">
        <v>45947</v>
      </c>
      <c r="F975" s="1">
        <v>45801</v>
      </c>
      <c r="G975" s="14" t="s">
        <v>1914</v>
      </c>
      <c r="H975" s="14" t="s">
        <v>12</v>
      </c>
      <c r="I975" s="14" t="s">
        <v>2938</v>
      </c>
      <c r="J975" s="14" t="str">
        <f>IF(messy_clinic_appointments[[#This Row],[billing_amount]] &lt; 200, "Low", IF(messy_clinic_appointments[[#This Row],[billing_amount]]&lt;= 400, "Medium", "High"))</f>
        <v>High</v>
      </c>
      <c r="K975" s="14" t="s">
        <v>22</v>
      </c>
      <c r="L975" s="2">
        <f>DATEDIF(messy_clinic_appointments[[#This Row],[booking_date]],messy_clinic_appointments[[#This Row],[appointment_date]],"d")</f>
        <v>146</v>
      </c>
      <c r="M975" s="14" t="str">
        <f>IF(messy_clinic_appointments[[#This Row],[days_to_appointment]]&gt;365, "Review", "OK")</f>
        <v>OK</v>
      </c>
    </row>
    <row r="976" spans="1:13" x14ac:dyDescent="0.25">
      <c r="A976">
        <v>1047</v>
      </c>
      <c r="B976" s="14" t="s">
        <v>1915</v>
      </c>
      <c r="C976">
        <v>36</v>
      </c>
      <c r="D976" s="14" t="s">
        <v>2010</v>
      </c>
      <c r="E976" s="1">
        <v>46043</v>
      </c>
      <c r="F976" s="1">
        <v>45663</v>
      </c>
      <c r="G976" s="14" t="s">
        <v>1916</v>
      </c>
      <c r="H976" s="14" t="s">
        <v>15</v>
      </c>
      <c r="I976" s="14" t="s">
        <v>2939</v>
      </c>
      <c r="J976" s="14" t="str">
        <f>IF(messy_clinic_appointments[[#This Row],[billing_amount]] &lt; 200, "Low", IF(messy_clinic_appointments[[#This Row],[billing_amount]]&lt;= 400, "Medium", "High"))</f>
        <v>High</v>
      </c>
      <c r="K976" s="14" t="s">
        <v>2039</v>
      </c>
      <c r="L976" s="2">
        <f>DATEDIF(messy_clinic_appointments[[#This Row],[booking_date]],messy_clinic_appointments[[#This Row],[appointment_date]],"d")</f>
        <v>380</v>
      </c>
      <c r="M976" s="14" t="str">
        <f>IF(messy_clinic_appointments[[#This Row],[days_to_appointment]]&gt;365, "Review", "OK")</f>
        <v>Review</v>
      </c>
    </row>
    <row r="977" spans="1:13" x14ac:dyDescent="0.25">
      <c r="A977">
        <v>1043</v>
      </c>
      <c r="B977" s="14" t="s">
        <v>2007</v>
      </c>
      <c r="C977">
        <v>64</v>
      </c>
      <c r="D977" s="14" t="s">
        <v>2022</v>
      </c>
      <c r="E977" s="1">
        <v>45956</v>
      </c>
      <c r="F977" s="1">
        <v>45427</v>
      </c>
      <c r="G977" s="14" t="s">
        <v>1917</v>
      </c>
      <c r="H977" s="14" t="s">
        <v>18</v>
      </c>
      <c r="I977" s="14" t="s">
        <v>2940</v>
      </c>
      <c r="J977" s="14" t="str">
        <f>IF(messy_clinic_appointments[[#This Row],[billing_amount]] &lt; 200, "Low", IF(messy_clinic_appointments[[#This Row],[billing_amount]]&lt;= 400, "Medium", "High"))</f>
        <v>High</v>
      </c>
      <c r="K977" s="14" t="s">
        <v>2013</v>
      </c>
      <c r="L977" s="2">
        <f>DATEDIF(messy_clinic_appointments[[#This Row],[booking_date]],messy_clinic_appointments[[#This Row],[appointment_date]],"d")</f>
        <v>529</v>
      </c>
      <c r="M977" s="14" t="str">
        <f>IF(messy_clinic_appointments[[#This Row],[days_to_appointment]]&gt;365, "Review", "OK")</f>
        <v>Review</v>
      </c>
    </row>
    <row r="978" spans="1:13" x14ac:dyDescent="0.25">
      <c r="A978">
        <v>1072</v>
      </c>
      <c r="B978" s="14" t="s">
        <v>1918</v>
      </c>
      <c r="C978">
        <v>38</v>
      </c>
      <c r="D978" s="14" t="s">
        <v>2011</v>
      </c>
      <c r="E978" s="1">
        <v>45958</v>
      </c>
      <c r="F978" s="1">
        <v>45638</v>
      </c>
      <c r="G978" s="14" t="s">
        <v>1919</v>
      </c>
      <c r="H978" s="14" t="s">
        <v>21</v>
      </c>
      <c r="I978" s="14" t="s">
        <v>2941</v>
      </c>
      <c r="J978" s="14" t="str">
        <f>IF(messy_clinic_appointments[[#This Row],[billing_amount]] &lt; 200, "Low", IF(messy_clinic_appointments[[#This Row],[billing_amount]]&lt;= 400, "Medium", "High"))</f>
        <v>High</v>
      </c>
      <c r="K978" s="14" t="s">
        <v>2039</v>
      </c>
      <c r="L978" s="2">
        <f>DATEDIF(messy_clinic_appointments[[#This Row],[booking_date]],messy_clinic_appointments[[#This Row],[appointment_date]],"d")</f>
        <v>320</v>
      </c>
      <c r="M978" s="14" t="str">
        <f>IF(messy_clinic_appointments[[#This Row],[days_to_appointment]]&gt;365, "Review", "OK")</f>
        <v>OK</v>
      </c>
    </row>
    <row r="979" spans="1:13" x14ac:dyDescent="0.25">
      <c r="A979">
        <v>1085</v>
      </c>
      <c r="B979" s="14" t="s">
        <v>1920</v>
      </c>
      <c r="C979">
        <v>34</v>
      </c>
      <c r="D979" s="14" t="s">
        <v>2022</v>
      </c>
      <c r="E979" s="1">
        <v>45989</v>
      </c>
      <c r="F979" s="1">
        <v>45823</v>
      </c>
      <c r="G979" s="14" t="s">
        <v>1921</v>
      </c>
      <c r="H979" s="14" t="s">
        <v>12</v>
      </c>
      <c r="I979" s="14" t="s">
        <v>2942</v>
      </c>
      <c r="J979" s="14" t="str">
        <f>IF(messy_clinic_appointments[[#This Row],[billing_amount]] &lt; 200, "Low", IF(messy_clinic_appointments[[#This Row],[billing_amount]]&lt;= 400, "Medium", "High"))</f>
        <v>High</v>
      </c>
      <c r="K979" s="14" t="s">
        <v>2039</v>
      </c>
      <c r="L979" s="2">
        <f>DATEDIF(messy_clinic_appointments[[#This Row],[booking_date]],messy_clinic_appointments[[#This Row],[appointment_date]],"d")</f>
        <v>166</v>
      </c>
      <c r="M979" s="14" t="str">
        <f>IF(messy_clinic_appointments[[#This Row],[days_to_appointment]]&gt;365, "Review", "OK")</f>
        <v>OK</v>
      </c>
    </row>
    <row r="980" spans="1:13" x14ac:dyDescent="0.25">
      <c r="A980">
        <v>1088</v>
      </c>
      <c r="B980" s="14" t="s">
        <v>1922</v>
      </c>
      <c r="C980">
        <v>19</v>
      </c>
      <c r="D980" s="14" t="s">
        <v>2008</v>
      </c>
      <c r="E980" s="1">
        <v>45861</v>
      </c>
      <c r="F980" s="1">
        <v>45775</v>
      </c>
      <c r="G980" s="14" t="s">
        <v>1155</v>
      </c>
      <c r="H980" s="14" t="s">
        <v>21</v>
      </c>
      <c r="I980" s="14" t="s">
        <v>2943</v>
      </c>
      <c r="J980" s="14" t="str">
        <f>IF(messy_clinic_appointments[[#This Row],[billing_amount]] &lt; 200, "Low", IF(messy_clinic_appointments[[#This Row],[billing_amount]]&lt;= 400, "Medium", "High"))</f>
        <v>High</v>
      </c>
      <c r="K980" s="14" t="s">
        <v>2026</v>
      </c>
      <c r="L980" s="2">
        <f>DATEDIF(messy_clinic_appointments[[#This Row],[booking_date]],messy_clinic_appointments[[#This Row],[appointment_date]],"d")</f>
        <v>86</v>
      </c>
      <c r="M980" s="14" t="str">
        <f>IF(messy_clinic_appointments[[#This Row],[days_to_appointment]]&gt;365, "Review", "OK")</f>
        <v>OK</v>
      </c>
    </row>
    <row r="981" spans="1:13" x14ac:dyDescent="0.25">
      <c r="A981">
        <v>1059</v>
      </c>
      <c r="B981" s="14" t="s">
        <v>1923</v>
      </c>
      <c r="C981">
        <v>65</v>
      </c>
      <c r="D981" s="14" t="s">
        <v>2011</v>
      </c>
      <c r="E981" s="1">
        <v>45862</v>
      </c>
      <c r="F981" s="1">
        <v>45808</v>
      </c>
      <c r="G981" s="14" t="s">
        <v>1924</v>
      </c>
      <c r="H981" s="14" t="s">
        <v>18</v>
      </c>
      <c r="I981" s="14" t="s">
        <v>2944</v>
      </c>
      <c r="J981" s="14" t="str">
        <f>IF(messy_clinic_appointments[[#This Row],[billing_amount]] &lt; 200, "Low", IF(messy_clinic_appointments[[#This Row],[billing_amount]]&lt;= 400, "Medium", "High"))</f>
        <v>High</v>
      </c>
      <c r="K981" s="14" t="s">
        <v>2039</v>
      </c>
      <c r="L981" s="2">
        <f>DATEDIF(messy_clinic_appointments[[#This Row],[booking_date]],messy_clinic_appointments[[#This Row],[appointment_date]],"d")</f>
        <v>54</v>
      </c>
      <c r="M981" s="14" t="str">
        <f>IF(messy_clinic_appointments[[#This Row],[days_to_appointment]]&gt;365, "Review", "OK")</f>
        <v>OK</v>
      </c>
    </row>
    <row r="982" spans="1:13" x14ac:dyDescent="0.25">
      <c r="A982">
        <v>1028</v>
      </c>
      <c r="B982" s="14" t="s">
        <v>1925</v>
      </c>
      <c r="C982">
        <v>43</v>
      </c>
      <c r="D982" s="14" t="s">
        <v>2039</v>
      </c>
      <c r="E982" s="1">
        <v>45841</v>
      </c>
      <c r="F982" s="1">
        <v>45428</v>
      </c>
      <c r="G982" s="14" t="s">
        <v>1926</v>
      </c>
      <c r="H982" s="14" t="s">
        <v>18</v>
      </c>
      <c r="I982" s="14" t="s">
        <v>2945</v>
      </c>
      <c r="J982" s="14" t="str">
        <f>IF(messy_clinic_appointments[[#This Row],[billing_amount]] &lt; 200, "Low", IF(messy_clinic_appointments[[#This Row],[billing_amount]]&lt;= 400, "Medium", "High"))</f>
        <v>High</v>
      </c>
      <c r="K982" s="14" t="s">
        <v>2010</v>
      </c>
      <c r="L982" s="2">
        <f>DATEDIF(messy_clinic_appointments[[#This Row],[booking_date]],messy_clinic_appointments[[#This Row],[appointment_date]],"d")</f>
        <v>413</v>
      </c>
      <c r="M982" s="14" t="str">
        <f>IF(messy_clinic_appointments[[#This Row],[days_to_appointment]]&gt;365, "Review", "OK")</f>
        <v>Review</v>
      </c>
    </row>
    <row r="983" spans="1:13" x14ac:dyDescent="0.25">
      <c r="A983">
        <v>1019</v>
      </c>
      <c r="B983" s="14" t="s">
        <v>1927</v>
      </c>
      <c r="C983">
        <v>66</v>
      </c>
      <c r="D983" s="14" t="s">
        <v>2011</v>
      </c>
      <c r="E983" s="1">
        <v>45865</v>
      </c>
      <c r="F983" s="1">
        <v>45855</v>
      </c>
      <c r="G983" s="14" t="s">
        <v>1928</v>
      </c>
      <c r="H983" s="14" t="s">
        <v>15</v>
      </c>
      <c r="I983" s="14" t="s">
        <v>2946</v>
      </c>
      <c r="J983" s="14" t="str">
        <f>IF(messy_clinic_appointments[[#This Row],[billing_amount]] &lt; 200, "Low", IF(messy_clinic_appointments[[#This Row],[billing_amount]]&lt;= 400, "Medium", "High"))</f>
        <v>High</v>
      </c>
      <c r="K983" s="14" t="s">
        <v>22</v>
      </c>
      <c r="L983" s="2">
        <f>DATEDIF(messy_clinic_appointments[[#This Row],[booking_date]],messy_clinic_appointments[[#This Row],[appointment_date]],"d")</f>
        <v>10</v>
      </c>
      <c r="M983" s="14" t="str">
        <f>IF(messy_clinic_appointments[[#This Row],[days_to_appointment]]&gt;365, "Review", "OK")</f>
        <v>OK</v>
      </c>
    </row>
    <row r="984" spans="1:13" x14ac:dyDescent="0.25">
      <c r="A984">
        <v>1012</v>
      </c>
      <c r="B984" s="14" t="s">
        <v>1929</v>
      </c>
      <c r="C984">
        <v>78</v>
      </c>
      <c r="D984" s="14" t="s">
        <v>2008</v>
      </c>
      <c r="E984" s="1">
        <v>45853</v>
      </c>
      <c r="F984" s="1">
        <v>45842</v>
      </c>
      <c r="G984" s="14" t="s">
        <v>1930</v>
      </c>
      <c r="H984" s="14" t="s">
        <v>21</v>
      </c>
      <c r="I984" s="14" t="s">
        <v>2947</v>
      </c>
      <c r="J984" s="14" t="str">
        <f>IF(messy_clinic_appointments[[#This Row],[billing_amount]] &lt; 200, "Low", IF(messy_clinic_appointments[[#This Row],[billing_amount]]&lt;= 400, "Medium", "High"))</f>
        <v>High</v>
      </c>
      <c r="K984" s="14" t="s">
        <v>2039</v>
      </c>
      <c r="L984" s="2">
        <f>DATEDIF(messy_clinic_appointments[[#This Row],[booking_date]],messy_clinic_appointments[[#This Row],[appointment_date]],"d")</f>
        <v>11</v>
      </c>
      <c r="M984" s="14" t="str">
        <f>IF(messy_clinic_appointments[[#This Row],[days_to_appointment]]&gt;365, "Review", "OK")</f>
        <v>OK</v>
      </c>
    </row>
    <row r="985" spans="1:13" x14ac:dyDescent="0.25">
      <c r="A985">
        <v>1049</v>
      </c>
      <c r="B985" s="14" t="s">
        <v>1931</v>
      </c>
      <c r="C985">
        <v>84</v>
      </c>
      <c r="D985" s="14" t="s">
        <v>50</v>
      </c>
      <c r="E985" s="1">
        <v>46017</v>
      </c>
      <c r="F985" s="1">
        <v>45876</v>
      </c>
      <c r="G985" s="14" t="s">
        <v>1932</v>
      </c>
      <c r="H985" s="14" t="s">
        <v>12</v>
      </c>
      <c r="I985" s="14" t="s">
        <v>2948</v>
      </c>
      <c r="J985" s="14" t="str">
        <f>IF(messy_clinic_appointments[[#This Row],[billing_amount]] &lt; 200, "Low", IF(messy_clinic_appointments[[#This Row],[billing_amount]]&lt;= 400, "Medium", "High"))</f>
        <v>High</v>
      </c>
      <c r="K985" s="14" t="s">
        <v>2013</v>
      </c>
      <c r="L985" s="2">
        <f>DATEDIF(messy_clinic_appointments[[#This Row],[booking_date]],messy_clinic_appointments[[#This Row],[appointment_date]],"d")</f>
        <v>141</v>
      </c>
      <c r="M985" s="14" t="str">
        <f>IF(messy_clinic_appointments[[#This Row],[days_to_appointment]]&gt;365, "Review", "OK")</f>
        <v>OK</v>
      </c>
    </row>
    <row r="986" spans="1:13" x14ac:dyDescent="0.25">
      <c r="A986">
        <v>1081</v>
      </c>
      <c r="B986" s="14" t="s">
        <v>1933</v>
      </c>
      <c r="C986">
        <v>43</v>
      </c>
      <c r="D986" s="14" t="s">
        <v>24</v>
      </c>
      <c r="E986" s="1">
        <v>45864</v>
      </c>
      <c r="F986" s="1">
        <v>45436</v>
      </c>
      <c r="G986" s="14" t="s">
        <v>1934</v>
      </c>
      <c r="H986" s="14" t="s">
        <v>15</v>
      </c>
      <c r="I986" s="14" t="s">
        <v>2949</v>
      </c>
      <c r="J986" s="14" t="str">
        <f>IF(messy_clinic_appointments[[#This Row],[billing_amount]] &lt; 200, "Low", IF(messy_clinic_appointments[[#This Row],[billing_amount]]&lt;= 400, "Medium", "High"))</f>
        <v>High</v>
      </c>
      <c r="K986" s="14" t="s">
        <v>2010</v>
      </c>
      <c r="L986" s="2">
        <f>DATEDIF(messy_clinic_appointments[[#This Row],[booking_date]],messy_clinic_appointments[[#This Row],[appointment_date]],"d")</f>
        <v>428</v>
      </c>
      <c r="M986" s="14" t="str">
        <f>IF(messy_clinic_appointments[[#This Row],[days_to_appointment]]&gt;365, "Review", "OK")</f>
        <v>Review</v>
      </c>
    </row>
    <row r="987" spans="1:13" x14ac:dyDescent="0.25">
      <c r="A987">
        <v>1045</v>
      </c>
      <c r="B987" s="14" t="s">
        <v>1935</v>
      </c>
      <c r="C987">
        <v>29</v>
      </c>
      <c r="D987" s="14" t="s">
        <v>2008</v>
      </c>
      <c r="E987" s="1">
        <v>45856</v>
      </c>
      <c r="F987" s="1">
        <v>45740</v>
      </c>
      <c r="G987" s="14" t="s">
        <v>1936</v>
      </c>
      <c r="H987" s="14" t="s">
        <v>18</v>
      </c>
      <c r="I987" s="14" t="s">
        <v>2950</v>
      </c>
      <c r="J987" s="14" t="str">
        <f>IF(messy_clinic_appointments[[#This Row],[billing_amount]] &lt; 200, "Low", IF(messy_clinic_appointments[[#This Row],[billing_amount]]&lt;= 400, "Medium", "High"))</f>
        <v>High</v>
      </c>
      <c r="K987" s="14" t="s">
        <v>22</v>
      </c>
      <c r="L987" s="2">
        <f>DATEDIF(messy_clinic_appointments[[#This Row],[booking_date]],messy_clinic_appointments[[#This Row],[appointment_date]],"d")</f>
        <v>116</v>
      </c>
      <c r="M987" s="14" t="str">
        <f>IF(messy_clinic_appointments[[#This Row],[days_to_appointment]]&gt;365, "Review", "OK")</f>
        <v>OK</v>
      </c>
    </row>
    <row r="988" spans="1:13" x14ac:dyDescent="0.25">
      <c r="A988">
        <v>1076</v>
      </c>
      <c r="B988" s="14" t="s">
        <v>1937</v>
      </c>
      <c r="C988">
        <v>79</v>
      </c>
      <c r="D988" s="14" t="s">
        <v>2014</v>
      </c>
      <c r="E988" s="1">
        <v>46074</v>
      </c>
      <c r="F988" s="1">
        <v>45512</v>
      </c>
      <c r="G988" s="14" t="s">
        <v>1938</v>
      </c>
      <c r="H988" s="14" t="s">
        <v>15</v>
      </c>
      <c r="I988" s="14" t="s">
        <v>2951</v>
      </c>
      <c r="J988" s="14" t="str">
        <f>IF(messy_clinic_appointments[[#This Row],[billing_amount]] &lt; 200, "Low", IF(messy_clinic_appointments[[#This Row],[billing_amount]]&lt;= 400, "Medium", "High"))</f>
        <v>High</v>
      </c>
      <c r="K988" s="14" t="s">
        <v>2013</v>
      </c>
      <c r="L988" s="2">
        <f>DATEDIF(messy_clinic_appointments[[#This Row],[booking_date]],messy_clinic_appointments[[#This Row],[appointment_date]],"d")</f>
        <v>562</v>
      </c>
      <c r="M988" s="14" t="str">
        <f>IF(messy_clinic_appointments[[#This Row],[days_to_appointment]]&gt;365, "Review", "OK")</f>
        <v>Review</v>
      </c>
    </row>
    <row r="989" spans="1:13" x14ac:dyDescent="0.25">
      <c r="A989">
        <v>1047</v>
      </c>
      <c r="B989" s="14" t="s">
        <v>1939</v>
      </c>
      <c r="C989">
        <v>54</v>
      </c>
      <c r="D989" s="14" t="s">
        <v>2010</v>
      </c>
      <c r="E989" s="1">
        <v>45810</v>
      </c>
      <c r="F989" s="1">
        <v>45504</v>
      </c>
      <c r="G989" s="14" t="s">
        <v>1940</v>
      </c>
      <c r="H989" s="14" t="s">
        <v>12</v>
      </c>
      <c r="I989" s="14" t="s">
        <v>2952</v>
      </c>
      <c r="J989" s="14" t="str">
        <f>IF(messy_clinic_appointments[[#This Row],[billing_amount]] &lt; 200, "Low", IF(messy_clinic_appointments[[#This Row],[billing_amount]]&lt;= 400, "Medium", "High"))</f>
        <v>High</v>
      </c>
      <c r="K989" s="14" t="s">
        <v>28</v>
      </c>
      <c r="L989" s="2">
        <f>DATEDIF(messy_clinic_appointments[[#This Row],[booking_date]],messy_clinic_appointments[[#This Row],[appointment_date]],"d")</f>
        <v>306</v>
      </c>
      <c r="M989" s="14" t="str">
        <f>IF(messy_clinic_appointments[[#This Row],[days_to_appointment]]&gt;365, "Review", "OK")</f>
        <v>OK</v>
      </c>
    </row>
    <row r="990" spans="1:13" x14ac:dyDescent="0.25">
      <c r="A990">
        <v>1068</v>
      </c>
      <c r="B990" s="14" t="s">
        <v>1941</v>
      </c>
      <c r="C990">
        <v>42</v>
      </c>
      <c r="D990" s="14" t="s">
        <v>50</v>
      </c>
      <c r="E990" s="1">
        <v>45951</v>
      </c>
      <c r="F990" s="1">
        <v>45747</v>
      </c>
      <c r="G990" s="14" t="s">
        <v>1942</v>
      </c>
      <c r="H990" s="14" t="s">
        <v>18</v>
      </c>
      <c r="I990" s="14" t="s">
        <v>2953</v>
      </c>
      <c r="J990" s="14" t="str">
        <f>IF(messy_clinic_appointments[[#This Row],[billing_amount]] &lt; 200, "Low", IF(messy_clinic_appointments[[#This Row],[billing_amount]]&lt;= 400, "Medium", "High"))</f>
        <v>High</v>
      </c>
      <c r="K990" s="14" t="s">
        <v>28</v>
      </c>
      <c r="L990" s="2">
        <f>DATEDIF(messy_clinic_appointments[[#This Row],[booking_date]],messy_clinic_appointments[[#This Row],[appointment_date]],"d")</f>
        <v>204</v>
      </c>
      <c r="M990" s="14" t="str">
        <f>IF(messy_clinic_appointments[[#This Row],[days_to_appointment]]&gt;365, "Review", "OK")</f>
        <v>OK</v>
      </c>
    </row>
    <row r="991" spans="1:13" x14ac:dyDescent="0.25">
      <c r="A991">
        <v>1021</v>
      </c>
      <c r="B991" s="14" t="s">
        <v>1943</v>
      </c>
      <c r="C991">
        <v>41</v>
      </c>
      <c r="D991" s="14" t="s">
        <v>2010</v>
      </c>
      <c r="E991" s="1">
        <v>45750</v>
      </c>
      <c r="F991" s="1">
        <v>45526</v>
      </c>
      <c r="G991" s="14" t="s">
        <v>1944</v>
      </c>
      <c r="H991" s="14" t="s">
        <v>15</v>
      </c>
      <c r="I991" s="14" t="s">
        <v>2954</v>
      </c>
      <c r="J991" s="14" t="str">
        <f>IF(messy_clinic_appointments[[#This Row],[billing_amount]] &lt; 200, "Low", IF(messy_clinic_appointments[[#This Row],[billing_amount]]&lt;= 400, "Medium", "High"))</f>
        <v>High</v>
      </c>
      <c r="K991" s="14" t="s">
        <v>2010</v>
      </c>
      <c r="L991" s="2">
        <f>DATEDIF(messy_clinic_appointments[[#This Row],[booking_date]],messy_clinic_appointments[[#This Row],[appointment_date]],"d")</f>
        <v>224</v>
      </c>
      <c r="M991" s="14" t="str">
        <f>IF(messy_clinic_appointments[[#This Row],[days_to_appointment]]&gt;365, "Review", "OK")</f>
        <v>OK</v>
      </c>
    </row>
    <row r="992" spans="1:13" x14ac:dyDescent="0.25">
      <c r="A992">
        <v>1052</v>
      </c>
      <c r="B992" s="14" t="s">
        <v>1945</v>
      </c>
      <c r="C992">
        <v>48</v>
      </c>
      <c r="D992" s="14" t="s">
        <v>2011</v>
      </c>
      <c r="E992" s="1">
        <v>45878</v>
      </c>
      <c r="F992" s="1">
        <v>45773</v>
      </c>
      <c r="G992" s="14" t="s">
        <v>1946</v>
      </c>
      <c r="H992" s="14" t="s">
        <v>15</v>
      </c>
      <c r="I992" s="14" t="s">
        <v>2955</v>
      </c>
      <c r="J992" s="14" t="str">
        <f>IF(messy_clinic_appointments[[#This Row],[billing_amount]] &lt; 200, "Low", IF(messy_clinic_appointments[[#This Row],[billing_amount]]&lt;= 400, "Medium", "High"))</f>
        <v>High</v>
      </c>
      <c r="K992" s="14" t="s">
        <v>2039</v>
      </c>
      <c r="L992" s="2">
        <f>DATEDIF(messy_clinic_appointments[[#This Row],[booking_date]],messy_clinic_appointments[[#This Row],[appointment_date]],"d")</f>
        <v>105</v>
      </c>
      <c r="M992" s="14" t="str">
        <f>IF(messy_clinic_appointments[[#This Row],[days_to_appointment]]&gt;365, "Review", "OK")</f>
        <v>OK</v>
      </c>
    </row>
    <row r="993" spans="1:13" x14ac:dyDescent="0.25">
      <c r="A993">
        <v>1075</v>
      </c>
      <c r="B993" s="14" t="s">
        <v>1947</v>
      </c>
      <c r="C993">
        <v>43</v>
      </c>
      <c r="D993" s="14" t="s">
        <v>2014</v>
      </c>
      <c r="E993" s="1">
        <v>46034</v>
      </c>
      <c r="F993" s="1">
        <v>45960</v>
      </c>
      <c r="G993" s="14" t="s">
        <v>1948</v>
      </c>
      <c r="H993" s="14" t="s">
        <v>21</v>
      </c>
      <c r="I993" s="14" t="s">
        <v>2956</v>
      </c>
      <c r="J993" s="14" t="str">
        <f>IF(messy_clinic_appointments[[#This Row],[billing_amount]] &lt; 200, "Low", IF(messy_clinic_appointments[[#This Row],[billing_amount]]&lt;= 400, "Medium", "High"))</f>
        <v>High</v>
      </c>
      <c r="K993" s="14" t="s">
        <v>2013</v>
      </c>
      <c r="L993" s="2">
        <f>DATEDIF(messy_clinic_appointments[[#This Row],[booking_date]],messy_clinic_appointments[[#This Row],[appointment_date]],"d")</f>
        <v>74</v>
      </c>
      <c r="M993" s="14" t="str">
        <f>IF(messy_clinic_appointments[[#This Row],[days_to_appointment]]&gt;365, "Review", "OK")</f>
        <v>OK</v>
      </c>
    </row>
    <row r="994" spans="1:13" x14ac:dyDescent="0.25">
      <c r="A994">
        <v>1047</v>
      </c>
      <c r="B994" s="14" t="s">
        <v>1949</v>
      </c>
      <c r="C994">
        <v>76</v>
      </c>
      <c r="D994" s="14" t="s">
        <v>2039</v>
      </c>
      <c r="E994" s="1">
        <v>46081</v>
      </c>
      <c r="F994" s="1">
        <v>45615</v>
      </c>
      <c r="G994" s="14" t="s">
        <v>586</v>
      </c>
      <c r="H994" s="14" t="s">
        <v>12</v>
      </c>
      <c r="I994" s="14" t="s">
        <v>2957</v>
      </c>
      <c r="J994" s="14" t="str">
        <f>IF(messy_clinic_appointments[[#This Row],[billing_amount]] &lt; 200, "Low", IF(messy_clinic_appointments[[#This Row],[billing_amount]]&lt;= 400, "Medium", "High"))</f>
        <v>High</v>
      </c>
      <c r="K994" s="14" t="s">
        <v>2039</v>
      </c>
      <c r="L994" s="2">
        <f>DATEDIF(messy_clinic_appointments[[#This Row],[booking_date]],messy_clinic_appointments[[#This Row],[appointment_date]],"d")</f>
        <v>466</v>
      </c>
      <c r="M994" s="14" t="str">
        <f>IF(messy_clinic_appointments[[#This Row],[days_to_appointment]]&gt;365, "Review", "OK")</f>
        <v>Review</v>
      </c>
    </row>
    <row r="995" spans="1:13" x14ac:dyDescent="0.25">
      <c r="A995">
        <v>1017</v>
      </c>
      <c r="B995" s="14" t="s">
        <v>1950</v>
      </c>
      <c r="C995">
        <v>50</v>
      </c>
      <c r="D995" s="14" t="s">
        <v>2014</v>
      </c>
      <c r="E995" s="1">
        <v>45821</v>
      </c>
      <c r="F995" s="1">
        <v>45672</v>
      </c>
      <c r="G995" s="14" t="s">
        <v>1951</v>
      </c>
      <c r="H995" s="14" t="s">
        <v>12</v>
      </c>
      <c r="I995" s="14" t="s">
        <v>2958</v>
      </c>
      <c r="J995" s="14" t="str">
        <f>IF(messy_clinic_appointments[[#This Row],[billing_amount]] &lt; 200, "Low", IF(messy_clinic_appointments[[#This Row],[billing_amount]]&lt;= 400, "Medium", "High"))</f>
        <v>High</v>
      </c>
      <c r="K995" s="14" t="s">
        <v>2013</v>
      </c>
      <c r="L995" s="2">
        <f>DATEDIF(messy_clinic_appointments[[#This Row],[booking_date]],messy_clinic_appointments[[#This Row],[appointment_date]],"d")</f>
        <v>149</v>
      </c>
      <c r="M995" s="14" t="str">
        <f>IF(messy_clinic_appointments[[#This Row],[days_to_appointment]]&gt;365, "Review", "OK")</f>
        <v>OK</v>
      </c>
    </row>
    <row r="996" spans="1:13" x14ac:dyDescent="0.25">
      <c r="A996">
        <v>1068</v>
      </c>
      <c r="B996" s="14" t="s">
        <v>1952</v>
      </c>
      <c r="C996">
        <v>19</v>
      </c>
      <c r="D996" s="14" t="s">
        <v>50</v>
      </c>
      <c r="E996" s="1">
        <v>46048</v>
      </c>
      <c r="F996" s="1">
        <v>45624</v>
      </c>
      <c r="G996" s="14" t="s">
        <v>1953</v>
      </c>
      <c r="H996" s="14" t="s">
        <v>21</v>
      </c>
      <c r="I996" s="14" t="s">
        <v>2959</v>
      </c>
      <c r="J996" s="14" t="str">
        <f>IF(messy_clinic_appointments[[#This Row],[billing_amount]] &lt; 200, "Low", IF(messy_clinic_appointments[[#This Row],[billing_amount]]&lt;= 400, "Medium", "High"))</f>
        <v>High</v>
      </c>
      <c r="K996" s="14" t="s">
        <v>2013</v>
      </c>
      <c r="L996" s="2">
        <f>DATEDIF(messy_clinic_appointments[[#This Row],[booking_date]],messy_clinic_appointments[[#This Row],[appointment_date]],"d")</f>
        <v>424</v>
      </c>
      <c r="M996" s="14" t="str">
        <f>IF(messy_clinic_appointments[[#This Row],[days_to_appointment]]&gt;365, "Review", "OK")</f>
        <v>Review</v>
      </c>
    </row>
    <row r="997" spans="1:13" x14ac:dyDescent="0.25">
      <c r="A997">
        <v>1082</v>
      </c>
      <c r="B997" s="14" t="s">
        <v>1954</v>
      </c>
      <c r="C997">
        <v>64</v>
      </c>
      <c r="D997" s="14" t="s">
        <v>30</v>
      </c>
      <c r="E997" s="1">
        <v>45914</v>
      </c>
      <c r="F997" s="1">
        <v>45488</v>
      </c>
      <c r="G997" s="14" t="s">
        <v>1955</v>
      </c>
      <c r="H997" s="14" t="s">
        <v>21</v>
      </c>
      <c r="I997" s="14" t="s">
        <v>2960</v>
      </c>
      <c r="J997" s="14" t="str">
        <f>IF(messy_clinic_appointments[[#This Row],[billing_amount]] &lt; 200, "Low", IF(messy_clinic_appointments[[#This Row],[billing_amount]]&lt;= 400, "Medium", "High"))</f>
        <v>High</v>
      </c>
      <c r="K997" s="14" t="s">
        <v>28</v>
      </c>
      <c r="L997" s="2">
        <f>DATEDIF(messy_clinic_appointments[[#This Row],[booking_date]],messy_clinic_appointments[[#This Row],[appointment_date]],"d")</f>
        <v>426</v>
      </c>
      <c r="M997" s="14" t="str">
        <f>IF(messy_clinic_appointments[[#This Row],[days_to_appointment]]&gt;365, "Review", "OK")</f>
        <v>Review</v>
      </c>
    </row>
    <row r="998" spans="1:13" x14ac:dyDescent="0.25">
      <c r="A998">
        <v>1008</v>
      </c>
      <c r="B998" s="14" t="s">
        <v>1956</v>
      </c>
      <c r="C998">
        <v>67</v>
      </c>
      <c r="D998" s="14" t="s">
        <v>2011</v>
      </c>
      <c r="E998" s="1">
        <v>45756</v>
      </c>
      <c r="F998" s="1">
        <v>45463</v>
      </c>
      <c r="G998" s="14" t="s">
        <v>766</v>
      </c>
      <c r="H998" s="14" t="s">
        <v>21</v>
      </c>
      <c r="I998" s="14" t="s">
        <v>2961</v>
      </c>
      <c r="J998" s="14" t="str">
        <f>IF(messy_clinic_appointments[[#This Row],[billing_amount]] &lt; 200, "Low", IF(messy_clinic_appointments[[#This Row],[billing_amount]]&lt;= 400, "Medium", "High"))</f>
        <v>High</v>
      </c>
      <c r="K998" s="14" t="s">
        <v>22</v>
      </c>
      <c r="L998" s="2">
        <f>DATEDIF(messy_clinic_appointments[[#This Row],[booking_date]],messy_clinic_appointments[[#This Row],[appointment_date]],"d")</f>
        <v>293</v>
      </c>
      <c r="M998" s="14" t="str">
        <f>IF(messy_clinic_appointments[[#This Row],[days_to_appointment]]&gt;365, "Review", "OK")</f>
        <v>OK</v>
      </c>
    </row>
    <row r="999" spans="1:13" x14ac:dyDescent="0.25">
      <c r="A999">
        <v>1022</v>
      </c>
      <c r="B999" s="14" t="s">
        <v>1053</v>
      </c>
      <c r="C999">
        <v>28</v>
      </c>
      <c r="D999" s="14" t="s">
        <v>2010</v>
      </c>
      <c r="E999" s="1">
        <v>46066</v>
      </c>
      <c r="F999" s="1">
        <v>45456</v>
      </c>
      <c r="G999" s="14" t="s">
        <v>1957</v>
      </c>
      <c r="H999" s="14" t="s">
        <v>18</v>
      </c>
      <c r="I999" s="14" t="s">
        <v>2962</v>
      </c>
      <c r="J999" s="14" t="str">
        <f>IF(messy_clinic_appointments[[#This Row],[billing_amount]] &lt; 200, "Low", IF(messy_clinic_appointments[[#This Row],[billing_amount]]&lt;= 400, "Medium", "High"))</f>
        <v>High</v>
      </c>
      <c r="K999" s="14" t="s">
        <v>2026</v>
      </c>
      <c r="L999" s="2">
        <f>DATEDIF(messy_clinic_appointments[[#This Row],[booking_date]],messy_clinic_appointments[[#This Row],[appointment_date]],"d")</f>
        <v>610</v>
      </c>
      <c r="M999" s="14" t="str">
        <f>IF(messy_clinic_appointments[[#This Row],[days_to_appointment]]&gt;365, "Review", "OK")</f>
        <v>Review</v>
      </c>
    </row>
    <row r="1000" spans="1:13" x14ac:dyDescent="0.25">
      <c r="A1000">
        <v>1088</v>
      </c>
      <c r="B1000" s="14" t="s">
        <v>872</v>
      </c>
      <c r="C1000">
        <v>65</v>
      </c>
      <c r="D1000" s="14" t="s">
        <v>2011</v>
      </c>
      <c r="E1000" s="1">
        <v>45842</v>
      </c>
      <c r="F1000" s="1">
        <v>45397</v>
      </c>
      <c r="G1000" s="14" t="s">
        <v>1958</v>
      </c>
      <c r="H1000" s="14" t="s">
        <v>18</v>
      </c>
      <c r="I1000" s="14" t="s">
        <v>2963</v>
      </c>
      <c r="J1000" s="14" t="str">
        <f>IF(messy_clinic_appointments[[#This Row],[billing_amount]] &lt; 200, "Low", IF(messy_clinic_appointments[[#This Row],[billing_amount]]&lt;= 400, "Medium", "High"))</f>
        <v>High</v>
      </c>
      <c r="K1000" s="14" t="s">
        <v>2039</v>
      </c>
      <c r="L1000" s="2">
        <f>DATEDIF(messy_clinic_appointments[[#This Row],[booking_date]],messy_clinic_appointments[[#This Row],[appointment_date]],"d")</f>
        <v>445</v>
      </c>
      <c r="M1000" s="14" t="str">
        <f>IF(messy_clinic_appointments[[#This Row],[days_to_appointment]]&gt;365, "Review", "OK")</f>
        <v>Review</v>
      </c>
    </row>
    <row r="1001" spans="1:13" x14ac:dyDescent="0.25">
      <c r="A1001">
        <v>1003</v>
      </c>
      <c r="B1001" s="14" t="s">
        <v>1959</v>
      </c>
      <c r="C1001">
        <v>79</v>
      </c>
      <c r="D1001" s="14" t="s">
        <v>50</v>
      </c>
      <c r="E1001" s="1">
        <v>45966</v>
      </c>
      <c r="F1001" s="1">
        <v>45495</v>
      </c>
      <c r="G1001" s="14" t="s">
        <v>1960</v>
      </c>
      <c r="H1001" s="14" t="s">
        <v>12</v>
      </c>
      <c r="I1001" s="14" t="s">
        <v>2964</v>
      </c>
      <c r="J1001" s="14" t="str">
        <f>IF(messy_clinic_appointments[[#This Row],[billing_amount]] &lt; 200, "Low", IF(messy_clinic_appointments[[#This Row],[billing_amount]]&lt;= 400, "Medium", "High"))</f>
        <v>High</v>
      </c>
      <c r="K1001" s="14" t="s">
        <v>2013</v>
      </c>
      <c r="L1001" s="2">
        <f>DATEDIF(messy_clinic_appointments[[#This Row],[booking_date]],messy_clinic_appointments[[#This Row],[appointment_date]],"d")</f>
        <v>471</v>
      </c>
      <c r="M1001" s="14" t="str">
        <f>IF(messy_clinic_appointments[[#This Row],[days_to_appointment]]&gt;365, "Review", "OK")</f>
        <v>Review</v>
      </c>
    </row>
    <row r="1002" spans="1:13" x14ac:dyDescent="0.25">
      <c r="A1002">
        <v>1101</v>
      </c>
      <c r="B1002" s="14" t="s">
        <v>2965</v>
      </c>
      <c r="C1002">
        <v>35</v>
      </c>
      <c r="D1002" s="14" t="s">
        <v>2011</v>
      </c>
      <c r="E1002" s="1">
        <v>46037</v>
      </c>
      <c r="F1002" s="1">
        <v>45889</v>
      </c>
      <c r="G1002" s="14" t="s">
        <v>2966</v>
      </c>
      <c r="H1002" s="14" t="s">
        <v>21</v>
      </c>
      <c r="I1002" s="14" t="s">
        <v>2967</v>
      </c>
      <c r="J1002" s="14" t="str">
        <f>IF(messy_clinic_appointments[[#This Row],[billing_amount]] &lt; 200, "Low", IF(messy_clinic_appointments[[#This Row],[billing_amount]]&lt;= 400, "Medium", "High"))</f>
        <v>High</v>
      </c>
      <c r="K1002" s="14" t="s">
        <v>2013</v>
      </c>
      <c r="L1002" s="2">
        <f>DATEDIF(messy_clinic_appointments[[#This Row],[booking_date]],messy_clinic_appointments[[#This Row],[appointment_date]],"d")</f>
        <v>148</v>
      </c>
      <c r="M1002" s="14" t="str">
        <f>IF(messy_clinic_appointments[[#This Row],[days_to_appointment]]&gt;365, "Review", "OK")</f>
        <v>OK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5193-EF4E-4510-A13E-3A0C69379DA4}">
  <dimension ref="A1:E3"/>
  <sheetViews>
    <sheetView workbookViewId="0">
      <selection activeCell="A3" sqref="A3"/>
    </sheetView>
  </sheetViews>
  <sheetFormatPr defaultRowHeight="15" x14ac:dyDescent="0.25"/>
  <cols>
    <col min="1" max="1" width="13.85546875" bestFit="1" customWidth="1"/>
    <col min="2" max="2" width="4.42578125" bestFit="1" customWidth="1"/>
    <col min="3" max="3" width="7.5703125" bestFit="1" customWidth="1"/>
    <col min="4" max="4" width="11.7109375" bestFit="1" customWidth="1"/>
    <col min="5" max="5" width="14.85546875" bestFit="1" customWidth="1"/>
  </cols>
  <sheetData>
    <row r="1" spans="1:5" x14ac:dyDescent="0.25">
      <c r="A1" t="s">
        <v>1981</v>
      </c>
      <c r="B1" t="s">
        <v>1982</v>
      </c>
      <c r="C1" t="s">
        <v>1983</v>
      </c>
      <c r="D1" t="s">
        <v>1966</v>
      </c>
      <c r="E1" t="s">
        <v>1984</v>
      </c>
    </row>
    <row r="2" spans="1:5" x14ac:dyDescent="0.25">
      <c r="A2" t="s">
        <v>1985</v>
      </c>
      <c r="B2">
        <v>45</v>
      </c>
      <c r="C2" t="s">
        <v>50</v>
      </c>
      <c r="D2" t="s">
        <v>18</v>
      </c>
      <c r="E2">
        <v>350.5</v>
      </c>
    </row>
    <row r="3" spans="1:5" x14ac:dyDescent="0.25">
      <c r="C3" t="s">
        <v>30</v>
      </c>
    </row>
  </sheetData>
  <dataValidations count="5">
    <dataValidation type="whole" allowBlank="1" showInputMessage="1" showErrorMessage="1" errorTitle="INvalid Age" error="Please enter a valid age between 0 and 120" promptTitle="Age" prompt="Enter patient age between 0 and 120" sqref="B1:B1048576" xr:uid="{E2F988B2-BEDC-4828-9F36-0C625272C279}">
      <formula1>0</formula1>
      <formula2>120</formula2>
    </dataValidation>
    <dataValidation type="list" allowBlank="1" showInputMessage="1" showErrorMessage="1" promptTitle="Gender" prompt="Select patient gender from the list" sqref="C1:C1048576" xr:uid="{1AAF8F71-A963-491B-B6F6-DABA293E2FD6}">
      <formula1>"Male,Female,Uknown"</formula1>
    </dataValidation>
    <dataValidation type="list" allowBlank="1" showInputMessage="1" showErrorMessage="1" sqref="D1:D1048576" xr:uid="{174069CC-9884-4F63-9543-15264A2ACAA8}">
      <formula1>"Cardiology,General,Neurology,Orthopedics"</formula1>
    </dataValidation>
    <dataValidation type="decimal" allowBlank="1" showInputMessage="1" showErrorMessage="1" errorTitle="Billing Amount" error="Please enter a billing amount between 0 and 10000" sqref="E1:E1048576" xr:uid="{92259434-55DE-4EA0-B857-8D26390AADD3}">
      <formula1>0</formula1>
      <formula2>10000</formula2>
    </dataValidation>
    <dataValidation type="textLength" operator="lessThanOrEqual" allowBlank="1" showInputMessage="1" showErrorMessage="1" sqref="A1:A1048576" xr:uid="{DA56D5D8-AC0B-4939-838F-1D19A057735B}">
      <formula1>50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5BC7-1FF9-4E9A-9212-07DD96634BA5}">
  <dimension ref="A1:G13"/>
  <sheetViews>
    <sheetView zoomScale="124" workbookViewId="0">
      <selection activeCell="F18" sqref="F18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12.85546875" bestFit="1" customWidth="1"/>
    <col min="4" max="4" width="13.28515625" bestFit="1" customWidth="1"/>
    <col min="5" max="5" width="13.28515625" customWidth="1"/>
    <col min="6" max="6" width="10.28515625" bestFit="1" customWidth="1"/>
  </cols>
  <sheetData>
    <row r="1" spans="1:7" x14ac:dyDescent="0.25">
      <c r="A1" t="s">
        <v>1966</v>
      </c>
      <c r="B1" t="s">
        <v>1986</v>
      </c>
      <c r="C1" t="s">
        <v>1987</v>
      </c>
      <c r="D1" t="s">
        <v>1967</v>
      </c>
    </row>
    <row r="2" spans="1:7" x14ac:dyDescent="0.25">
      <c r="A2" t="s">
        <v>12</v>
      </c>
      <c r="B2">
        <v>150</v>
      </c>
      <c r="C2" t="str">
        <f>IF(B2&lt;200, "Low", IF(B2&lt;=400, "Medium", IF(B2&lt;=600, "High", "Premium")))</f>
        <v>Low</v>
      </c>
      <c r="D2">
        <v>230</v>
      </c>
      <c r="F2" t="s">
        <v>12</v>
      </c>
      <c r="G2">
        <f>INDEX(D2:D5, MATCH(F2,$A$2:$A$5, 0))</f>
        <v>230</v>
      </c>
    </row>
    <row r="3" spans="1:7" x14ac:dyDescent="0.25">
      <c r="A3" t="s">
        <v>21</v>
      </c>
      <c r="B3">
        <v>300</v>
      </c>
      <c r="C3" t="str">
        <f t="shared" ref="C3:C5" si="0">IF(B3&lt;200, "Low", IF(B3&lt;=400, "Medium", IF(B3&lt;=600, "High", "Premium")))</f>
        <v>Medium</v>
      </c>
      <c r="D3">
        <v>245</v>
      </c>
      <c r="F3" t="s">
        <v>21</v>
      </c>
      <c r="G3">
        <f>INDEX(D2:D5, MATCH(F3,$A$2:$A$5, 0))</f>
        <v>245</v>
      </c>
    </row>
    <row r="4" spans="1:7" x14ac:dyDescent="0.25">
      <c r="A4" t="s">
        <v>18</v>
      </c>
      <c r="B4">
        <v>710</v>
      </c>
      <c r="C4" t="str">
        <f t="shared" si="0"/>
        <v>Premium</v>
      </c>
      <c r="D4">
        <v>268</v>
      </c>
    </row>
    <row r="5" spans="1:7" x14ac:dyDescent="0.25">
      <c r="A5" t="s">
        <v>15</v>
      </c>
      <c r="B5">
        <v>450</v>
      </c>
      <c r="C5" t="str">
        <f t="shared" si="0"/>
        <v>High</v>
      </c>
      <c r="D5">
        <v>257</v>
      </c>
    </row>
    <row r="8" spans="1:7" x14ac:dyDescent="0.25">
      <c r="A8" t="s">
        <v>1982</v>
      </c>
      <c r="B8" t="s">
        <v>1988</v>
      </c>
    </row>
    <row r="9" spans="1:7" x14ac:dyDescent="0.25">
      <c r="A9">
        <v>15</v>
      </c>
      <c r="B9" t="str">
        <f>IF(A9&lt;18, "Minor", IF(A9&lt;=30, "Young Adult", IF(A9&lt;=50, "Adult", IF(A9&lt;=70, "Senior", "Elderly"))))</f>
        <v>Minor</v>
      </c>
    </row>
    <row r="10" spans="1:7" x14ac:dyDescent="0.25">
      <c r="A10">
        <v>25</v>
      </c>
      <c r="B10" t="str">
        <f t="shared" ref="B10:B13" si="1">IF(A10&lt;18, "Minor", IF(A10&lt;=30, "Young Adult", IF(A10&lt;=50, "Adult", IF(A10&lt;=70, "Senior", "Elderly"))))</f>
        <v>Young Adult</v>
      </c>
    </row>
    <row r="11" spans="1:7" x14ac:dyDescent="0.25">
      <c r="A11">
        <v>45</v>
      </c>
      <c r="B11" t="str">
        <f t="shared" si="1"/>
        <v>Adult</v>
      </c>
    </row>
    <row r="12" spans="1:7" x14ac:dyDescent="0.25">
      <c r="A12">
        <v>65</v>
      </c>
      <c r="B12" t="str">
        <f t="shared" si="1"/>
        <v>Senior</v>
      </c>
    </row>
    <row r="13" spans="1:7" x14ac:dyDescent="0.25">
      <c r="A13">
        <v>880</v>
      </c>
      <c r="B13" t="str">
        <f t="shared" si="1"/>
        <v>Elderly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AED8-F805-4493-871B-79B1E6EBDE67}">
  <sheetPr>
    <pageSetUpPr fitToPage="1"/>
  </sheetPr>
  <dimension ref="A1:R34"/>
  <sheetViews>
    <sheetView showGridLines="0" zoomScale="85" zoomScaleNormal="85" workbookViewId="0">
      <selection activeCell="R17" sqref="R17"/>
    </sheetView>
  </sheetViews>
  <sheetFormatPr defaultRowHeight="14.25" x14ac:dyDescent="0.2"/>
  <cols>
    <col min="1" max="2" width="9.140625" style="6"/>
    <col min="3" max="3" width="9.140625" style="6" customWidth="1"/>
    <col min="4" max="4" width="30" style="6" customWidth="1"/>
    <col min="5" max="8" width="9.140625" style="6"/>
    <col min="9" max="9" width="12" style="6" customWidth="1"/>
    <col min="10" max="10" width="20" style="6" customWidth="1"/>
    <col min="11" max="15" width="9.140625" style="6"/>
    <col min="16" max="16" width="21.28515625" style="6" customWidth="1"/>
    <col min="17" max="16384" width="9.140625" style="6"/>
  </cols>
  <sheetData>
    <row r="1" spans="1:18" ht="30.75" x14ac:dyDescent="0.2">
      <c r="A1" s="9" t="s">
        <v>1973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5" spans="1:18" ht="25.5" x14ac:dyDescent="0.2">
      <c r="C5" s="10" t="s">
        <v>1974</v>
      </c>
      <c r="D5" s="10"/>
      <c r="I5" s="10" t="s">
        <v>1975</v>
      </c>
      <c r="J5" s="10"/>
      <c r="O5" s="10" t="s">
        <v>1969</v>
      </c>
      <c r="P5" s="10"/>
    </row>
    <row r="6" spans="1:18" ht="30" x14ac:dyDescent="0.2">
      <c r="C6" s="11">
        <f>COUNTA(messy_clinic_appointments!A2:A1002)</f>
        <v>1001</v>
      </c>
      <c r="D6" s="11"/>
      <c r="I6" s="12">
        <f>SUM(messy_clinic_appointments!I2:I1002)</f>
        <v>0</v>
      </c>
      <c r="J6" s="12"/>
      <c r="O6" s="13">
        <f>514/1000</f>
        <v>0.51400000000000001</v>
      </c>
      <c r="P6" s="13"/>
    </row>
    <row r="30" spans="3:3" ht="23.25" x14ac:dyDescent="0.35">
      <c r="C30" s="7" t="s">
        <v>1976</v>
      </c>
    </row>
    <row r="31" spans="3:3" ht="20.25" x14ac:dyDescent="0.3">
      <c r="C31" s="8" t="s">
        <v>1977</v>
      </c>
    </row>
    <row r="32" spans="3:3" ht="20.25" x14ac:dyDescent="0.3">
      <c r="C32" s="8" t="s">
        <v>1978</v>
      </c>
    </row>
    <row r="33" spans="3:3" ht="20.25" x14ac:dyDescent="0.3">
      <c r="C33" s="8" t="s">
        <v>1980</v>
      </c>
    </row>
    <row r="34" spans="3:3" ht="20.25" x14ac:dyDescent="0.3">
      <c r="C34" s="8" t="s">
        <v>1979</v>
      </c>
    </row>
  </sheetData>
  <mergeCells count="7">
    <mergeCell ref="A1:R1"/>
    <mergeCell ref="C5:D5"/>
    <mergeCell ref="C6:D6"/>
    <mergeCell ref="I5:J5"/>
    <mergeCell ref="I6:J6"/>
    <mergeCell ref="O5:P5"/>
    <mergeCell ref="O6:P6"/>
  </mergeCells>
  <pageMargins left="0.7" right="0.7" top="0.75" bottom="0.75" header="0.3" footer="0.3"/>
  <pageSetup paperSize="9" scale="62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B42C-D4E1-4D06-A65D-41F18C884974}">
  <dimension ref="A1:J1002"/>
  <sheetViews>
    <sheetView tabSelected="1" topLeftCell="A918" workbookViewId="0">
      <selection activeCell="G10" sqref="G10"/>
    </sheetView>
  </sheetViews>
  <sheetFormatPr defaultRowHeight="15" x14ac:dyDescent="0.25"/>
  <cols>
    <col min="1" max="1" width="12.42578125" bestFit="1" customWidth="1"/>
    <col min="2" max="2" width="24.28515625" bestFit="1" customWidth="1"/>
    <col min="3" max="3" width="6.42578125" bestFit="1" customWidth="1"/>
    <col min="4" max="4" width="9.5703125" bestFit="1" customWidth="1"/>
    <col min="5" max="5" width="20.140625" bestFit="1" customWidth="1"/>
    <col min="6" max="6" width="15.5703125" bestFit="1" customWidth="1"/>
    <col min="7" max="7" width="22.7109375" bestFit="1" customWidth="1"/>
    <col min="8" max="8" width="13.85546875" bestFit="1" customWidth="1"/>
    <col min="9" max="9" width="16.85546875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1080</v>
      </c>
      <c r="B2" s="14" t="s">
        <v>10</v>
      </c>
      <c r="C2">
        <v>76</v>
      </c>
      <c r="D2" s="14" t="s">
        <v>30</v>
      </c>
      <c r="E2" s="1">
        <v>46079</v>
      </c>
      <c r="F2" s="1">
        <v>45629</v>
      </c>
      <c r="G2" s="14" t="s">
        <v>11</v>
      </c>
      <c r="H2" s="14" t="s">
        <v>12</v>
      </c>
      <c r="I2">
        <v>425.8</v>
      </c>
      <c r="J2" s="14" t="s">
        <v>28</v>
      </c>
    </row>
    <row r="3" spans="1:10" x14ac:dyDescent="0.25">
      <c r="A3">
        <v>1074</v>
      </c>
      <c r="B3" s="14" t="s">
        <v>13</v>
      </c>
      <c r="C3">
        <v>69</v>
      </c>
      <c r="D3" s="14" t="s">
        <v>30</v>
      </c>
      <c r="E3" s="1">
        <v>45800</v>
      </c>
      <c r="F3" s="1">
        <v>45455</v>
      </c>
      <c r="G3" s="14" t="s">
        <v>14</v>
      </c>
      <c r="H3" s="14" t="s">
        <v>15</v>
      </c>
      <c r="I3">
        <v>344.26</v>
      </c>
      <c r="J3" s="14" t="s">
        <v>28</v>
      </c>
    </row>
    <row r="4" spans="1:10" x14ac:dyDescent="0.25">
      <c r="A4">
        <v>1067</v>
      </c>
      <c r="B4" s="14" t="s">
        <v>16</v>
      </c>
      <c r="C4">
        <v>79</v>
      </c>
      <c r="D4" s="14" t="s">
        <v>50</v>
      </c>
      <c r="E4" s="1">
        <v>45991</v>
      </c>
      <c r="F4" s="1">
        <v>45509</v>
      </c>
      <c r="G4" s="14" t="s">
        <v>17</v>
      </c>
      <c r="H4" s="14" t="s">
        <v>18</v>
      </c>
      <c r="I4">
        <v>203.34</v>
      </c>
      <c r="J4" s="14" t="s">
        <v>28</v>
      </c>
    </row>
    <row r="5" spans="1:10" x14ac:dyDescent="0.25">
      <c r="A5">
        <v>1072</v>
      </c>
      <c r="B5" s="14" t="s">
        <v>19</v>
      </c>
      <c r="C5">
        <v>47</v>
      </c>
      <c r="D5" s="14" t="s">
        <v>30</v>
      </c>
      <c r="E5" s="1">
        <v>45795</v>
      </c>
      <c r="F5" s="1">
        <v>45544</v>
      </c>
      <c r="G5" s="14" t="s">
        <v>20</v>
      </c>
      <c r="H5" s="14" t="s">
        <v>21</v>
      </c>
      <c r="I5">
        <v>85.76</v>
      </c>
      <c r="J5" s="14" t="s">
        <v>22</v>
      </c>
    </row>
    <row r="6" spans="1:10" x14ac:dyDescent="0.25">
      <c r="A6">
        <v>1092</v>
      </c>
      <c r="B6" s="14" t="s">
        <v>23</v>
      </c>
      <c r="C6">
        <v>45</v>
      </c>
      <c r="D6" s="14" t="s">
        <v>24</v>
      </c>
      <c r="E6" s="1">
        <v>46088</v>
      </c>
      <c r="F6" s="1">
        <v>45521</v>
      </c>
      <c r="G6" s="14" t="s">
        <v>25</v>
      </c>
      <c r="H6" s="14" t="s">
        <v>21</v>
      </c>
      <c r="I6">
        <v>84.44</v>
      </c>
      <c r="J6" s="14" t="s">
        <v>28</v>
      </c>
    </row>
    <row r="7" spans="1:10" x14ac:dyDescent="0.25">
      <c r="A7">
        <v>1057</v>
      </c>
      <c r="B7" s="14" t="s">
        <v>26</v>
      </c>
      <c r="C7">
        <v>78</v>
      </c>
      <c r="D7" s="14" t="s">
        <v>50</v>
      </c>
      <c r="E7" s="1">
        <v>45926</v>
      </c>
      <c r="F7" s="1">
        <v>45900</v>
      </c>
      <c r="G7" s="14" t="s">
        <v>27</v>
      </c>
      <c r="H7" s="14" t="s">
        <v>21</v>
      </c>
      <c r="J7" s="14" t="s">
        <v>28</v>
      </c>
    </row>
    <row r="8" spans="1:10" x14ac:dyDescent="0.25">
      <c r="A8">
        <v>1018</v>
      </c>
      <c r="B8" s="14" t="s">
        <v>29</v>
      </c>
      <c r="C8">
        <v>22</v>
      </c>
      <c r="D8" s="14" t="s">
        <v>30</v>
      </c>
      <c r="E8" s="1">
        <v>45960</v>
      </c>
      <c r="F8" s="1">
        <v>45655</v>
      </c>
      <c r="G8" s="14" t="s">
        <v>31</v>
      </c>
      <c r="H8" s="14" t="s">
        <v>12</v>
      </c>
      <c r="I8">
        <v>99</v>
      </c>
      <c r="J8" s="14" t="s">
        <v>22</v>
      </c>
    </row>
    <row r="9" spans="1:10" x14ac:dyDescent="0.25">
      <c r="A9">
        <v>1074</v>
      </c>
      <c r="B9" s="14" t="s">
        <v>32</v>
      </c>
      <c r="C9">
        <v>57</v>
      </c>
      <c r="D9" s="14" t="s">
        <v>50</v>
      </c>
      <c r="E9" s="1">
        <v>45770</v>
      </c>
      <c r="F9" s="1">
        <v>45744</v>
      </c>
      <c r="G9" s="14" t="s">
        <v>33</v>
      </c>
      <c r="H9" s="14" t="s">
        <v>18</v>
      </c>
      <c r="I9">
        <v>374.63</v>
      </c>
      <c r="J9" s="14" t="s">
        <v>22</v>
      </c>
    </row>
    <row r="10" spans="1:10" x14ac:dyDescent="0.25">
      <c r="A10">
        <v>1041</v>
      </c>
      <c r="B10" s="14" t="s">
        <v>34</v>
      </c>
      <c r="C10">
        <v>54</v>
      </c>
      <c r="D10" s="14" t="s">
        <v>30</v>
      </c>
      <c r="E10" s="1">
        <v>45891</v>
      </c>
      <c r="F10" s="1">
        <v>45603</v>
      </c>
      <c r="G10" s="14" t="s">
        <v>35</v>
      </c>
      <c r="H10" s="14" t="s">
        <v>21</v>
      </c>
      <c r="I10">
        <v>452.37</v>
      </c>
      <c r="J10" s="14" t="s">
        <v>28</v>
      </c>
    </row>
    <row r="11" spans="1:10" x14ac:dyDescent="0.25">
      <c r="A11">
        <v>1011</v>
      </c>
      <c r="B11" s="14" t="s">
        <v>36</v>
      </c>
      <c r="C11">
        <v>45</v>
      </c>
      <c r="D11" s="14" t="s">
        <v>50</v>
      </c>
      <c r="E11" s="1">
        <v>46097</v>
      </c>
      <c r="F11" s="1">
        <v>46003</v>
      </c>
      <c r="G11" s="14" t="s">
        <v>1989</v>
      </c>
      <c r="H11" s="14" t="s">
        <v>18</v>
      </c>
      <c r="I11">
        <v>494.97</v>
      </c>
      <c r="J11" s="14" t="s">
        <v>28</v>
      </c>
    </row>
    <row r="12" spans="1:10" x14ac:dyDescent="0.25">
      <c r="A12">
        <v>1086</v>
      </c>
      <c r="B12" s="14" t="s">
        <v>37</v>
      </c>
      <c r="C12">
        <v>54</v>
      </c>
      <c r="D12" s="14" t="s">
        <v>50</v>
      </c>
      <c r="E12" s="1">
        <v>45771</v>
      </c>
      <c r="F12" s="1">
        <v>45572</v>
      </c>
      <c r="G12" s="14" t="s">
        <v>38</v>
      </c>
      <c r="H12" s="14" t="s">
        <v>12</v>
      </c>
      <c r="I12">
        <v>91.91</v>
      </c>
      <c r="J12" s="14" t="s">
        <v>28</v>
      </c>
    </row>
    <row r="13" spans="1:10" x14ac:dyDescent="0.25">
      <c r="A13">
        <v>1041</v>
      </c>
      <c r="B13" s="14" t="s">
        <v>39</v>
      </c>
      <c r="C13">
        <v>68</v>
      </c>
      <c r="D13" s="14" t="s">
        <v>30</v>
      </c>
      <c r="E13" s="1">
        <v>46088</v>
      </c>
      <c r="F13" s="1">
        <v>45406</v>
      </c>
      <c r="G13" s="14" t="s">
        <v>40</v>
      </c>
      <c r="H13" s="14" t="s">
        <v>21</v>
      </c>
      <c r="I13">
        <v>82.88</v>
      </c>
      <c r="J13" s="14" t="s">
        <v>28</v>
      </c>
    </row>
    <row r="14" spans="1:10" x14ac:dyDescent="0.25">
      <c r="A14">
        <v>1057</v>
      </c>
      <c r="B14" s="14" t="s">
        <v>41</v>
      </c>
      <c r="C14">
        <v>61</v>
      </c>
      <c r="D14" s="14" t="s">
        <v>50</v>
      </c>
      <c r="E14" s="1">
        <v>45869</v>
      </c>
      <c r="F14" s="1">
        <v>45417</v>
      </c>
      <c r="G14" s="14" t="s">
        <v>42</v>
      </c>
      <c r="H14" s="14" t="s">
        <v>18</v>
      </c>
      <c r="I14">
        <v>277.14</v>
      </c>
      <c r="J14" s="14" t="s">
        <v>22</v>
      </c>
    </row>
    <row r="15" spans="1:10" x14ac:dyDescent="0.25">
      <c r="A15">
        <v>1022</v>
      </c>
      <c r="B15" s="14" t="s">
        <v>43</v>
      </c>
      <c r="C15">
        <v>70</v>
      </c>
      <c r="D15" s="14" t="s">
        <v>50</v>
      </c>
      <c r="E15" s="1">
        <v>45921</v>
      </c>
      <c r="F15" s="1">
        <v>45602</v>
      </c>
      <c r="G15" s="14" t="s">
        <v>44</v>
      </c>
      <c r="H15" s="14" t="s">
        <v>15</v>
      </c>
      <c r="I15">
        <v>411.01</v>
      </c>
      <c r="J15" s="14" t="s">
        <v>28</v>
      </c>
    </row>
    <row r="16" spans="1:10" x14ac:dyDescent="0.25">
      <c r="A16">
        <v>1046</v>
      </c>
      <c r="B16" s="14" t="s">
        <v>45</v>
      </c>
      <c r="C16">
        <v>36</v>
      </c>
      <c r="D16" s="14" t="s">
        <v>30</v>
      </c>
      <c r="E16" s="1">
        <v>46093</v>
      </c>
      <c r="F16" s="1">
        <v>45969</v>
      </c>
      <c r="G16" s="14" t="s">
        <v>46</v>
      </c>
      <c r="H16" s="14" t="s">
        <v>12</v>
      </c>
      <c r="I16">
        <v>67.510000000000005</v>
      </c>
      <c r="J16" s="14" t="s">
        <v>22</v>
      </c>
    </row>
    <row r="17" spans="1:10" x14ac:dyDescent="0.25">
      <c r="A17">
        <v>1025</v>
      </c>
      <c r="B17" s="14" t="s">
        <v>47</v>
      </c>
      <c r="C17">
        <v>23</v>
      </c>
      <c r="D17" s="14" t="s">
        <v>30</v>
      </c>
      <c r="E17" s="1">
        <v>46059</v>
      </c>
      <c r="F17" s="1">
        <v>45725</v>
      </c>
      <c r="G17" s="14" t="s">
        <v>48</v>
      </c>
      <c r="H17" s="14" t="s">
        <v>15</v>
      </c>
      <c r="I17">
        <v>163.99</v>
      </c>
      <c r="J17" s="14" t="s">
        <v>28</v>
      </c>
    </row>
    <row r="18" spans="1:10" x14ac:dyDescent="0.25">
      <c r="A18">
        <v>1027</v>
      </c>
      <c r="B18" s="14" t="s">
        <v>49</v>
      </c>
      <c r="C18">
        <v>72</v>
      </c>
      <c r="D18" s="14" t="s">
        <v>50</v>
      </c>
      <c r="E18" s="1">
        <v>45896</v>
      </c>
      <c r="F18" s="1">
        <v>45701</v>
      </c>
      <c r="G18" s="14" t="s">
        <v>51</v>
      </c>
      <c r="H18" s="14" t="s">
        <v>12</v>
      </c>
      <c r="I18">
        <v>252.38</v>
      </c>
      <c r="J18" s="14" t="s">
        <v>28</v>
      </c>
    </row>
    <row r="19" spans="1:10" x14ac:dyDescent="0.25">
      <c r="A19">
        <v>1059</v>
      </c>
      <c r="B19" s="14" t="s">
        <v>52</v>
      </c>
      <c r="C19">
        <v>66</v>
      </c>
      <c r="D19" s="14" t="s">
        <v>30</v>
      </c>
      <c r="E19" s="1">
        <v>45972</v>
      </c>
      <c r="F19" s="1">
        <v>45627</v>
      </c>
      <c r="G19" s="14" t="s">
        <v>53</v>
      </c>
      <c r="H19" s="14" t="s">
        <v>12</v>
      </c>
      <c r="I19">
        <v>153.07</v>
      </c>
      <c r="J19" s="14" t="s">
        <v>28</v>
      </c>
    </row>
    <row r="20" spans="1:10" x14ac:dyDescent="0.25">
      <c r="A20">
        <v>1086</v>
      </c>
      <c r="B20" s="14" t="s">
        <v>54</v>
      </c>
      <c r="C20">
        <v>81</v>
      </c>
      <c r="D20" s="14" t="s">
        <v>50</v>
      </c>
      <c r="E20" s="1">
        <v>45757</v>
      </c>
      <c r="F20" s="1">
        <v>45642</v>
      </c>
      <c r="G20" s="14" t="s">
        <v>55</v>
      </c>
      <c r="H20" s="14" t="s">
        <v>21</v>
      </c>
      <c r="I20">
        <v>329.3</v>
      </c>
      <c r="J20" s="14" t="s">
        <v>28</v>
      </c>
    </row>
    <row r="21" spans="1:10" x14ac:dyDescent="0.25">
      <c r="A21">
        <v>1033</v>
      </c>
      <c r="B21" s="14" t="s">
        <v>56</v>
      </c>
      <c r="C21">
        <v>76</v>
      </c>
      <c r="D21" s="14" t="s">
        <v>30</v>
      </c>
      <c r="E21" s="1">
        <v>45966</v>
      </c>
      <c r="F21" s="1">
        <v>45800</v>
      </c>
      <c r="G21" s="14" t="s">
        <v>57</v>
      </c>
      <c r="H21" s="14" t="s">
        <v>18</v>
      </c>
      <c r="I21">
        <v>135.44999999999999</v>
      </c>
      <c r="J21" s="14" t="s">
        <v>28</v>
      </c>
    </row>
    <row r="22" spans="1:10" x14ac:dyDescent="0.25">
      <c r="A22">
        <v>1069</v>
      </c>
      <c r="B22" s="14" t="s">
        <v>58</v>
      </c>
      <c r="C22">
        <v>90</v>
      </c>
      <c r="D22" s="14" t="s">
        <v>50</v>
      </c>
      <c r="E22" s="1">
        <v>45944</v>
      </c>
      <c r="F22" s="1">
        <v>45440</v>
      </c>
      <c r="G22" s="14" t="s">
        <v>59</v>
      </c>
      <c r="H22" s="14" t="s">
        <v>18</v>
      </c>
      <c r="I22">
        <v>72.73</v>
      </c>
      <c r="J22" s="14" t="s">
        <v>22</v>
      </c>
    </row>
    <row r="23" spans="1:10" x14ac:dyDescent="0.25">
      <c r="A23">
        <v>1097</v>
      </c>
      <c r="B23" s="14" t="s">
        <v>60</v>
      </c>
      <c r="C23">
        <v>56</v>
      </c>
      <c r="D23" s="14" t="s">
        <v>50</v>
      </c>
      <c r="E23" s="1">
        <v>45792</v>
      </c>
      <c r="F23" s="1">
        <v>45417</v>
      </c>
      <c r="G23" s="14" t="s">
        <v>61</v>
      </c>
      <c r="H23" s="14" t="s">
        <v>15</v>
      </c>
      <c r="I23">
        <v>258.64</v>
      </c>
      <c r="J23" s="14" t="s">
        <v>28</v>
      </c>
    </row>
    <row r="24" spans="1:10" x14ac:dyDescent="0.25">
      <c r="A24">
        <v>1064</v>
      </c>
      <c r="B24" s="14" t="s">
        <v>62</v>
      </c>
      <c r="C24">
        <v>88</v>
      </c>
      <c r="D24" s="14" t="s">
        <v>30</v>
      </c>
      <c r="E24" s="1">
        <v>46052</v>
      </c>
      <c r="F24" s="1">
        <v>45516</v>
      </c>
      <c r="G24" s="14" t="s">
        <v>63</v>
      </c>
      <c r="H24" s="14" t="s">
        <v>21</v>
      </c>
      <c r="I24">
        <v>203.61</v>
      </c>
      <c r="J24" s="14" t="s">
        <v>22</v>
      </c>
    </row>
    <row r="25" spans="1:10" x14ac:dyDescent="0.25">
      <c r="A25">
        <v>1089</v>
      </c>
      <c r="B25" s="14" t="s">
        <v>64</v>
      </c>
      <c r="C25">
        <v>32</v>
      </c>
      <c r="D25" s="14" t="s">
        <v>30</v>
      </c>
      <c r="E25" s="1">
        <v>45788</v>
      </c>
      <c r="F25" s="1">
        <v>45479</v>
      </c>
      <c r="G25" s="14" t="s">
        <v>65</v>
      </c>
      <c r="H25" s="14" t="s">
        <v>18</v>
      </c>
      <c r="I25">
        <v>236.22</v>
      </c>
      <c r="J25" s="14" t="s">
        <v>22</v>
      </c>
    </row>
    <row r="26" spans="1:10" x14ac:dyDescent="0.25">
      <c r="A26">
        <v>1086</v>
      </c>
      <c r="B26" s="14" t="s">
        <v>66</v>
      </c>
      <c r="C26">
        <v>34</v>
      </c>
      <c r="D26" s="14" t="s">
        <v>30</v>
      </c>
      <c r="E26" s="1">
        <v>45869</v>
      </c>
      <c r="F26" s="1">
        <v>45391</v>
      </c>
      <c r="G26" s="14" t="s">
        <v>67</v>
      </c>
      <c r="H26" s="14" t="s">
        <v>12</v>
      </c>
      <c r="I26">
        <v>292.23</v>
      </c>
      <c r="J26" s="14" t="s">
        <v>28</v>
      </c>
    </row>
    <row r="27" spans="1:10" x14ac:dyDescent="0.25">
      <c r="A27">
        <v>1073</v>
      </c>
      <c r="B27" s="14" t="s">
        <v>68</v>
      </c>
      <c r="C27">
        <v>88</v>
      </c>
      <c r="D27" s="14" t="s">
        <v>30</v>
      </c>
      <c r="E27" s="1">
        <v>45835</v>
      </c>
      <c r="F27" s="1">
        <v>45783</v>
      </c>
      <c r="G27" s="14" t="s">
        <v>69</v>
      </c>
      <c r="H27" s="14" t="s">
        <v>21</v>
      </c>
      <c r="I27">
        <v>51.72</v>
      </c>
      <c r="J27" s="14" t="s">
        <v>28</v>
      </c>
    </row>
    <row r="28" spans="1:10" x14ac:dyDescent="0.25">
      <c r="A28">
        <v>1093</v>
      </c>
      <c r="B28" s="14" t="s">
        <v>70</v>
      </c>
      <c r="C28">
        <v>20</v>
      </c>
      <c r="D28" s="14" t="s">
        <v>50</v>
      </c>
      <c r="E28" s="1">
        <v>46104</v>
      </c>
      <c r="F28" s="1">
        <v>45821</v>
      </c>
      <c r="G28" s="14" t="s">
        <v>71</v>
      </c>
      <c r="H28" s="14" t="s">
        <v>12</v>
      </c>
      <c r="I28">
        <v>218.84</v>
      </c>
      <c r="J28" s="14" t="s">
        <v>28</v>
      </c>
    </row>
    <row r="29" spans="1:10" x14ac:dyDescent="0.25">
      <c r="A29">
        <v>1084</v>
      </c>
      <c r="B29" s="14" t="s">
        <v>72</v>
      </c>
      <c r="C29">
        <v>86</v>
      </c>
      <c r="D29" s="14" t="s">
        <v>50</v>
      </c>
      <c r="E29" s="1">
        <v>46089</v>
      </c>
      <c r="F29" s="1">
        <v>45482</v>
      </c>
      <c r="G29" s="14" t="s">
        <v>73</v>
      </c>
      <c r="H29" s="14" t="s">
        <v>18</v>
      </c>
      <c r="I29">
        <v>160.38</v>
      </c>
      <c r="J29" s="14" t="s">
        <v>28</v>
      </c>
    </row>
    <row r="30" spans="1:10" x14ac:dyDescent="0.25">
      <c r="A30">
        <v>1002</v>
      </c>
      <c r="B30" s="14" t="s">
        <v>74</v>
      </c>
      <c r="C30">
        <v>42</v>
      </c>
      <c r="D30" s="14" t="s">
        <v>50</v>
      </c>
      <c r="E30" s="1">
        <v>45944</v>
      </c>
      <c r="F30" s="1">
        <v>45600</v>
      </c>
      <c r="G30" s="14" t="s">
        <v>75</v>
      </c>
      <c r="H30" s="14" t="s">
        <v>18</v>
      </c>
      <c r="I30">
        <v>342.38</v>
      </c>
      <c r="J30" s="14" t="s">
        <v>22</v>
      </c>
    </row>
    <row r="31" spans="1:10" x14ac:dyDescent="0.25">
      <c r="A31">
        <v>1030</v>
      </c>
      <c r="B31" s="14" t="s">
        <v>76</v>
      </c>
      <c r="C31">
        <v>18</v>
      </c>
      <c r="D31" s="14" t="s">
        <v>50</v>
      </c>
      <c r="E31" s="1">
        <v>45911</v>
      </c>
      <c r="F31" s="1">
        <v>45570</v>
      </c>
      <c r="G31" s="14" t="s">
        <v>77</v>
      </c>
      <c r="H31" s="14" t="s">
        <v>15</v>
      </c>
      <c r="I31">
        <v>208.91</v>
      </c>
      <c r="J31" s="14" t="s">
        <v>22</v>
      </c>
    </row>
    <row r="32" spans="1:10" x14ac:dyDescent="0.25">
      <c r="A32">
        <v>1043</v>
      </c>
      <c r="B32" s="14" t="s">
        <v>78</v>
      </c>
      <c r="C32">
        <v>82</v>
      </c>
      <c r="D32" s="14" t="s">
        <v>30</v>
      </c>
      <c r="E32" s="1">
        <v>46006</v>
      </c>
      <c r="F32" s="1">
        <v>45859</v>
      </c>
      <c r="G32" s="14" t="s">
        <v>79</v>
      </c>
      <c r="H32" s="14" t="s">
        <v>21</v>
      </c>
      <c r="I32">
        <v>426.86</v>
      </c>
      <c r="J32" s="14" t="s">
        <v>22</v>
      </c>
    </row>
    <row r="33" spans="1:10" x14ac:dyDescent="0.25">
      <c r="A33">
        <v>1056</v>
      </c>
      <c r="B33" s="14" t="s">
        <v>80</v>
      </c>
      <c r="C33">
        <v>67</v>
      </c>
      <c r="D33" s="14" t="s">
        <v>30</v>
      </c>
      <c r="E33" s="1">
        <v>45913</v>
      </c>
      <c r="F33" s="1">
        <v>45664</v>
      </c>
      <c r="G33" s="14" t="s">
        <v>81</v>
      </c>
      <c r="H33" s="14" t="s">
        <v>15</v>
      </c>
      <c r="I33">
        <v>215.31</v>
      </c>
      <c r="J33" s="14" t="s">
        <v>28</v>
      </c>
    </row>
    <row r="34" spans="1:10" x14ac:dyDescent="0.25">
      <c r="A34">
        <v>1094</v>
      </c>
      <c r="B34" s="14" t="s">
        <v>82</v>
      </c>
      <c r="C34">
        <v>32</v>
      </c>
      <c r="D34" s="14" t="s">
        <v>50</v>
      </c>
      <c r="E34" s="1">
        <v>46090</v>
      </c>
      <c r="F34" s="1">
        <v>45610</v>
      </c>
      <c r="G34" s="14" t="s">
        <v>83</v>
      </c>
      <c r="H34" s="14" t="s">
        <v>21</v>
      </c>
      <c r="I34">
        <v>413.53</v>
      </c>
      <c r="J34" s="14" t="s">
        <v>22</v>
      </c>
    </row>
    <row r="35" spans="1:10" x14ac:dyDescent="0.25">
      <c r="A35">
        <v>1041</v>
      </c>
      <c r="B35" s="14" t="s">
        <v>84</v>
      </c>
      <c r="C35">
        <v>20</v>
      </c>
      <c r="D35" s="14" t="s">
        <v>50</v>
      </c>
      <c r="E35" s="1">
        <v>45784</v>
      </c>
      <c r="F35" s="1">
        <v>45676</v>
      </c>
      <c r="G35" s="14" t="s">
        <v>85</v>
      </c>
      <c r="H35" s="14" t="s">
        <v>18</v>
      </c>
      <c r="J35" s="14" t="s">
        <v>28</v>
      </c>
    </row>
    <row r="36" spans="1:10" x14ac:dyDescent="0.25">
      <c r="A36">
        <v>1071</v>
      </c>
      <c r="B36" s="14" t="s">
        <v>86</v>
      </c>
      <c r="C36">
        <v>46</v>
      </c>
      <c r="D36" s="14" t="s">
        <v>30</v>
      </c>
      <c r="E36" s="1">
        <v>46032</v>
      </c>
      <c r="F36" s="1">
        <v>45597</v>
      </c>
      <c r="G36" s="14" t="s">
        <v>87</v>
      </c>
      <c r="H36" s="14" t="s">
        <v>21</v>
      </c>
      <c r="I36">
        <v>396.22</v>
      </c>
      <c r="J36" s="14" t="s">
        <v>22</v>
      </c>
    </row>
    <row r="37" spans="1:10" x14ac:dyDescent="0.25">
      <c r="A37">
        <v>1051</v>
      </c>
      <c r="B37" s="14" t="s">
        <v>88</v>
      </c>
      <c r="C37">
        <v>26</v>
      </c>
      <c r="D37" s="14" t="s">
        <v>50</v>
      </c>
      <c r="E37" s="1">
        <v>45815</v>
      </c>
      <c r="F37" s="1">
        <v>45635</v>
      </c>
      <c r="G37" s="14" t="s">
        <v>89</v>
      </c>
      <c r="H37" s="14" t="s">
        <v>15</v>
      </c>
      <c r="I37">
        <v>340.25</v>
      </c>
      <c r="J37" s="14" t="s">
        <v>28</v>
      </c>
    </row>
    <row r="38" spans="1:10" x14ac:dyDescent="0.25">
      <c r="A38">
        <v>1003</v>
      </c>
      <c r="B38" s="14" t="s">
        <v>90</v>
      </c>
      <c r="C38">
        <v>19</v>
      </c>
      <c r="D38" s="14" t="s">
        <v>24</v>
      </c>
      <c r="E38" s="1">
        <v>45946</v>
      </c>
      <c r="F38" s="1">
        <v>45921</v>
      </c>
      <c r="G38" s="14" t="s">
        <v>91</v>
      </c>
      <c r="H38" s="14" t="s">
        <v>18</v>
      </c>
      <c r="I38">
        <v>481.44</v>
      </c>
      <c r="J38" s="14" t="s">
        <v>22</v>
      </c>
    </row>
    <row r="39" spans="1:10" x14ac:dyDescent="0.25">
      <c r="A39">
        <v>1053</v>
      </c>
      <c r="B39" s="14" t="s">
        <v>92</v>
      </c>
      <c r="C39">
        <v>37</v>
      </c>
      <c r="D39" s="14" t="s">
        <v>50</v>
      </c>
      <c r="E39" s="1">
        <v>45915</v>
      </c>
      <c r="F39" s="1">
        <v>45421</v>
      </c>
      <c r="G39" s="14" t="s">
        <v>93</v>
      </c>
      <c r="H39" s="14" t="s">
        <v>15</v>
      </c>
      <c r="I39">
        <v>442.77</v>
      </c>
      <c r="J39" s="14" t="s">
        <v>22</v>
      </c>
    </row>
    <row r="40" spans="1:10" x14ac:dyDescent="0.25">
      <c r="A40">
        <v>1052</v>
      </c>
      <c r="B40" s="14" t="s">
        <v>94</v>
      </c>
      <c r="C40">
        <v>84</v>
      </c>
      <c r="D40" s="14" t="s">
        <v>30</v>
      </c>
      <c r="E40" s="1">
        <v>45908</v>
      </c>
      <c r="F40" s="1">
        <v>45793</v>
      </c>
      <c r="G40" s="14" t="s">
        <v>95</v>
      </c>
      <c r="H40" s="14" t="s">
        <v>15</v>
      </c>
      <c r="I40">
        <v>175.63</v>
      </c>
      <c r="J40" s="14" t="s">
        <v>22</v>
      </c>
    </row>
    <row r="41" spans="1:10" x14ac:dyDescent="0.25">
      <c r="A41">
        <v>1018</v>
      </c>
      <c r="B41" s="14" t="s">
        <v>96</v>
      </c>
      <c r="C41">
        <v>55</v>
      </c>
      <c r="D41" s="14" t="s">
        <v>30</v>
      </c>
      <c r="E41" s="1">
        <v>46082</v>
      </c>
      <c r="F41" s="1">
        <v>45446</v>
      </c>
      <c r="G41" s="14" t="s">
        <v>97</v>
      </c>
      <c r="H41" s="14" t="s">
        <v>18</v>
      </c>
      <c r="I41">
        <v>320.66000000000003</v>
      </c>
      <c r="J41" s="14" t="s">
        <v>22</v>
      </c>
    </row>
    <row r="42" spans="1:10" x14ac:dyDescent="0.25">
      <c r="A42">
        <v>1001</v>
      </c>
      <c r="B42" s="14" t="s">
        <v>98</v>
      </c>
      <c r="C42">
        <v>50</v>
      </c>
      <c r="D42" s="14" t="s">
        <v>50</v>
      </c>
      <c r="E42" s="1">
        <v>45886</v>
      </c>
      <c r="F42" s="1">
        <v>45558</v>
      </c>
      <c r="G42" s="14" t="s">
        <v>99</v>
      </c>
      <c r="H42" s="14" t="s">
        <v>15</v>
      </c>
      <c r="I42">
        <v>268.14</v>
      </c>
      <c r="J42" s="14" t="s">
        <v>28</v>
      </c>
    </row>
    <row r="43" spans="1:10" x14ac:dyDescent="0.25">
      <c r="A43">
        <v>1060</v>
      </c>
      <c r="B43" s="14" t="s">
        <v>100</v>
      </c>
      <c r="C43">
        <v>61</v>
      </c>
      <c r="D43" s="14" t="s">
        <v>50</v>
      </c>
      <c r="E43" s="1">
        <v>45980</v>
      </c>
      <c r="F43" s="1">
        <v>45410</v>
      </c>
      <c r="G43" s="14" t="s">
        <v>101</v>
      </c>
      <c r="H43" s="14" t="s">
        <v>21</v>
      </c>
      <c r="I43">
        <v>499.75</v>
      </c>
      <c r="J43" s="14" t="s">
        <v>28</v>
      </c>
    </row>
    <row r="44" spans="1:10" x14ac:dyDescent="0.25">
      <c r="A44">
        <v>1055</v>
      </c>
      <c r="B44" s="14" t="s">
        <v>102</v>
      </c>
      <c r="C44">
        <v>35</v>
      </c>
      <c r="D44" s="14" t="s">
        <v>50</v>
      </c>
      <c r="E44" s="1">
        <v>45801</v>
      </c>
      <c r="F44" s="1">
        <v>45491</v>
      </c>
      <c r="G44" s="14" t="s">
        <v>103</v>
      </c>
      <c r="H44" s="14" t="s">
        <v>15</v>
      </c>
      <c r="I44">
        <v>452.11</v>
      </c>
      <c r="J44" s="14" t="s">
        <v>28</v>
      </c>
    </row>
    <row r="45" spans="1:10" x14ac:dyDescent="0.25">
      <c r="A45">
        <v>1063</v>
      </c>
      <c r="B45" s="14" t="s">
        <v>104</v>
      </c>
      <c r="C45">
        <v>29</v>
      </c>
      <c r="D45" s="14" t="s">
        <v>24</v>
      </c>
      <c r="E45" s="1">
        <v>45916</v>
      </c>
      <c r="F45" s="1">
        <v>45776</v>
      </c>
      <c r="G45" s="14" t="s">
        <v>105</v>
      </c>
      <c r="H45" s="14" t="s">
        <v>15</v>
      </c>
      <c r="I45">
        <v>479.77</v>
      </c>
      <c r="J45" s="14" t="s">
        <v>22</v>
      </c>
    </row>
    <row r="46" spans="1:10" x14ac:dyDescent="0.25">
      <c r="A46">
        <v>1069</v>
      </c>
      <c r="B46" s="14" t="s">
        <v>106</v>
      </c>
      <c r="C46">
        <v>72</v>
      </c>
      <c r="D46" s="14" t="s">
        <v>30</v>
      </c>
      <c r="E46" s="1">
        <v>45880</v>
      </c>
      <c r="F46" s="1">
        <v>45383</v>
      </c>
      <c r="G46" s="14" t="s">
        <v>107</v>
      </c>
      <c r="H46" s="14" t="s">
        <v>18</v>
      </c>
      <c r="I46">
        <v>213.35</v>
      </c>
      <c r="J46" s="14" t="s">
        <v>28</v>
      </c>
    </row>
    <row r="47" spans="1:10" x14ac:dyDescent="0.25">
      <c r="A47">
        <v>1095</v>
      </c>
      <c r="B47" s="14" t="s">
        <v>108</v>
      </c>
      <c r="C47">
        <v>29</v>
      </c>
      <c r="D47" s="14" t="s">
        <v>30</v>
      </c>
      <c r="E47" s="1">
        <v>45891</v>
      </c>
      <c r="F47" s="1">
        <v>45772</v>
      </c>
      <c r="G47" s="14" t="s">
        <v>109</v>
      </c>
      <c r="H47" s="14" t="s">
        <v>18</v>
      </c>
      <c r="I47">
        <v>120.34</v>
      </c>
      <c r="J47" s="14" t="s">
        <v>28</v>
      </c>
    </row>
    <row r="48" spans="1:10" x14ac:dyDescent="0.25">
      <c r="A48">
        <v>1005</v>
      </c>
      <c r="B48" s="14" t="s">
        <v>110</v>
      </c>
      <c r="C48">
        <v>49</v>
      </c>
      <c r="D48" s="14" t="s">
        <v>50</v>
      </c>
      <c r="E48" s="1">
        <v>45820</v>
      </c>
      <c r="F48" s="1">
        <v>45515</v>
      </c>
      <c r="G48" s="14" t="s">
        <v>111</v>
      </c>
      <c r="H48" s="14" t="s">
        <v>12</v>
      </c>
      <c r="I48">
        <v>135.43</v>
      </c>
      <c r="J48" s="14" t="s">
        <v>22</v>
      </c>
    </row>
    <row r="49" spans="1:10" x14ac:dyDescent="0.25">
      <c r="A49">
        <v>1001</v>
      </c>
      <c r="B49" s="14" t="s">
        <v>112</v>
      </c>
      <c r="C49">
        <v>64</v>
      </c>
      <c r="D49" s="14" t="s">
        <v>30</v>
      </c>
      <c r="E49" s="1">
        <v>45867</v>
      </c>
      <c r="F49" s="1">
        <v>45451</v>
      </c>
      <c r="G49" s="14" t="s">
        <v>1990</v>
      </c>
      <c r="H49" s="14" t="s">
        <v>15</v>
      </c>
      <c r="I49">
        <v>214.44</v>
      </c>
      <c r="J49" s="14" t="s">
        <v>22</v>
      </c>
    </row>
    <row r="50" spans="1:10" x14ac:dyDescent="0.25">
      <c r="A50">
        <v>1024</v>
      </c>
      <c r="B50" s="14" t="s">
        <v>113</v>
      </c>
      <c r="C50">
        <v>34</v>
      </c>
      <c r="D50" s="14" t="s">
        <v>30</v>
      </c>
      <c r="E50" s="1">
        <v>45931</v>
      </c>
      <c r="F50" s="1">
        <v>45578</v>
      </c>
      <c r="G50" s="14" t="s">
        <v>114</v>
      </c>
      <c r="H50" s="14" t="s">
        <v>15</v>
      </c>
      <c r="I50">
        <v>376.08</v>
      </c>
      <c r="J50" s="14" t="s">
        <v>22</v>
      </c>
    </row>
    <row r="51" spans="1:10" x14ac:dyDescent="0.25">
      <c r="A51">
        <v>1016</v>
      </c>
      <c r="B51" s="14" t="s">
        <v>115</v>
      </c>
      <c r="C51">
        <v>35</v>
      </c>
      <c r="D51" s="14" t="s">
        <v>30</v>
      </c>
      <c r="E51" s="1">
        <v>46021</v>
      </c>
      <c r="F51" s="1">
        <v>45747</v>
      </c>
      <c r="G51" s="14" t="s">
        <v>1991</v>
      </c>
      <c r="H51" s="14" t="s">
        <v>15</v>
      </c>
      <c r="I51">
        <v>343.51</v>
      </c>
      <c r="J51" s="14" t="s">
        <v>28</v>
      </c>
    </row>
    <row r="52" spans="1:10" x14ac:dyDescent="0.25">
      <c r="A52">
        <v>1040</v>
      </c>
      <c r="B52" s="14" t="s">
        <v>116</v>
      </c>
      <c r="C52">
        <v>26</v>
      </c>
      <c r="D52" s="14" t="s">
        <v>50</v>
      </c>
      <c r="E52" s="1">
        <v>45883</v>
      </c>
      <c r="F52" s="1">
        <v>45446</v>
      </c>
      <c r="G52" s="14" t="s">
        <v>117</v>
      </c>
      <c r="H52" s="14" t="s">
        <v>12</v>
      </c>
      <c r="I52">
        <v>185.66</v>
      </c>
      <c r="J52" s="14" t="s">
        <v>28</v>
      </c>
    </row>
    <row r="53" spans="1:10" x14ac:dyDescent="0.25">
      <c r="A53">
        <v>1042</v>
      </c>
      <c r="B53" s="14" t="s">
        <v>118</v>
      </c>
      <c r="C53">
        <v>30</v>
      </c>
      <c r="D53" s="14" t="s">
        <v>50</v>
      </c>
      <c r="E53" s="1">
        <v>45996</v>
      </c>
      <c r="F53" s="1">
        <v>45538</v>
      </c>
      <c r="G53" s="14" t="s">
        <v>119</v>
      </c>
      <c r="H53" s="14" t="s">
        <v>18</v>
      </c>
      <c r="I53">
        <v>200.01</v>
      </c>
      <c r="J53" s="14" t="s">
        <v>28</v>
      </c>
    </row>
    <row r="54" spans="1:10" x14ac:dyDescent="0.25">
      <c r="A54">
        <v>1015</v>
      </c>
      <c r="B54" s="14" t="s">
        <v>120</v>
      </c>
      <c r="C54">
        <v>66</v>
      </c>
      <c r="D54" s="14" t="s">
        <v>50</v>
      </c>
      <c r="E54" s="1">
        <v>46050</v>
      </c>
      <c r="F54" s="1">
        <v>45783</v>
      </c>
      <c r="G54" s="14" t="s">
        <v>121</v>
      </c>
      <c r="H54" s="14" t="s">
        <v>18</v>
      </c>
      <c r="I54">
        <v>367.06</v>
      </c>
      <c r="J54" s="14" t="s">
        <v>22</v>
      </c>
    </row>
    <row r="55" spans="1:10" x14ac:dyDescent="0.25">
      <c r="A55">
        <v>1053</v>
      </c>
      <c r="B55" s="14" t="s">
        <v>122</v>
      </c>
      <c r="C55">
        <v>49</v>
      </c>
      <c r="D55" s="14" t="s">
        <v>50</v>
      </c>
      <c r="E55" s="1">
        <v>45875</v>
      </c>
      <c r="F55" s="1">
        <v>45739</v>
      </c>
      <c r="G55" s="14" t="s">
        <v>123</v>
      </c>
      <c r="H55" s="14" t="s">
        <v>18</v>
      </c>
      <c r="I55">
        <v>393.4</v>
      </c>
      <c r="J55" s="14" t="s">
        <v>28</v>
      </c>
    </row>
    <row r="56" spans="1:10" x14ac:dyDescent="0.25">
      <c r="A56">
        <v>1063</v>
      </c>
      <c r="B56" s="14" t="s">
        <v>124</v>
      </c>
      <c r="C56">
        <v>62</v>
      </c>
      <c r="D56" s="14" t="s">
        <v>30</v>
      </c>
      <c r="E56" s="1">
        <v>46032</v>
      </c>
      <c r="F56" s="1">
        <v>45637</v>
      </c>
      <c r="G56" s="14" t="s">
        <v>125</v>
      </c>
      <c r="H56" s="14" t="s">
        <v>18</v>
      </c>
      <c r="I56">
        <v>387.4</v>
      </c>
      <c r="J56" s="14" t="s">
        <v>22</v>
      </c>
    </row>
    <row r="57" spans="1:10" x14ac:dyDescent="0.25">
      <c r="A57">
        <v>1068</v>
      </c>
      <c r="B57" s="14" t="s">
        <v>126</v>
      </c>
      <c r="C57">
        <v>63</v>
      </c>
      <c r="D57" s="14" t="s">
        <v>30</v>
      </c>
      <c r="E57" s="1">
        <v>45970</v>
      </c>
      <c r="F57" s="1">
        <v>45910</v>
      </c>
      <c r="G57" s="14" t="s">
        <v>127</v>
      </c>
      <c r="H57" s="14" t="s">
        <v>15</v>
      </c>
      <c r="I57">
        <v>169.25</v>
      </c>
      <c r="J57" s="14" t="s">
        <v>28</v>
      </c>
    </row>
    <row r="58" spans="1:10" x14ac:dyDescent="0.25">
      <c r="A58">
        <v>1006</v>
      </c>
      <c r="B58" s="14" t="s">
        <v>128</v>
      </c>
      <c r="C58">
        <v>48</v>
      </c>
      <c r="D58" s="14" t="s">
        <v>30</v>
      </c>
      <c r="E58" s="1">
        <v>45847</v>
      </c>
      <c r="F58" s="1">
        <v>45750</v>
      </c>
      <c r="G58" s="14" t="s">
        <v>129</v>
      </c>
      <c r="H58" s="14" t="s">
        <v>18</v>
      </c>
      <c r="I58">
        <v>274.81</v>
      </c>
      <c r="J58" s="14" t="s">
        <v>28</v>
      </c>
    </row>
    <row r="59" spans="1:10" x14ac:dyDescent="0.25">
      <c r="A59">
        <v>1047</v>
      </c>
      <c r="B59" s="14" t="s">
        <v>130</v>
      </c>
      <c r="C59">
        <v>87</v>
      </c>
      <c r="D59" s="14" t="s">
        <v>50</v>
      </c>
      <c r="E59" s="1">
        <v>45874</v>
      </c>
      <c r="F59" s="1">
        <v>45691</v>
      </c>
      <c r="G59" s="14" t="s">
        <v>131</v>
      </c>
      <c r="H59" s="14" t="s">
        <v>15</v>
      </c>
      <c r="I59">
        <v>68.81</v>
      </c>
      <c r="J59" s="14" t="s">
        <v>28</v>
      </c>
    </row>
    <row r="60" spans="1:10" x14ac:dyDescent="0.25">
      <c r="A60">
        <v>1095</v>
      </c>
      <c r="B60" s="14" t="s">
        <v>132</v>
      </c>
      <c r="C60">
        <v>58</v>
      </c>
      <c r="D60" s="14" t="s">
        <v>30</v>
      </c>
      <c r="E60" s="1">
        <v>45812</v>
      </c>
      <c r="F60" s="1">
        <v>45683</v>
      </c>
      <c r="G60" s="14" t="s">
        <v>133</v>
      </c>
      <c r="H60" s="14" t="s">
        <v>18</v>
      </c>
      <c r="I60">
        <v>365.13</v>
      </c>
      <c r="J60" s="14" t="s">
        <v>22</v>
      </c>
    </row>
    <row r="61" spans="1:10" x14ac:dyDescent="0.25">
      <c r="A61">
        <v>1009</v>
      </c>
      <c r="B61" s="14" t="s">
        <v>134</v>
      </c>
      <c r="C61">
        <v>63</v>
      </c>
      <c r="D61" s="14" t="s">
        <v>50</v>
      </c>
      <c r="E61" s="1">
        <v>45877</v>
      </c>
      <c r="F61" s="1">
        <v>45801</v>
      </c>
      <c r="G61" s="14" t="s">
        <v>135</v>
      </c>
      <c r="H61" s="14" t="s">
        <v>21</v>
      </c>
      <c r="I61">
        <v>466.97</v>
      </c>
      <c r="J61" s="14" t="s">
        <v>28</v>
      </c>
    </row>
    <row r="62" spans="1:10" x14ac:dyDescent="0.25">
      <c r="A62">
        <v>1078</v>
      </c>
      <c r="B62" s="14" t="s">
        <v>136</v>
      </c>
      <c r="C62">
        <v>54</v>
      </c>
      <c r="D62" s="14" t="s">
        <v>30</v>
      </c>
      <c r="E62" s="1">
        <v>46000</v>
      </c>
      <c r="F62" s="1">
        <v>45850</v>
      </c>
      <c r="G62" s="14" t="s">
        <v>137</v>
      </c>
      <c r="H62" s="14" t="s">
        <v>21</v>
      </c>
      <c r="I62">
        <v>484.52</v>
      </c>
      <c r="J62" s="14" t="s">
        <v>22</v>
      </c>
    </row>
    <row r="63" spans="1:10" x14ac:dyDescent="0.25">
      <c r="A63">
        <v>1019</v>
      </c>
      <c r="B63" s="14" t="s">
        <v>138</v>
      </c>
      <c r="C63">
        <v>35</v>
      </c>
      <c r="D63" s="14" t="s">
        <v>30</v>
      </c>
      <c r="E63" s="1">
        <v>45985</v>
      </c>
      <c r="F63" s="1">
        <v>45601</v>
      </c>
      <c r="G63" s="14" t="s">
        <v>139</v>
      </c>
      <c r="H63" s="14" t="s">
        <v>15</v>
      </c>
      <c r="I63">
        <v>114.45</v>
      </c>
      <c r="J63" s="14" t="s">
        <v>28</v>
      </c>
    </row>
    <row r="64" spans="1:10" x14ac:dyDescent="0.25">
      <c r="A64">
        <v>1021</v>
      </c>
      <c r="B64" s="14" t="s">
        <v>140</v>
      </c>
      <c r="C64">
        <v>39</v>
      </c>
      <c r="D64" s="14" t="s">
        <v>50</v>
      </c>
      <c r="E64" s="1">
        <v>45836</v>
      </c>
      <c r="F64" s="1">
        <v>45378</v>
      </c>
      <c r="G64" s="14" t="s">
        <v>141</v>
      </c>
      <c r="H64" s="14" t="s">
        <v>21</v>
      </c>
      <c r="I64">
        <v>195.21</v>
      </c>
      <c r="J64" s="14" t="s">
        <v>28</v>
      </c>
    </row>
    <row r="65" spans="1:10" x14ac:dyDescent="0.25">
      <c r="A65">
        <v>1018</v>
      </c>
      <c r="B65" s="14" t="s">
        <v>142</v>
      </c>
      <c r="C65">
        <v>78</v>
      </c>
      <c r="D65" s="14" t="s">
        <v>50</v>
      </c>
      <c r="E65" s="1">
        <v>45869</v>
      </c>
      <c r="F65" s="1">
        <v>45832</v>
      </c>
      <c r="G65" s="14" t="s">
        <v>143</v>
      </c>
      <c r="H65" s="14" t="s">
        <v>21</v>
      </c>
      <c r="I65">
        <v>149.80000000000001</v>
      </c>
      <c r="J65" s="14" t="s">
        <v>28</v>
      </c>
    </row>
    <row r="66" spans="1:10" x14ac:dyDescent="0.25">
      <c r="A66">
        <v>1077</v>
      </c>
      <c r="B66" s="14" t="s">
        <v>144</v>
      </c>
      <c r="C66">
        <v>34</v>
      </c>
      <c r="D66" s="14" t="s">
        <v>24</v>
      </c>
      <c r="E66" s="1">
        <v>45837</v>
      </c>
      <c r="F66" s="1">
        <v>45630</v>
      </c>
      <c r="G66" s="14" t="s">
        <v>145</v>
      </c>
      <c r="H66" s="14" t="s">
        <v>18</v>
      </c>
      <c r="I66">
        <v>270.33</v>
      </c>
      <c r="J66" s="14" t="s">
        <v>22</v>
      </c>
    </row>
    <row r="67" spans="1:10" x14ac:dyDescent="0.25">
      <c r="A67">
        <v>1063</v>
      </c>
      <c r="B67" s="14" t="s">
        <v>146</v>
      </c>
      <c r="C67">
        <v>21</v>
      </c>
      <c r="D67" s="14" t="s">
        <v>50</v>
      </c>
      <c r="E67" s="1">
        <v>45973</v>
      </c>
      <c r="F67" s="1">
        <v>45838</v>
      </c>
      <c r="G67" s="14" t="s">
        <v>147</v>
      </c>
      <c r="H67" s="14" t="s">
        <v>18</v>
      </c>
      <c r="I67">
        <v>186.24</v>
      </c>
      <c r="J67" s="14" t="s">
        <v>28</v>
      </c>
    </row>
    <row r="68" spans="1:10" x14ac:dyDescent="0.25">
      <c r="A68">
        <v>1015</v>
      </c>
      <c r="B68" s="14" t="s">
        <v>148</v>
      </c>
      <c r="C68">
        <v>37</v>
      </c>
      <c r="D68" s="14" t="s">
        <v>30</v>
      </c>
      <c r="E68" s="1">
        <v>45857</v>
      </c>
      <c r="F68" s="1">
        <v>45453</v>
      </c>
      <c r="G68" s="14" t="s">
        <v>149</v>
      </c>
      <c r="H68" s="14" t="s">
        <v>15</v>
      </c>
      <c r="I68">
        <v>425.63</v>
      </c>
      <c r="J68" s="14" t="s">
        <v>22</v>
      </c>
    </row>
    <row r="69" spans="1:10" x14ac:dyDescent="0.25">
      <c r="A69">
        <v>1068</v>
      </c>
      <c r="B69" s="14" t="s">
        <v>150</v>
      </c>
      <c r="C69">
        <v>60</v>
      </c>
      <c r="D69" s="14" t="s">
        <v>50</v>
      </c>
      <c r="E69" s="1">
        <v>46072</v>
      </c>
      <c r="F69" s="1">
        <v>45609</v>
      </c>
      <c r="G69" s="14" t="s">
        <v>151</v>
      </c>
      <c r="H69" s="14" t="s">
        <v>18</v>
      </c>
      <c r="I69">
        <v>91.77</v>
      </c>
      <c r="J69" s="14" t="s">
        <v>28</v>
      </c>
    </row>
    <row r="70" spans="1:10" x14ac:dyDescent="0.25">
      <c r="A70">
        <v>1010</v>
      </c>
      <c r="B70" s="14" t="s">
        <v>152</v>
      </c>
      <c r="C70">
        <v>38</v>
      </c>
      <c r="D70" s="14" t="s">
        <v>30</v>
      </c>
      <c r="E70" s="1">
        <v>46064</v>
      </c>
      <c r="F70" s="1">
        <v>45928</v>
      </c>
      <c r="G70" s="14" t="s">
        <v>153</v>
      </c>
      <c r="H70" s="14" t="s">
        <v>15</v>
      </c>
      <c r="I70">
        <v>91.27</v>
      </c>
      <c r="J70" s="14" t="s">
        <v>22</v>
      </c>
    </row>
    <row r="71" spans="1:10" x14ac:dyDescent="0.25">
      <c r="A71">
        <v>1034</v>
      </c>
      <c r="B71" s="14" t="s">
        <v>154</v>
      </c>
      <c r="C71">
        <v>68</v>
      </c>
      <c r="D71" s="14" t="s">
        <v>50</v>
      </c>
      <c r="E71" s="1">
        <v>45843</v>
      </c>
      <c r="F71" s="1">
        <v>45680</v>
      </c>
      <c r="G71" s="14" t="s">
        <v>155</v>
      </c>
      <c r="H71" s="14" t="s">
        <v>18</v>
      </c>
      <c r="I71">
        <v>453.06</v>
      </c>
      <c r="J71" s="14" t="s">
        <v>22</v>
      </c>
    </row>
    <row r="72" spans="1:10" x14ac:dyDescent="0.25">
      <c r="A72">
        <v>1095</v>
      </c>
      <c r="B72" s="14" t="s">
        <v>156</v>
      </c>
      <c r="C72">
        <v>86</v>
      </c>
      <c r="D72" s="14" t="s">
        <v>24</v>
      </c>
      <c r="E72" s="1">
        <v>45833</v>
      </c>
      <c r="F72" s="1">
        <v>45406</v>
      </c>
      <c r="G72" s="14" t="s">
        <v>157</v>
      </c>
      <c r="H72" s="14" t="s">
        <v>12</v>
      </c>
      <c r="I72">
        <v>61.37</v>
      </c>
      <c r="J72" s="14" t="s">
        <v>28</v>
      </c>
    </row>
    <row r="73" spans="1:10" x14ac:dyDescent="0.25">
      <c r="A73">
        <v>1070</v>
      </c>
      <c r="B73" s="14" t="s">
        <v>158</v>
      </c>
      <c r="C73">
        <v>85</v>
      </c>
      <c r="D73" s="14" t="s">
        <v>50</v>
      </c>
      <c r="E73" s="1">
        <v>45910</v>
      </c>
      <c r="F73" s="1">
        <v>45524</v>
      </c>
      <c r="G73" s="14" t="s">
        <v>159</v>
      </c>
      <c r="H73" s="14" t="s">
        <v>18</v>
      </c>
      <c r="I73">
        <v>185.52</v>
      </c>
      <c r="J73" s="14" t="s">
        <v>22</v>
      </c>
    </row>
    <row r="74" spans="1:10" x14ac:dyDescent="0.25">
      <c r="A74">
        <v>1099</v>
      </c>
      <c r="B74" s="14" t="s">
        <v>160</v>
      </c>
      <c r="C74">
        <v>28</v>
      </c>
      <c r="D74" s="14" t="s">
        <v>30</v>
      </c>
      <c r="E74" s="1">
        <v>45859</v>
      </c>
      <c r="F74" s="1">
        <v>45852</v>
      </c>
      <c r="G74" s="14" t="s">
        <v>161</v>
      </c>
      <c r="H74" s="14" t="s">
        <v>18</v>
      </c>
      <c r="I74">
        <v>112.48</v>
      </c>
      <c r="J74" s="14" t="s">
        <v>28</v>
      </c>
    </row>
    <row r="75" spans="1:10" x14ac:dyDescent="0.25">
      <c r="A75">
        <v>1022</v>
      </c>
      <c r="B75" s="14" t="s">
        <v>162</v>
      </c>
      <c r="C75">
        <v>23</v>
      </c>
      <c r="D75" s="14" t="s">
        <v>30</v>
      </c>
      <c r="E75" s="1">
        <v>46072</v>
      </c>
      <c r="F75" s="1">
        <v>45551</v>
      </c>
      <c r="G75" s="14" t="s">
        <v>163</v>
      </c>
      <c r="H75" s="14" t="s">
        <v>15</v>
      </c>
      <c r="I75">
        <v>382.34</v>
      </c>
      <c r="J75" s="14" t="s">
        <v>28</v>
      </c>
    </row>
    <row r="76" spans="1:10" x14ac:dyDescent="0.25">
      <c r="A76">
        <v>1095</v>
      </c>
      <c r="B76" s="14" t="s">
        <v>164</v>
      </c>
      <c r="C76">
        <v>86</v>
      </c>
      <c r="D76" s="14" t="s">
        <v>30</v>
      </c>
      <c r="E76" s="1">
        <v>45952</v>
      </c>
      <c r="F76" s="1">
        <v>45857</v>
      </c>
      <c r="G76" s="14" t="s">
        <v>165</v>
      </c>
      <c r="H76" s="14" t="s">
        <v>15</v>
      </c>
      <c r="I76">
        <v>168.18</v>
      </c>
      <c r="J76" s="14" t="s">
        <v>28</v>
      </c>
    </row>
    <row r="77" spans="1:10" x14ac:dyDescent="0.25">
      <c r="A77">
        <v>1061</v>
      </c>
      <c r="B77" s="14" t="s">
        <v>166</v>
      </c>
      <c r="C77">
        <v>66</v>
      </c>
      <c r="D77" s="14" t="s">
        <v>30</v>
      </c>
      <c r="E77" s="1">
        <v>45889</v>
      </c>
      <c r="F77" s="1">
        <v>45724</v>
      </c>
      <c r="G77" s="14" t="s">
        <v>167</v>
      </c>
      <c r="H77" s="14" t="s">
        <v>18</v>
      </c>
      <c r="J77" s="14" t="s">
        <v>28</v>
      </c>
    </row>
    <row r="78" spans="1:10" x14ac:dyDescent="0.25">
      <c r="A78">
        <v>1088</v>
      </c>
      <c r="B78" s="14" t="s">
        <v>168</v>
      </c>
      <c r="C78">
        <v>22</v>
      </c>
      <c r="D78" s="14" t="s">
        <v>50</v>
      </c>
      <c r="E78" s="1">
        <v>45963</v>
      </c>
      <c r="F78" s="1">
        <v>45771</v>
      </c>
      <c r="G78" s="14" t="s">
        <v>169</v>
      </c>
      <c r="H78" s="14" t="s">
        <v>21</v>
      </c>
      <c r="I78">
        <v>206.53</v>
      </c>
      <c r="J78" s="14" t="s">
        <v>28</v>
      </c>
    </row>
    <row r="79" spans="1:10" x14ac:dyDescent="0.25">
      <c r="A79">
        <v>1008</v>
      </c>
      <c r="B79" s="14" t="s">
        <v>170</v>
      </c>
      <c r="C79">
        <v>69</v>
      </c>
      <c r="D79" s="14" t="s">
        <v>30</v>
      </c>
      <c r="E79" s="1">
        <v>45931</v>
      </c>
      <c r="F79" s="1">
        <v>45435</v>
      </c>
      <c r="G79" s="14" t="s">
        <v>171</v>
      </c>
      <c r="H79" s="14" t="s">
        <v>15</v>
      </c>
      <c r="I79">
        <v>258.20999999999998</v>
      </c>
      <c r="J79" s="14" t="s">
        <v>22</v>
      </c>
    </row>
    <row r="80" spans="1:10" x14ac:dyDescent="0.25">
      <c r="A80">
        <v>1014</v>
      </c>
      <c r="B80" s="14" t="s">
        <v>172</v>
      </c>
      <c r="C80">
        <v>26</v>
      </c>
      <c r="D80" s="14" t="s">
        <v>30</v>
      </c>
      <c r="E80" s="1">
        <v>45928</v>
      </c>
      <c r="F80" s="1">
        <v>45481</v>
      </c>
      <c r="G80" s="14" t="s">
        <v>173</v>
      </c>
      <c r="H80" s="14" t="s">
        <v>12</v>
      </c>
      <c r="I80">
        <v>253.4</v>
      </c>
      <c r="J80" s="14" t="s">
        <v>28</v>
      </c>
    </row>
    <row r="81" spans="1:10" x14ac:dyDescent="0.25">
      <c r="A81">
        <v>1005</v>
      </c>
      <c r="B81" s="14" t="s">
        <v>174</v>
      </c>
      <c r="C81">
        <v>69</v>
      </c>
      <c r="D81" s="14" t="s">
        <v>50</v>
      </c>
      <c r="E81" s="1">
        <v>46083</v>
      </c>
      <c r="F81" s="1">
        <v>45617</v>
      </c>
      <c r="G81" s="14" t="s">
        <v>175</v>
      </c>
      <c r="H81" s="14" t="s">
        <v>21</v>
      </c>
      <c r="I81">
        <v>83.09</v>
      </c>
      <c r="J81" s="14" t="s">
        <v>28</v>
      </c>
    </row>
    <row r="82" spans="1:10" x14ac:dyDescent="0.25">
      <c r="A82">
        <v>1098</v>
      </c>
      <c r="B82" s="14" t="s">
        <v>176</v>
      </c>
      <c r="C82">
        <v>35</v>
      </c>
      <c r="D82" s="14" t="s">
        <v>30</v>
      </c>
      <c r="E82" s="1">
        <v>46094</v>
      </c>
      <c r="F82" s="1">
        <v>45865</v>
      </c>
      <c r="G82" s="14" t="s">
        <v>177</v>
      </c>
      <c r="H82" s="14" t="s">
        <v>15</v>
      </c>
      <c r="I82">
        <v>80.38</v>
      </c>
      <c r="J82" s="14" t="s">
        <v>28</v>
      </c>
    </row>
    <row r="83" spans="1:10" x14ac:dyDescent="0.25">
      <c r="A83">
        <v>1074</v>
      </c>
      <c r="B83" s="14" t="s">
        <v>178</v>
      </c>
      <c r="C83">
        <v>23</v>
      </c>
      <c r="D83" s="14" t="s">
        <v>30</v>
      </c>
      <c r="E83" s="1">
        <v>46004</v>
      </c>
      <c r="F83" s="1">
        <v>45826</v>
      </c>
      <c r="G83" s="14" t="s">
        <v>179</v>
      </c>
      <c r="H83" s="14" t="s">
        <v>15</v>
      </c>
      <c r="I83">
        <v>260.39999999999998</v>
      </c>
      <c r="J83" s="14" t="s">
        <v>28</v>
      </c>
    </row>
    <row r="84" spans="1:10" x14ac:dyDescent="0.25">
      <c r="A84">
        <v>1097</v>
      </c>
      <c r="B84" s="14" t="s">
        <v>180</v>
      </c>
      <c r="C84">
        <v>50</v>
      </c>
      <c r="D84" s="14" t="s">
        <v>50</v>
      </c>
      <c r="E84" s="1">
        <v>45984</v>
      </c>
      <c r="F84" s="1">
        <v>45924</v>
      </c>
      <c r="G84" s="14" t="s">
        <v>1992</v>
      </c>
      <c r="H84" s="14" t="s">
        <v>15</v>
      </c>
      <c r="I84">
        <v>294.58</v>
      </c>
      <c r="J84" s="14" t="s">
        <v>28</v>
      </c>
    </row>
    <row r="85" spans="1:10" x14ac:dyDescent="0.25">
      <c r="A85">
        <v>1047</v>
      </c>
      <c r="B85" s="14" t="s">
        <v>181</v>
      </c>
      <c r="C85">
        <v>40</v>
      </c>
      <c r="D85" s="14" t="s">
        <v>50</v>
      </c>
      <c r="E85" s="1">
        <v>46078</v>
      </c>
      <c r="F85" s="1">
        <v>45809</v>
      </c>
      <c r="G85" s="14" t="s">
        <v>182</v>
      </c>
      <c r="H85" s="14" t="s">
        <v>15</v>
      </c>
      <c r="I85">
        <v>247.13</v>
      </c>
      <c r="J85" s="14" t="s">
        <v>28</v>
      </c>
    </row>
    <row r="86" spans="1:10" x14ac:dyDescent="0.25">
      <c r="A86">
        <v>1093</v>
      </c>
      <c r="B86" s="14" t="s">
        <v>183</v>
      </c>
      <c r="C86">
        <v>55</v>
      </c>
      <c r="D86" s="14" t="s">
        <v>24</v>
      </c>
      <c r="E86" s="1">
        <v>45942</v>
      </c>
      <c r="F86" s="1">
        <v>45889</v>
      </c>
      <c r="G86" s="14" t="s">
        <v>184</v>
      </c>
      <c r="H86" s="14" t="s">
        <v>18</v>
      </c>
      <c r="I86">
        <v>341.19</v>
      </c>
      <c r="J86" s="14" t="s">
        <v>22</v>
      </c>
    </row>
    <row r="87" spans="1:10" x14ac:dyDescent="0.25">
      <c r="A87">
        <v>1044</v>
      </c>
      <c r="B87" s="14" t="s">
        <v>185</v>
      </c>
      <c r="C87">
        <v>57</v>
      </c>
      <c r="D87" s="14" t="s">
        <v>30</v>
      </c>
      <c r="E87" s="1">
        <v>45786</v>
      </c>
      <c r="F87" s="1">
        <v>45644</v>
      </c>
      <c r="G87" s="14" t="s">
        <v>186</v>
      </c>
      <c r="H87" s="14" t="s">
        <v>15</v>
      </c>
      <c r="I87">
        <v>383.69</v>
      </c>
      <c r="J87" s="14" t="s">
        <v>22</v>
      </c>
    </row>
    <row r="88" spans="1:10" x14ac:dyDescent="0.25">
      <c r="A88">
        <v>1050</v>
      </c>
      <c r="B88" s="14" t="s">
        <v>187</v>
      </c>
      <c r="C88">
        <v>60</v>
      </c>
      <c r="D88" s="14" t="s">
        <v>50</v>
      </c>
      <c r="E88" s="1">
        <v>45933</v>
      </c>
      <c r="F88" s="1">
        <v>45895</v>
      </c>
      <c r="G88" s="14" t="s">
        <v>188</v>
      </c>
      <c r="H88" s="14" t="s">
        <v>21</v>
      </c>
      <c r="I88">
        <v>243.78</v>
      </c>
      <c r="J88" s="14" t="s">
        <v>28</v>
      </c>
    </row>
    <row r="89" spans="1:10" x14ac:dyDescent="0.25">
      <c r="A89">
        <v>1100</v>
      </c>
      <c r="B89" s="14" t="s">
        <v>189</v>
      </c>
      <c r="C89">
        <v>58</v>
      </c>
      <c r="D89" s="14" t="s">
        <v>50</v>
      </c>
      <c r="E89" s="1">
        <v>45841</v>
      </c>
      <c r="F89" s="1">
        <v>45529</v>
      </c>
      <c r="G89" s="14" t="s">
        <v>190</v>
      </c>
      <c r="H89" s="14" t="s">
        <v>18</v>
      </c>
      <c r="I89">
        <v>329.25</v>
      </c>
      <c r="J89" s="14" t="s">
        <v>22</v>
      </c>
    </row>
    <row r="90" spans="1:10" x14ac:dyDescent="0.25">
      <c r="A90">
        <v>1095</v>
      </c>
      <c r="B90" s="14" t="s">
        <v>191</v>
      </c>
      <c r="C90">
        <v>61</v>
      </c>
      <c r="D90" s="14" t="s">
        <v>50</v>
      </c>
      <c r="E90" s="1">
        <v>45949</v>
      </c>
      <c r="F90" s="1">
        <v>45891</v>
      </c>
      <c r="G90" s="14" t="s">
        <v>192</v>
      </c>
      <c r="H90" s="14" t="s">
        <v>18</v>
      </c>
      <c r="I90">
        <v>389.37</v>
      </c>
      <c r="J90" s="14" t="s">
        <v>22</v>
      </c>
    </row>
    <row r="91" spans="1:10" x14ac:dyDescent="0.25">
      <c r="A91">
        <v>1088</v>
      </c>
      <c r="B91" s="14" t="s">
        <v>193</v>
      </c>
      <c r="C91">
        <v>34</v>
      </c>
      <c r="D91" s="14" t="s">
        <v>30</v>
      </c>
      <c r="E91" s="1">
        <v>45942</v>
      </c>
      <c r="F91" s="1">
        <v>45672</v>
      </c>
      <c r="G91" s="14" t="s">
        <v>194</v>
      </c>
      <c r="H91" s="14" t="s">
        <v>12</v>
      </c>
      <c r="I91">
        <v>344.56</v>
      </c>
      <c r="J91" s="14" t="s">
        <v>28</v>
      </c>
    </row>
    <row r="92" spans="1:10" x14ac:dyDescent="0.25">
      <c r="A92">
        <v>1027</v>
      </c>
      <c r="B92" s="14" t="s">
        <v>195</v>
      </c>
      <c r="C92">
        <v>35</v>
      </c>
      <c r="D92" s="14" t="s">
        <v>50</v>
      </c>
      <c r="E92" s="1">
        <v>45923</v>
      </c>
      <c r="F92" s="1">
        <v>45488</v>
      </c>
      <c r="G92" s="14" t="s">
        <v>196</v>
      </c>
      <c r="H92" s="14" t="s">
        <v>15</v>
      </c>
      <c r="I92">
        <v>289.07</v>
      </c>
      <c r="J92" s="14" t="s">
        <v>28</v>
      </c>
    </row>
    <row r="93" spans="1:10" x14ac:dyDescent="0.25">
      <c r="A93">
        <v>1040</v>
      </c>
      <c r="B93" s="14" t="s">
        <v>197</v>
      </c>
      <c r="C93">
        <v>62</v>
      </c>
      <c r="D93" s="14" t="s">
        <v>24</v>
      </c>
      <c r="E93" s="1">
        <v>46020</v>
      </c>
      <c r="F93" s="1">
        <v>45425</v>
      </c>
      <c r="G93" s="14" t="s">
        <v>198</v>
      </c>
      <c r="H93" s="14" t="s">
        <v>12</v>
      </c>
      <c r="I93">
        <v>193.6</v>
      </c>
      <c r="J93" s="14" t="s">
        <v>28</v>
      </c>
    </row>
    <row r="94" spans="1:10" x14ac:dyDescent="0.25">
      <c r="A94">
        <v>1099</v>
      </c>
      <c r="B94" s="14" t="s">
        <v>199</v>
      </c>
      <c r="C94">
        <v>31</v>
      </c>
      <c r="D94" s="14" t="s">
        <v>50</v>
      </c>
      <c r="E94" s="1">
        <v>45849</v>
      </c>
      <c r="F94" s="1">
        <v>45735</v>
      </c>
      <c r="G94" s="14" t="s">
        <v>200</v>
      </c>
      <c r="H94" s="14" t="s">
        <v>15</v>
      </c>
      <c r="I94">
        <v>259.72000000000003</v>
      </c>
      <c r="J94" s="14" t="s">
        <v>28</v>
      </c>
    </row>
    <row r="95" spans="1:10" x14ac:dyDescent="0.25">
      <c r="A95">
        <v>1070</v>
      </c>
      <c r="B95" s="14" t="s">
        <v>201</v>
      </c>
      <c r="C95">
        <v>28</v>
      </c>
      <c r="D95" s="14" t="s">
        <v>30</v>
      </c>
      <c r="E95" s="1">
        <v>45938</v>
      </c>
      <c r="F95" s="1">
        <v>45787</v>
      </c>
      <c r="G95" s="14" t="s">
        <v>202</v>
      </c>
      <c r="H95" s="14" t="s">
        <v>18</v>
      </c>
      <c r="I95">
        <v>235.69</v>
      </c>
      <c r="J95" s="14" t="s">
        <v>22</v>
      </c>
    </row>
    <row r="96" spans="1:10" x14ac:dyDescent="0.25">
      <c r="A96">
        <v>1058</v>
      </c>
      <c r="B96" s="14" t="s">
        <v>203</v>
      </c>
      <c r="C96">
        <v>18</v>
      </c>
      <c r="D96" s="14" t="s">
        <v>30</v>
      </c>
      <c r="E96" s="1">
        <v>46057</v>
      </c>
      <c r="F96" s="1">
        <v>45636</v>
      </c>
      <c r="G96" s="14" t="s">
        <v>204</v>
      </c>
      <c r="H96" s="14" t="s">
        <v>21</v>
      </c>
      <c r="I96">
        <v>428.75</v>
      </c>
      <c r="J96" s="14" t="s">
        <v>22</v>
      </c>
    </row>
    <row r="97" spans="1:10" x14ac:dyDescent="0.25">
      <c r="A97">
        <v>1040</v>
      </c>
      <c r="B97" s="14" t="s">
        <v>205</v>
      </c>
      <c r="C97">
        <v>34</v>
      </c>
      <c r="D97" s="14" t="s">
        <v>30</v>
      </c>
      <c r="E97" s="1">
        <v>45961</v>
      </c>
      <c r="F97" s="1">
        <v>45735</v>
      </c>
      <c r="G97" s="14" t="s">
        <v>206</v>
      </c>
      <c r="H97" s="14" t="s">
        <v>18</v>
      </c>
      <c r="I97">
        <v>142.32</v>
      </c>
      <c r="J97" s="14" t="s">
        <v>22</v>
      </c>
    </row>
    <row r="98" spans="1:10" x14ac:dyDescent="0.25">
      <c r="A98">
        <v>1018</v>
      </c>
      <c r="B98" s="14" t="s">
        <v>207</v>
      </c>
      <c r="C98">
        <v>34</v>
      </c>
      <c r="D98" s="14" t="s">
        <v>30</v>
      </c>
      <c r="E98" s="1">
        <v>46016</v>
      </c>
      <c r="F98" s="1">
        <v>45547</v>
      </c>
      <c r="G98" s="14" t="s">
        <v>208</v>
      </c>
      <c r="H98" s="14" t="s">
        <v>12</v>
      </c>
      <c r="I98">
        <v>109.31</v>
      </c>
      <c r="J98" s="14" t="s">
        <v>22</v>
      </c>
    </row>
    <row r="99" spans="1:10" x14ac:dyDescent="0.25">
      <c r="A99">
        <v>1052</v>
      </c>
      <c r="B99" s="14" t="s">
        <v>209</v>
      </c>
      <c r="C99">
        <v>60</v>
      </c>
      <c r="D99" s="14" t="s">
        <v>30</v>
      </c>
      <c r="E99" s="1">
        <v>45968</v>
      </c>
      <c r="F99" s="1">
        <v>45532</v>
      </c>
      <c r="G99" s="14" t="s">
        <v>210</v>
      </c>
      <c r="H99" s="14" t="s">
        <v>21</v>
      </c>
      <c r="J99" s="14" t="s">
        <v>28</v>
      </c>
    </row>
    <row r="100" spans="1:10" x14ac:dyDescent="0.25">
      <c r="A100">
        <v>1031</v>
      </c>
      <c r="B100" s="14" t="s">
        <v>211</v>
      </c>
      <c r="C100">
        <v>65</v>
      </c>
      <c r="D100" s="14" t="s">
        <v>30</v>
      </c>
      <c r="E100" s="1">
        <v>45816</v>
      </c>
      <c r="F100" s="1">
        <v>45671</v>
      </c>
      <c r="G100" s="14" t="s">
        <v>212</v>
      </c>
      <c r="H100" s="14" t="s">
        <v>21</v>
      </c>
      <c r="I100">
        <v>325.25</v>
      </c>
      <c r="J100" s="14" t="s">
        <v>22</v>
      </c>
    </row>
    <row r="101" spans="1:10" x14ac:dyDescent="0.25">
      <c r="A101">
        <v>1028</v>
      </c>
      <c r="B101" s="14" t="s">
        <v>213</v>
      </c>
      <c r="C101">
        <v>21</v>
      </c>
      <c r="D101" s="14" t="s">
        <v>30</v>
      </c>
      <c r="E101" s="1">
        <v>45968</v>
      </c>
      <c r="F101" s="1">
        <v>45865</v>
      </c>
      <c r="G101" s="14" t="s">
        <v>214</v>
      </c>
      <c r="H101" s="14" t="s">
        <v>18</v>
      </c>
      <c r="I101">
        <v>111.92</v>
      </c>
      <c r="J101" s="14" t="s">
        <v>22</v>
      </c>
    </row>
    <row r="102" spans="1:10" x14ac:dyDescent="0.25">
      <c r="A102">
        <v>1089</v>
      </c>
      <c r="B102" s="14" t="s">
        <v>215</v>
      </c>
      <c r="C102">
        <v>56</v>
      </c>
      <c r="D102" s="14" t="s">
        <v>50</v>
      </c>
      <c r="E102" s="1">
        <v>46071</v>
      </c>
      <c r="F102" s="1">
        <v>45634</v>
      </c>
      <c r="G102" s="14" t="s">
        <v>216</v>
      </c>
      <c r="H102" s="14" t="s">
        <v>15</v>
      </c>
      <c r="I102">
        <v>347.68</v>
      </c>
      <c r="J102" s="14" t="s">
        <v>28</v>
      </c>
    </row>
    <row r="103" spans="1:10" x14ac:dyDescent="0.25">
      <c r="A103">
        <v>1092</v>
      </c>
      <c r="B103" s="14" t="s">
        <v>217</v>
      </c>
      <c r="C103">
        <v>40</v>
      </c>
      <c r="D103" s="14" t="s">
        <v>30</v>
      </c>
      <c r="E103" s="1">
        <v>46063</v>
      </c>
      <c r="F103" s="1">
        <v>46009</v>
      </c>
      <c r="G103" s="14" t="s">
        <v>218</v>
      </c>
      <c r="H103" s="14" t="s">
        <v>18</v>
      </c>
      <c r="I103">
        <v>59.67</v>
      </c>
      <c r="J103" s="14" t="s">
        <v>28</v>
      </c>
    </row>
    <row r="104" spans="1:10" x14ac:dyDescent="0.25">
      <c r="A104">
        <v>1088</v>
      </c>
      <c r="B104" s="14" t="s">
        <v>219</v>
      </c>
      <c r="C104">
        <v>60</v>
      </c>
      <c r="D104" s="14" t="s">
        <v>24</v>
      </c>
      <c r="E104" s="1">
        <v>46100</v>
      </c>
      <c r="F104" s="1">
        <v>45583</v>
      </c>
      <c r="G104" s="14" t="s">
        <v>220</v>
      </c>
      <c r="H104" s="14" t="s">
        <v>21</v>
      </c>
      <c r="I104">
        <v>123.03</v>
      </c>
      <c r="J104" s="14" t="s">
        <v>28</v>
      </c>
    </row>
    <row r="105" spans="1:10" x14ac:dyDescent="0.25">
      <c r="A105">
        <v>1058</v>
      </c>
      <c r="B105" s="14" t="s">
        <v>221</v>
      </c>
      <c r="C105">
        <v>24</v>
      </c>
      <c r="D105" s="14" t="s">
        <v>30</v>
      </c>
      <c r="E105" s="1">
        <v>46069</v>
      </c>
      <c r="F105" s="1">
        <v>45895</v>
      </c>
      <c r="G105" s="14" t="s">
        <v>222</v>
      </c>
      <c r="H105" s="14" t="s">
        <v>21</v>
      </c>
      <c r="I105">
        <v>420.58</v>
      </c>
      <c r="J105" s="14" t="s">
        <v>22</v>
      </c>
    </row>
    <row r="106" spans="1:10" x14ac:dyDescent="0.25">
      <c r="A106">
        <v>1078</v>
      </c>
      <c r="B106" s="14" t="s">
        <v>223</v>
      </c>
      <c r="C106">
        <v>69</v>
      </c>
      <c r="D106" s="14" t="s">
        <v>50</v>
      </c>
      <c r="E106" s="1">
        <v>45988</v>
      </c>
      <c r="F106" s="1">
        <v>45430</v>
      </c>
      <c r="G106" s="14" t="s">
        <v>224</v>
      </c>
      <c r="H106" s="14" t="s">
        <v>15</v>
      </c>
      <c r="I106">
        <v>351.17</v>
      </c>
      <c r="J106" s="14" t="s">
        <v>22</v>
      </c>
    </row>
    <row r="107" spans="1:10" x14ac:dyDescent="0.25">
      <c r="A107">
        <v>1027</v>
      </c>
      <c r="B107" s="14" t="s">
        <v>225</v>
      </c>
      <c r="C107">
        <v>32</v>
      </c>
      <c r="D107" s="14" t="s">
        <v>30</v>
      </c>
      <c r="E107" s="1">
        <v>46083</v>
      </c>
      <c r="F107" s="1">
        <v>46008</v>
      </c>
      <c r="G107" s="14" t="s">
        <v>226</v>
      </c>
      <c r="H107" s="14" t="s">
        <v>12</v>
      </c>
      <c r="I107">
        <v>125.31</v>
      </c>
      <c r="J107" s="14" t="s">
        <v>28</v>
      </c>
    </row>
    <row r="108" spans="1:10" x14ac:dyDescent="0.25">
      <c r="A108">
        <v>1062</v>
      </c>
      <c r="B108" s="14" t="s">
        <v>227</v>
      </c>
      <c r="C108">
        <v>60</v>
      </c>
      <c r="D108" s="14" t="s">
        <v>50</v>
      </c>
      <c r="E108" s="1">
        <v>46049</v>
      </c>
      <c r="F108" s="1">
        <v>46040</v>
      </c>
      <c r="G108" s="14" t="s">
        <v>228</v>
      </c>
      <c r="H108" s="14" t="s">
        <v>12</v>
      </c>
      <c r="I108">
        <v>253.42</v>
      </c>
      <c r="J108" s="14" t="s">
        <v>22</v>
      </c>
    </row>
    <row r="109" spans="1:10" x14ac:dyDescent="0.25">
      <c r="A109">
        <v>1015</v>
      </c>
      <c r="B109" s="14" t="s">
        <v>229</v>
      </c>
      <c r="C109">
        <v>68</v>
      </c>
      <c r="D109" s="14" t="s">
        <v>30</v>
      </c>
      <c r="E109" s="1">
        <v>45998</v>
      </c>
      <c r="F109" s="1">
        <v>45740</v>
      </c>
      <c r="G109" s="14" t="s">
        <v>230</v>
      </c>
      <c r="H109" s="14" t="s">
        <v>15</v>
      </c>
      <c r="I109">
        <v>359.78</v>
      </c>
      <c r="J109" s="14" t="s">
        <v>28</v>
      </c>
    </row>
    <row r="110" spans="1:10" x14ac:dyDescent="0.25">
      <c r="A110">
        <v>1018</v>
      </c>
      <c r="B110" s="14" t="s">
        <v>231</v>
      </c>
      <c r="C110">
        <v>53</v>
      </c>
      <c r="D110" s="14" t="s">
        <v>24</v>
      </c>
      <c r="E110" s="1">
        <v>45941</v>
      </c>
      <c r="F110" s="1">
        <v>45381</v>
      </c>
      <c r="G110" s="14" t="s">
        <v>232</v>
      </c>
      <c r="H110" s="14" t="s">
        <v>18</v>
      </c>
      <c r="I110">
        <v>277.20999999999998</v>
      </c>
      <c r="J110" s="14" t="s">
        <v>28</v>
      </c>
    </row>
    <row r="111" spans="1:10" x14ac:dyDescent="0.25">
      <c r="A111">
        <v>1061</v>
      </c>
      <c r="B111" s="14" t="s">
        <v>233</v>
      </c>
      <c r="C111">
        <v>18</v>
      </c>
      <c r="D111" s="14" t="s">
        <v>50</v>
      </c>
      <c r="E111" s="1">
        <v>46103</v>
      </c>
      <c r="F111" s="1">
        <v>45570</v>
      </c>
      <c r="G111" s="14" t="s">
        <v>234</v>
      </c>
      <c r="H111" s="14" t="s">
        <v>18</v>
      </c>
      <c r="I111">
        <v>84.69</v>
      </c>
      <c r="J111" s="14" t="s">
        <v>22</v>
      </c>
    </row>
    <row r="112" spans="1:10" x14ac:dyDescent="0.25">
      <c r="A112">
        <v>1013</v>
      </c>
      <c r="B112" s="14" t="s">
        <v>235</v>
      </c>
      <c r="C112">
        <v>60</v>
      </c>
      <c r="D112" s="14" t="s">
        <v>30</v>
      </c>
      <c r="E112" s="1">
        <v>45759</v>
      </c>
      <c r="F112" s="1">
        <v>45680</v>
      </c>
      <c r="G112" s="14" t="s">
        <v>236</v>
      </c>
      <c r="H112" s="14" t="s">
        <v>18</v>
      </c>
      <c r="I112">
        <v>96.94</v>
      </c>
      <c r="J112" s="14" t="s">
        <v>28</v>
      </c>
    </row>
    <row r="113" spans="1:10" x14ac:dyDescent="0.25">
      <c r="A113">
        <v>1087</v>
      </c>
      <c r="B113" s="14" t="s">
        <v>237</v>
      </c>
      <c r="C113">
        <v>72</v>
      </c>
      <c r="D113" s="14" t="s">
        <v>30</v>
      </c>
      <c r="E113" s="1">
        <v>45834</v>
      </c>
      <c r="F113" s="1">
        <v>45796</v>
      </c>
      <c r="G113" s="14" t="s">
        <v>238</v>
      </c>
      <c r="H113" s="14" t="s">
        <v>21</v>
      </c>
      <c r="I113">
        <v>205.35</v>
      </c>
      <c r="J113" s="14" t="s">
        <v>28</v>
      </c>
    </row>
    <row r="114" spans="1:10" x14ac:dyDescent="0.25">
      <c r="A114">
        <v>1090</v>
      </c>
      <c r="B114" s="14" t="s">
        <v>239</v>
      </c>
      <c r="C114">
        <v>63</v>
      </c>
      <c r="D114" s="14" t="s">
        <v>30</v>
      </c>
      <c r="E114" s="1">
        <v>46019</v>
      </c>
      <c r="F114" s="1">
        <v>46013</v>
      </c>
      <c r="G114" s="14" t="s">
        <v>240</v>
      </c>
      <c r="H114" s="14" t="s">
        <v>18</v>
      </c>
      <c r="I114">
        <v>155.41999999999999</v>
      </c>
      <c r="J114" s="14" t="s">
        <v>28</v>
      </c>
    </row>
    <row r="115" spans="1:10" x14ac:dyDescent="0.25">
      <c r="A115">
        <v>1086</v>
      </c>
      <c r="B115" s="14" t="s">
        <v>241</v>
      </c>
      <c r="C115">
        <v>80</v>
      </c>
      <c r="D115" s="14" t="s">
        <v>30</v>
      </c>
      <c r="E115" s="1">
        <v>45992</v>
      </c>
      <c r="F115" s="1">
        <v>45593</v>
      </c>
      <c r="G115" s="14" t="s">
        <v>242</v>
      </c>
      <c r="H115" s="14" t="s">
        <v>15</v>
      </c>
      <c r="I115">
        <v>493</v>
      </c>
      <c r="J115" s="14" t="s">
        <v>28</v>
      </c>
    </row>
    <row r="116" spans="1:10" x14ac:dyDescent="0.25">
      <c r="A116">
        <v>1047</v>
      </c>
      <c r="B116" s="14" t="s">
        <v>243</v>
      </c>
      <c r="C116">
        <v>39</v>
      </c>
      <c r="D116" s="14" t="s">
        <v>50</v>
      </c>
      <c r="E116" s="1">
        <v>45983</v>
      </c>
      <c r="F116" s="1">
        <v>45610</v>
      </c>
      <c r="G116" s="14" t="s">
        <v>244</v>
      </c>
      <c r="H116" s="14" t="s">
        <v>18</v>
      </c>
      <c r="I116">
        <v>243.15</v>
      </c>
      <c r="J116" s="14" t="s">
        <v>22</v>
      </c>
    </row>
    <row r="117" spans="1:10" x14ac:dyDescent="0.25">
      <c r="A117">
        <v>1014</v>
      </c>
      <c r="B117" s="14" t="s">
        <v>245</v>
      </c>
      <c r="C117">
        <v>81</v>
      </c>
      <c r="D117" s="14" t="s">
        <v>30</v>
      </c>
      <c r="E117" s="1">
        <v>45809</v>
      </c>
      <c r="F117" s="1">
        <v>45523</v>
      </c>
      <c r="G117" s="14" t="s">
        <v>246</v>
      </c>
      <c r="H117" s="14" t="s">
        <v>12</v>
      </c>
      <c r="I117">
        <v>122.6</v>
      </c>
      <c r="J117" s="14" t="s">
        <v>22</v>
      </c>
    </row>
    <row r="118" spans="1:10" x14ac:dyDescent="0.25">
      <c r="A118">
        <v>1047</v>
      </c>
      <c r="B118" s="14" t="s">
        <v>247</v>
      </c>
      <c r="C118">
        <v>38</v>
      </c>
      <c r="D118" s="14" t="s">
        <v>50</v>
      </c>
      <c r="E118" s="1">
        <v>46006</v>
      </c>
      <c r="F118" s="1">
        <v>45651</v>
      </c>
      <c r="G118" s="14" t="s">
        <v>248</v>
      </c>
      <c r="H118" s="14" t="s">
        <v>12</v>
      </c>
      <c r="I118">
        <v>100.34</v>
      </c>
      <c r="J118" s="14" t="s">
        <v>28</v>
      </c>
    </row>
    <row r="119" spans="1:10" x14ac:dyDescent="0.25">
      <c r="A119">
        <v>1073</v>
      </c>
      <c r="B119" s="14" t="s">
        <v>249</v>
      </c>
      <c r="C119">
        <v>38</v>
      </c>
      <c r="D119" s="14" t="s">
        <v>30</v>
      </c>
      <c r="E119" s="1">
        <v>45990</v>
      </c>
      <c r="F119" s="1">
        <v>45849</v>
      </c>
      <c r="G119" s="14" t="s">
        <v>250</v>
      </c>
      <c r="H119" s="14" t="s">
        <v>15</v>
      </c>
      <c r="I119">
        <v>335.07</v>
      </c>
      <c r="J119" s="14" t="s">
        <v>22</v>
      </c>
    </row>
    <row r="120" spans="1:10" x14ac:dyDescent="0.25">
      <c r="A120">
        <v>1093</v>
      </c>
      <c r="B120" s="14" t="s">
        <v>251</v>
      </c>
      <c r="C120">
        <v>79</v>
      </c>
      <c r="D120" s="14" t="s">
        <v>30</v>
      </c>
      <c r="E120" s="1">
        <v>45745</v>
      </c>
      <c r="F120" s="1">
        <v>45470</v>
      </c>
      <c r="G120" s="14" t="s">
        <v>252</v>
      </c>
      <c r="H120" s="14" t="s">
        <v>15</v>
      </c>
      <c r="I120">
        <v>154.29</v>
      </c>
      <c r="J120" s="14" t="s">
        <v>28</v>
      </c>
    </row>
    <row r="121" spans="1:10" x14ac:dyDescent="0.25">
      <c r="A121">
        <v>1027</v>
      </c>
      <c r="B121" s="14" t="s">
        <v>253</v>
      </c>
      <c r="C121">
        <v>54</v>
      </c>
      <c r="D121" s="14" t="s">
        <v>30</v>
      </c>
      <c r="E121" s="1">
        <v>46018</v>
      </c>
      <c r="F121" s="1">
        <v>45804</v>
      </c>
      <c r="G121" s="14" t="s">
        <v>254</v>
      </c>
      <c r="H121" s="14" t="s">
        <v>15</v>
      </c>
      <c r="I121">
        <v>412.07</v>
      </c>
      <c r="J121" s="14" t="s">
        <v>22</v>
      </c>
    </row>
    <row r="122" spans="1:10" x14ac:dyDescent="0.25">
      <c r="A122">
        <v>1037</v>
      </c>
      <c r="B122" s="14" t="s">
        <v>255</v>
      </c>
      <c r="C122">
        <v>22</v>
      </c>
      <c r="D122" s="14" t="s">
        <v>30</v>
      </c>
      <c r="E122" s="1">
        <v>46081</v>
      </c>
      <c r="F122" s="1">
        <v>45738</v>
      </c>
      <c r="G122" s="14" t="s">
        <v>256</v>
      </c>
      <c r="H122" s="14" t="s">
        <v>18</v>
      </c>
      <c r="I122">
        <v>401.33</v>
      </c>
      <c r="J122" s="14" t="s">
        <v>28</v>
      </c>
    </row>
    <row r="123" spans="1:10" x14ac:dyDescent="0.25">
      <c r="A123">
        <v>1021</v>
      </c>
      <c r="B123" s="14" t="s">
        <v>257</v>
      </c>
      <c r="C123">
        <v>27</v>
      </c>
      <c r="D123" s="14" t="s">
        <v>30</v>
      </c>
      <c r="E123" s="1">
        <v>45781</v>
      </c>
      <c r="F123" s="1">
        <v>45484</v>
      </c>
      <c r="G123" s="14" t="s">
        <v>258</v>
      </c>
      <c r="H123" s="14" t="s">
        <v>21</v>
      </c>
      <c r="I123">
        <v>486.57</v>
      </c>
      <c r="J123" s="14" t="s">
        <v>28</v>
      </c>
    </row>
    <row r="124" spans="1:10" x14ac:dyDescent="0.25">
      <c r="A124">
        <v>1007</v>
      </c>
      <c r="B124" s="14" t="s">
        <v>259</v>
      </c>
      <c r="C124">
        <v>20</v>
      </c>
      <c r="D124" s="14" t="s">
        <v>50</v>
      </c>
      <c r="E124" s="1">
        <v>45977</v>
      </c>
      <c r="F124" s="1">
        <v>45918</v>
      </c>
      <c r="G124" s="14" t="s">
        <v>260</v>
      </c>
      <c r="H124" s="14" t="s">
        <v>21</v>
      </c>
      <c r="I124">
        <v>482.25</v>
      </c>
      <c r="J124" s="14" t="s">
        <v>22</v>
      </c>
    </row>
    <row r="125" spans="1:10" x14ac:dyDescent="0.25">
      <c r="A125">
        <v>1043</v>
      </c>
      <c r="B125" s="14" t="s">
        <v>261</v>
      </c>
      <c r="C125">
        <v>31</v>
      </c>
      <c r="D125" s="14" t="s">
        <v>50</v>
      </c>
      <c r="E125" s="1">
        <v>45841</v>
      </c>
      <c r="F125" s="1">
        <v>45773</v>
      </c>
      <c r="G125" s="14" t="s">
        <v>262</v>
      </c>
      <c r="H125" s="14" t="s">
        <v>15</v>
      </c>
      <c r="I125">
        <v>255.82</v>
      </c>
      <c r="J125" s="14" t="s">
        <v>22</v>
      </c>
    </row>
    <row r="126" spans="1:10" x14ac:dyDescent="0.25">
      <c r="A126">
        <v>1081</v>
      </c>
      <c r="B126" s="14" t="s">
        <v>263</v>
      </c>
      <c r="C126">
        <v>86</v>
      </c>
      <c r="D126" s="14" t="s">
        <v>50</v>
      </c>
      <c r="E126" s="1">
        <v>45861</v>
      </c>
      <c r="F126" s="1">
        <v>45769</v>
      </c>
      <c r="G126" s="14" t="s">
        <v>264</v>
      </c>
      <c r="H126" s="14" t="s">
        <v>21</v>
      </c>
      <c r="I126">
        <v>258.12</v>
      </c>
      <c r="J126" s="14" t="s">
        <v>22</v>
      </c>
    </row>
    <row r="127" spans="1:10" x14ac:dyDescent="0.25">
      <c r="A127">
        <v>1053</v>
      </c>
      <c r="B127" s="14" t="s">
        <v>265</v>
      </c>
      <c r="C127">
        <v>81</v>
      </c>
      <c r="D127" s="14" t="s">
        <v>24</v>
      </c>
      <c r="E127" s="1">
        <v>45770</v>
      </c>
      <c r="F127" s="1">
        <v>45656</v>
      </c>
      <c r="G127" s="14" t="s">
        <v>266</v>
      </c>
      <c r="H127" s="14" t="s">
        <v>21</v>
      </c>
      <c r="I127">
        <v>162.94</v>
      </c>
      <c r="J127" s="14" t="s">
        <v>22</v>
      </c>
    </row>
    <row r="128" spans="1:10" x14ac:dyDescent="0.25">
      <c r="A128">
        <v>1035</v>
      </c>
      <c r="B128" s="14" t="s">
        <v>267</v>
      </c>
      <c r="C128">
        <v>58</v>
      </c>
      <c r="D128" s="14" t="s">
        <v>50</v>
      </c>
      <c r="E128" s="1">
        <v>46045</v>
      </c>
      <c r="F128" s="1">
        <v>45396</v>
      </c>
      <c r="G128" s="14" t="s">
        <v>268</v>
      </c>
      <c r="H128" s="14" t="s">
        <v>12</v>
      </c>
      <c r="I128">
        <v>153.05000000000001</v>
      </c>
      <c r="J128" s="14" t="s">
        <v>28</v>
      </c>
    </row>
    <row r="129" spans="1:10" x14ac:dyDescent="0.25">
      <c r="A129">
        <v>1036</v>
      </c>
      <c r="B129" s="14" t="s">
        <v>269</v>
      </c>
      <c r="C129">
        <v>38</v>
      </c>
      <c r="D129" s="14" t="s">
        <v>50</v>
      </c>
      <c r="E129" s="1">
        <v>45742</v>
      </c>
      <c r="F129" s="1">
        <v>45718</v>
      </c>
      <c r="G129" s="14" t="s">
        <v>270</v>
      </c>
      <c r="H129" s="14" t="s">
        <v>12</v>
      </c>
      <c r="I129">
        <v>114.64</v>
      </c>
      <c r="J129" s="14" t="s">
        <v>22</v>
      </c>
    </row>
    <row r="130" spans="1:10" x14ac:dyDescent="0.25">
      <c r="A130">
        <v>1052</v>
      </c>
      <c r="B130" s="14" t="s">
        <v>271</v>
      </c>
      <c r="C130">
        <v>22</v>
      </c>
      <c r="D130" s="14" t="s">
        <v>30</v>
      </c>
      <c r="E130" s="1">
        <v>45954</v>
      </c>
      <c r="F130" s="1">
        <v>45663</v>
      </c>
      <c r="G130" s="14" t="s">
        <v>272</v>
      </c>
      <c r="H130" s="14" t="s">
        <v>15</v>
      </c>
      <c r="I130">
        <v>381.62</v>
      </c>
      <c r="J130" s="14" t="s">
        <v>22</v>
      </c>
    </row>
    <row r="131" spans="1:10" x14ac:dyDescent="0.25">
      <c r="A131">
        <v>1058</v>
      </c>
      <c r="B131" s="14" t="s">
        <v>273</v>
      </c>
      <c r="C131">
        <v>83</v>
      </c>
      <c r="D131" s="14" t="s">
        <v>30</v>
      </c>
      <c r="E131" s="1">
        <v>46009</v>
      </c>
      <c r="F131" s="1">
        <v>45768</v>
      </c>
      <c r="G131" s="14" t="s">
        <v>274</v>
      </c>
      <c r="H131" s="14" t="s">
        <v>18</v>
      </c>
      <c r="I131">
        <v>215.46</v>
      </c>
      <c r="J131" s="14" t="s">
        <v>28</v>
      </c>
    </row>
    <row r="132" spans="1:10" x14ac:dyDescent="0.25">
      <c r="A132">
        <v>1074</v>
      </c>
      <c r="B132" s="14" t="s">
        <v>275</v>
      </c>
      <c r="C132">
        <v>19</v>
      </c>
      <c r="D132" s="14" t="s">
        <v>30</v>
      </c>
      <c r="E132" s="1">
        <v>45771</v>
      </c>
      <c r="F132" s="1">
        <v>45573</v>
      </c>
      <c r="G132" s="14" t="s">
        <v>276</v>
      </c>
      <c r="H132" s="14" t="s">
        <v>18</v>
      </c>
      <c r="I132">
        <v>455.75</v>
      </c>
      <c r="J132" s="14" t="s">
        <v>22</v>
      </c>
    </row>
    <row r="133" spans="1:10" x14ac:dyDescent="0.25">
      <c r="A133">
        <v>1018</v>
      </c>
      <c r="B133" s="14" t="s">
        <v>277</v>
      </c>
      <c r="C133">
        <v>54</v>
      </c>
      <c r="D133" s="14" t="s">
        <v>30</v>
      </c>
      <c r="E133" s="1">
        <v>46106</v>
      </c>
      <c r="F133" s="1">
        <v>45540</v>
      </c>
      <c r="G133" s="14" t="s">
        <v>278</v>
      </c>
      <c r="H133" s="14" t="s">
        <v>21</v>
      </c>
      <c r="I133">
        <v>325.97000000000003</v>
      </c>
      <c r="J133" s="14" t="s">
        <v>28</v>
      </c>
    </row>
    <row r="134" spans="1:10" x14ac:dyDescent="0.25">
      <c r="A134">
        <v>1033</v>
      </c>
      <c r="B134" s="14" t="s">
        <v>279</v>
      </c>
      <c r="C134">
        <v>68</v>
      </c>
      <c r="D134" s="14" t="s">
        <v>50</v>
      </c>
      <c r="E134" s="1">
        <v>45958</v>
      </c>
      <c r="F134" s="1">
        <v>45581</v>
      </c>
      <c r="G134" s="14" t="s">
        <v>155</v>
      </c>
      <c r="H134" s="14" t="s">
        <v>21</v>
      </c>
      <c r="I134">
        <v>468.06</v>
      </c>
      <c r="J134" s="14" t="s">
        <v>28</v>
      </c>
    </row>
    <row r="135" spans="1:10" x14ac:dyDescent="0.25">
      <c r="A135">
        <v>1045</v>
      </c>
      <c r="B135" s="14" t="s">
        <v>280</v>
      </c>
      <c r="C135">
        <v>55</v>
      </c>
      <c r="D135" s="14" t="s">
        <v>30</v>
      </c>
      <c r="E135" s="1">
        <v>46024</v>
      </c>
      <c r="F135" s="1">
        <v>45393</v>
      </c>
      <c r="G135" s="14" t="s">
        <v>281</v>
      </c>
      <c r="H135" s="14" t="s">
        <v>21</v>
      </c>
      <c r="I135">
        <v>377.14</v>
      </c>
      <c r="J135" s="14" t="s">
        <v>28</v>
      </c>
    </row>
    <row r="136" spans="1:10" x14ac:dyDescent="0.25">
      <c r="A136">
        <v>1087</v>
      </c>
      <c r="B136" s="14" t="s">
        <v>282</v>
      </c>
      <c r="C136">
        <v>80</v>
      </c>
      <c r="D136" s="14" t="s">
        <v>50</v>
      </c>
      <c r="E136" s="1">
        <v>46029</v>
      </c>
      <c r="F136" s="1">
        <v>45438</v>
      </c>
      <c r="G136" s="14" t="s">
        <v>283</v>
      </c>
      <c r="H136" s="14" t="s">
        <v>18</v>
      </c>
      <c r="I136">
        <v>87.2</v>
      </c>
      <c r="J136" s="14" t="s">
        <v>22</v>
      </c>
    </row>
    <row r="137" spans="1:10" x14ac:dyDescent="0.25">
      <c r="A137">
        <v>1043</v>
      </c>
      <c r="B137" s="14" t="s">
        <v>284</v>
      </c>
      <c r="C137">
        <v>58</v>
      </c>
      <c r="D137" s="14" t="s">
        <v>50</v>
      </c>
      <c r="E137" s="1">
        <v>45967</v>
      </c>
      <c r="F137" s="1">
        <v>45792</v>
      </c>
      <c r="G137" s="14" t="s">
        <v>285</v>
      </c>
      <c r="H137" s="14" t="s">
        <v>12</v>
      </c>
      <c r="I137">
        <v>226.97</v>
      </c>
      <c r="J137" s="14" t="s">
        <v>22</v>
      </c>
    </row>
    <row r="138" spans="1:10" x14ac:dyDescent="0.25">
      <c r="A138">
        <v>1020</v>
      </c>
      <c r="B138" s="14" t="s">
        <v>286</v>
      </c>
      <c r="C138">
        <v>31</v>
      </c>
      <c r="D138" s="14" t="s">
        <v>50</v>
      </c>
      <c r="E138" s="1">
        <v>45929</v>
      </c>
      <c r="F138" s="1">
        <v>45600</v>
      </c>
      <c r="G138" s="14" t="s">
        <v>287</v>
      </c>
      <c r="H138" s="14" t="s">
        <v>18</v>
      </c>
      <c r="I138">
        <v>139.81</v>
      </c>
      <c r="J138" s="14" t="s">
        <v>28</v>
      </c>
    </row>
    <row r="139" spans="1:10" x14ac:dyDescent="0.25">
      <c r="A139">
        <v>1089</v>
      </c>
      <c r="B139" s="14" t="s">
        <v>288</v>
      </c>
      <c r="C139">
        <v>73</v>
      </c>
      <c r="D139" s="14" t="s">
        <v>30</v>
      </c>
      <c r="E139" s="1">
        <v>45778</v>
      </c>
      <c r="F139" s="1">
        <v>45498</v>
      </c>
      <c r="G139" s="14" t="s">
        <v>289</v>
      </c>
      <c r="H139" s="14" t="s">
        <v>12</v>
      </c>
      <c r="I139">
        <v>466.08</v>
      </c>
      <c r="J139" s="14" t="s">
        <v>22</v>
      </c>
    </row>
    <row r="140" spans="1:10" x14ac:dyDescent="0.25">
      <c r="A140">
        <v>1005</v>
      </c>
      <c r="B140" s="14" t="s">
        <v>290</v>
      </c>
      <c r="C140">
        <v>63</v>
      </c>
      <c r="D140" s="14" t="s">
        <v>50</v>
      </c>
      <c r="E140" s="1">
        <v>45921</v>
      </c>
      <c r="F140" s="1">
        <v>45601</v>
      </c>
      <c r="G140" s="14" t="s">
        <v>291</v>
      </c>
      <c r="H140" s="14" t="s">
        <v>12</v>
      </c>
      <c r="I140">
        <v>352.03</v>
      </c>
      <c r="J140" s="14" t="s">
        <v>28</v>
      </c>
    </row>
    <row r="141" spans="1:10" x14ac:dyDescent="0.25">
      <c r="A141">
        <v>1031</v>
      </c>
      <c r="B141" s="14" t="s">
        <v>292</v>
      </c>
      <c r="C141">
        <v>49</v>
      </c>
      <c r="D141" s="14" t="s">
        <v>30</v>
      </c>
      <c r="E141" s="1">
        <v>46024</v>
      </c>
      <c r="F141" s="1">
        <v>45990</v>
      </c>
      <c r="G141" s="14" t="s">
        <v>293</v>
      </c>
      <c r="H141" s="14" t="s">
        <v>18</v>
      </c>
      <c r="I141">
        <v>461.19</v>
      </c>
      <c r="J141" s="14" t="s">
        <v>22</v>
      </c>
    </row>
    <row r="142" spans="1:10" x14ac:dyDescent="0.25">
      <c r="A142">
        <v>1069</v>
      </c>
      <c r="B142" s="14" t="s">
        <v>294</v>
      </c>
      <c r="C142">
        <v>60</v>
      </c>
      <c r="D142" s="14" t="s">
        <v>50</v>
      </c>
      <c r="E142" s="1">
        <v>45903</v>
      </c>
      <c r="F142" s="1">
        <v>45870</v>
      </c>
      <c r="G142" s="14" t="s">
        <v>295</v>
      </c>
      <c r="H142" s="14" t="s">
        <v>21</v>
      </c>
      <c r="J142" s="14" t="s">
        <v>22</v>
      </c>
    </row>
    <row r="143" spans="1:10" x14ac:dyDescent="0.25">
      <c r="A143">
        <v>1093</v>
      </c>
      <c r="B143" s="14" t="s">
        <v>296</v>
      </c>
      <c r="C143">
        <v>77</v>
      </c>
      <c r="D143" s="14" t="s">
        <v>30</v>
      </c>
      <c r="E143" s="1">
        <v>46042</v>
      </c>
      <c r="F143" s="1">
        <v>45386</v>
      </c>
      <c r="G143" s="14" t="s">
        <v>297</v>
      </c>
      <c r="H143" s="14" t="s">
        <v>18</v>
      </c>
      <c r="I143">
        <v>252.22</v>
      </c>
      <c r="J143" s="14" t="s">
        <v>28</v>
      </c>
    </row>
    <row r="144" spans="1:10" x14ac:dyDescent="0.25">
      <c r="A144">
        <v>1073</v>
      </c>
      <c r="B144" s="14" t="s">
        <v>298</v>
      </c>
      <c r="C144">
        <v>29</v>
      </c>
      <c r="D144" s="14" t="s">
        <v>50</v>
      </c>
      <c r="E144" s="1">
        <v>45865</v>
      </c>
      <c r="F144" s="1">
        <v>45816</v>
      </c>
      <c r="G144" s="14" t="s">
        <v>299</v>
      </c>
      <c r="H144" s="14" t="s">
        <v>21</v>
      </c>
      <c r="I144">
        <v>206.74</v>
      </c>
      <c r="J144" s="14" t="s">
        <v>28</v>
      </c>
    </row>
    <row r="145" spans="1:10" x14ac:dyDescent="0.25">
      <c r="A145">
        <v>1040</v>
      </c>
      <c r="B145" s="14" t="s">
        <v>300</v>
      </c>
      <c r="C145">
        <v>52</v>
      </c>
      <c r="D145" s="14" t="s">
        <v>50</v>
      </c>
      <c r="E145" s="1">
        <v>45795</v>
      </c>
      <c r="F145" s="1">
        <v>45703</v>
      </c>
      <c r="G145" s="14" t="s">
        <v>301</v>
      </c>
      <c r="H145" s="14" t="s">
        <v>12</v>
      </c>
      <c r="I145">
        <v>130.69999999999999</v>
      </c>
      <c r="J145" s="14" t="s">
        <v>22</v>
      </c>
    </row>
    <row r="146" spans="1:10" x14ac:dyDescent="0.25">
      <c r="A146">
        <v>1066</v>
      </c>
      <c r="B146" s="14" t="s">
        <v>302</v>
      </c>
      <c r="C146">
        <v>54</v>
      </c>
      <c r="D146" s="14" t="s">
        <v>50</v>
      </c>
      <c r="E146" s="1">
        <v>45881</v>
      </c>
      <c r="F146" s="1">
        <v>45863</v>
      </c>
      <c r="G146" s="14" t="s">
        <v>303</v>
      </c>
      <c r="H146" s="14" t="s">
        <v>21</v>
      </c>
      <c r="I146">
        <v>106.33</v>
      </c>
      <c r="J146" s="14" t="s">
        <v>28</v>
      </c>
    </row>
    <row r="147" spans="1:10" x14ac:dyDescent="0.25">
      <c r="A147">
        <v>1047</v>
      </c>
      <c r="B147" s="14" t="s">
        <v>304</v>
      </c>
      <c r="C147">
        <v>67</v>
      </c>
      <c r="D147" s="14" t="s">
        <v>30</v>
      </c>
      <c r="E147" s="1">
        <v>46063</v>
      </c>
      <c r="F147" s="1">
        <v>45464</v>
      </c>
      <c r="G147" s="14" t="s">
        <v>305</v>
      </c>
      <c r="H147" s="14" t="s">
        <v>15</v>
      </c>
      <c r="J147" s="14" t="s">
        <v>22</v>
      </c>
    </row>
    <row r="148" spans="1:10" x14ac:dyDescent="0.25">
      <c r="A148">
        <v>1021</v>
      </c>
      <c r="B148" s="14" t="s">
        <v>306</v>
      </c>
      <c r="C148">
        <v>38</v>
      </c>
      <c r="D148" s="14" t="s">
        <v>30</v>
      </c>
      <c r="E148" s="1">
        <v>45962</v>
      </c>
      <c r="F148" s="1">
        <v>45437</v>
      </c>
      <c r="G148" s="14" t="s">
        <v>307</v>
      </c>
      <c r="H148" s="14" t="s">
        <v>18</v>
      </c>
      <c r="I148">
        <v>122.56</v>
      </c>
      <c r="J148" s="14" t="s">
        <v>28</v>
      </c>
    </row>
    <row r="149" spans="1:10" x14ac:dyDescent="0.25">
      <c r="A149">
        <v>1072</v>
      </c>
      <c r="B149" s="14" t="s">
        <v>308</v>
      </c>
      <c r="C149">
        <v>37</v>
      </c>
      <c r="D149" s="14" t="s">
        <v>50</v>
      </c>
      <c r="E149" s="1">
        <v>45883</v>
      </c>
      <c r="F149" s="1">
        <v>45880</v>
      </c>
      <c r="G149" s="14" t="s">
        <v>309</v>
      </c>
      <c r="H149" s="14" t="s">
        <v>12</v>
      </c>
      <c r="I149">
        <v>238.81</v>
      </c>
      <c r="J149" s="14" t="s">
        <v>22</v>
      </c>
    </row>
    <row r="150" spans="1:10" x14ac:dyDescent="0.25">
      <c r="A150">
        <v>1011</v>
      </c>
      <c r="B150" s="14" t="s">
        <v>310</v>
      </c>
      <c r="C150">
        <v>66</v>
      </c>
      <c r="D150" s="14" t="s">
        <v>50</v>
      </c>
      <c r="E150" s="1">
        <v>45776</v>
      </c>
      <c r="F150" s="1">
        <v>45754</v>
      </c>
      <c r="G150" s="14" t="s">
        <v>311</v>
      </c>
      <c r="H150" s="14" t="s">
        <v>21</v>
      </c>
      <c r="I150">
        <v>413.21</v>
      </c>
      <c r="J150" s="14" t="s">
        <v>28</v>
      </c>
    </row>
    <row r="151" spans="1:10" x14ac:dyDescent="0.25">
      <c r="A151">
        <v>1097</v>
      </c>
      <c r="B151" s="14" t="s">
        <v>312</v>
      </c>
      <c r="C151">
        <v>48</v>
      </c>
      <c r="D151" s="14" t="s">
        <v>30</v>
      </c>
      <c r="E151" s="1">
        <v>45914</v>
      </c>
      <c r="F151" s="1">
        <v>45624</v>
      </c>
      <c r="G151" s="14" t="s">
        <v>313</v>
      </c>
      <c r="H151" s="14" t="s">
        <v>12</v>
      </c>
      <c r="I151">
        <v>91.87</v>
      </c>
      <c r="J151" s="14" t="s">
        <v>22</v>
      </c>
    </row>
    <row r="152" spans="1:10" x14ac:dyDescent="0.25">
      <c r="A152">
        <v>1028</v>
      </c>
      <c r="B152" s="14" t="s">
        <v>314</v>
      </c>
      <c r="C152">
        <v>56</v>
      </c>
      <c r="D152" s="14" t="s">
        <v>50</v>
      </c>
      <c r="E152" s="1">
        <v>45960</v>
      </c>
      <c r="F152" s="1">
        <v>45430</v>
      </c>
      <c r="G152" s="14" t="s">
        <v>315</v>
      </c>
      <c r="H152" s="14" t="s">
        <v>15</v>
      </c>
      <c r="I152">
        <v>485.5</v>
      </c>
      <c r="J152" s="14" t="s">
        <v>22</v>
      </c>
    </row>
    <row r="153" spans="1:10" x14ac:dyDescent="0.25">
      <c r="A153">
        <v>1057</v>
      </c>
      <c r="B153" s="14" t="s">
        <v>316</v>
      </c>
      <c r="C153">
        <v>32</v>
      </c>
      <c r="D153" s="14" t="s">
        <v>50</v>
      </c>
      <c r="E153" s="1">
        <v>45746</v>
      </c>
      <c r="F153" s="1">
        <v>45415</v>
      </c>
      <c r="G153" s="14" t="s">
        <v>317</v>
      </c>
      <c r="H153" s="14" t="s">
        <v>21</v>
      </c>
      <c r="I153">
        <v>209.81</v>
      </c>
      <c r="J153" s="14" t="s">
        <v>28</v>
      </c>
    </row>
    <row r="154" spans="1:10" x14ac:dyDescent="0.25">
      <c r="A154">
        <v>1002</v>
      </c>
      <c r="B154" s="14" t="s">
        <v>318</v>
      </c>
      <c r="C154">
        <v>87</v>
      </c>
      <c r="D154" s="14" t="s">
        <v>50</v>
      </c>
      <c r="E154" s="1">
        <v>45755</v>
      </c>
      <c r="F154" s="1">
        <v>45630</v>
      </c>
      <c r="G154" s="14" t="s">
        <v>319</v>
      </c>
      <c r="H154" s="14" t="s">
        <v>12</v>
      </c>
      <c r="I154">
        <v>401.55</v>
      </c>
      <c r="J154" s="14" t="s">
        <v>28</v>
      </c>
    </row>
    <row r="155" spans="1:10" x14ac:dyDescent="0.25">
      <c r="A155">
        <v>1065</v>
      </c>
      <c r="B155" s="14" t="s">
        <v>320</v>
      </c>
      <c r="C155">
        <v>18</v>
      </c>
      <c r="D155" s="14" t="s">
        <v>30</v>
      </c>
      <c r="E155" s="1">
        <v>45955</v>
      </c>
      <c r="F155" s="1">
        <v>45538</v>
      </c>
      <c r="G155" s="14" t="s">
        <v>321</v>
      </c>
      <c r="H155" s="14" t="s">
        <v>18</v>
      </c>
      <c r="I155">
        <v>283.3</v>
      </c>
      <c r="J155" s="14" t="s">
        <v>22</v>
      </c>
    </row>
    <row r="156" spans="1:10" x14ac:dyDescent="0.25">
      <c r="A156">
        <v>1026</v>
      </c>
      <c r="B156" s="14" t="s">
        <v>322</v>
      </c>
      <c r="C156">
        <v>87</v>
      </c>
      <c r="D156" s="14" t="s">
        <v>50</v>
      </c>
      <c r="E156" s="1">
        <v>46056</v>
      </c>
      <c r="F156" s="1">
        <v>45850</v>
      </c>
      <c r="G156" s="14" t="s">
        <v>323</v>
      </c>
      <c r="H156" s="14" t="s">
        <v>18</v>
      </c>
      <c r="I156">
        <v>146.19999999999999</v>
      </c>
      <c r="J156" s="14" t="s">
        <v>28</v>
      </c>
    </row>
    <row r="157" spans="1:10" x14ac:dyDescent="0.25">
      <c r="A157">
        <v>1100</v>
      </c>
      <c r="B157" s="14" t="s">
        <v>324</v>
      </c>
      <c r="C157">
        <v>62</v>
      </c>
      <c r="D157" s="14" t="s">
        <v>30</v>
      </c>
      <c r="E157" s="1">
        <v>45750</v>
      </c>
      <c r="F157" s="1">
        <v>45734</v>
      </c>
      <c r="G157" s="14" t="s">
        <v>325</v>
      </c>
      <c r="H157" s="14" t="s">
        <v>15</v>
      </c>
      <c r="I157">
        <v>211.18</v>
      </c>
      <c r="J157" s="14" t="s">
        <v>28</v>
      </c>
    </row>
    <row r="158" spans="1:10" x14ac:dyDescent="0.25">
      <c r="A158">
        <v>1066</v>
      </c>
      <c r="B158" s="14" t="s">
        <v>326</v>
      </c>
      <c r="C158">
        <v>86</v>
      </c>
      <c r="D158" s="14" t="s">
        <v>30</v>
      </c>
      <c r="E158" s="1">
        <v>46071</v>
      </c>
      <c r="F158" s="1">
        <v>45577</v>
      </c>
      <c r="G158" s="14" t="s">
        <v>327</v>
      </c>
      <c r="H158" s="14" t="s">
        <v>12</v>
      </c>
      <c r="I158">
        <v>476.99</v>
      </c>
      <c r="J158" s="14" t="s">
        <v>28</v>
      </c>
    </row>
    <row r="159" spans="1:10" x14ac:dyDescent="0.25">
      <c r="A159">
        <v>1025</v>
      </c>
      <c r="B159" s="14" t="s">
        <v>328</v>
      </c>
      <c r="C159">
        <v>25</v>
      </c>
      <c r="D159" s="14" t="s">
        <v>50</v>
      </c>
      <c r="E159" s="1">
        <v>45938</v>
      </c>
      <c r="F159" s="1">
        <v>45740</v>
      </c>
      <c r="G159" s="14" t="s">
        <v>329</v>
      </c>
      <c r="H159" s="14" t="s">
        <v>15</v>
      </c>
      <c r="I159">
        <v>248.33</v>
      </c>
      <c r="J159" s="14" t="s">
        <v>22</v>
      </c>
    </row>
    <row r="160" spans="1:10" x14ac:dyDescent="0.25">
      <c r="A160">
        <v>1038</v>
      </c>
      <c r="B160" s="14" t="s">
        <v>330</v>
      </c>
      <c r="C160">
        <v>46</v>
      </c>
      <c r="D160" s="14" t="s">
        <v>30</v>
      </c>
      <c r="E160" s="1">
        <v>45904</v>
      </c>
      <c r="F160" s="1">
        <v>45785</v>
      </c>
      <c r="G160" s="14" t="s">
        <v>331</v>
      </c>
      <c r="H160" s="14" t="s">
        <v>15</v>
      </c>
      <c r="I160">
        <v>192.67</v>
      </c>
      <c r="J160" s="14" t="s">
        <v>28</v>
      </c>
    </row>
    <row r="161" spans="1:10" x14ac:dyDescent="0.25">
      <c r="A161">
        <v>1038</v>
      </c>
      <c r="B161" s="14" t="s">
        <v>332</v>
      </c>
      <c r="C161">
        <v>39</v>
      </c>
      <c r="D161" s="14" t="s">
        <v>50</v>
      </c>
      <c r="E161" s="1">
        <v>45953</v>
      </c>
      <c r="F161" s="1">
        <v>45856</v>
      </c>
      <c r="G161" s="14" t="s">
        <v>333</v>
      </c>
      <c r="H161" s="14" t="s">
        <v>15</v>
      </c>
      <c r="J161" s="14" t="s">
        <v>22</v>
      </c>
    </row>
    <row r="162" spans="1:10" x14ac:dyDescent="0.25">
      <c r="A162">
        <v>1000</v>
      </c>
      <c r="B162" s="14" t="s">
        <v>334</v>
      </c>
      <c r="C162">
        <v>81</v>
      </c>
      <c r="D162" s="14" t="s">
        <v>30</v>
      </c>
      <c r="E162" s="1">
        <v>45956</v>
      </c>
      <c r="F162" s="1">
        <v>45707</v>
      </c>
      <c r="G162" s="14" t="s">
        <v>335</v>
      </c>
      <c r="H162" s="14" t="s">
        <v>21</v>
      </c>
      <c r="I162">
        <v>65.06</v>
      </c>
      <c r="J162" s="14" t="s">
        <v>28</v>
      </c>
    </row>
    <row r="163" spans="1:10" x14ac:dyDescent="0.25">
      <c r="A163">
        <v>1008</v>
      </c>
      <c r="B163" s="14" t="s">
        <v>336</v>
      </c>
      <c r="C163">
        <v>69</v>
      </c>
      <c r="D163" s="14" t="s">
        <v>30</v>
      </c>
      <c r="E163" s="1">
        <v>45785</v>
      </c>
      <c r="F163" s="1">
        <v>45681</v>
      </c>
      <c r="G163" s="14" t="s">
        <v>337</v>
      </c>
      <c r="H163" s="14" t="s">
        <v>18</v>
      </c>
      <c r="I163">
        <v>117.14</v>
      </c>
      <c r="J163" s="14" t="s">
        <v>28</v>
      </c>
    </row>
    <row r="164" spans="1:10" x14ac:dyDescent="0.25">
      <c r="A164">
        <v>1078</v>
      </c>
      <c r="B164" s="14" t="s">
        <v>338</v>
      </c>
      <c r="C164">
        <v>54</v>
      </c>
      <c r="D164" s="14" t="s">
        <v>30</v>
      </c>
      <c r="E164" s="1">
        <v>45867</v>
      </c>
      <c r="F164" s="1">
        <v>45449</v>
      </c>
      <c r="G164" s="14" t="s">
        <v>339</v>
      </c>
      <c r="H164" s="14" t="s">
        <v>18</v>
      </c>
      <c r="I164">
        <v>433.77</v>
      </c>
      <c r="J164" s="14" t="s">
        <v>22</v>
      </c>
    </row>
    <row r="165" spans="1:10" x14ac:dyDescent="0.25">
      <c r="A165">
        <v>1038</v>
      </c>
      <c r="B165" s="14" t="s">
        <v>340</v>
      </c>
      <c r="C165">
        <v>79</v>
      </c>
      <c r="D165" s="14" t="s">
        <v>30</v>
      </c>
      <c r="E165" s="1">
        <v>45790</v>
      </c>
      <c r="F165" s="1">
        <v>45537</v>
      </c>
      <c r="G165" s="14" t="s">
        <v>341</v>
      </c>
      <c r="H165" s="14" t="s">
        <v>15</v>
      </c>
      <c r="I165">
        <v>82.84</v>
      </c>
      <c r="J165" s="14" t="s">
        <v>22</v>
      </c>
    </row>
    <row r="166" spans="1:10" x14ac:dyDescent="0.25">
      <c r="A166">
        <v>1082</v>
      </c>
      <c r="B166" s="14" t="s">
        <v>342</v>
      </c>
      <c r="C166">
        <v>87</v>
      </c>
      <c r="D166" s="14" t="s">
        <v>24</v>
      </c>
      <c r="E166" s="1">
        <v>45742</v>
      </c>
      <c r="F166" s="1">
        <v>45377</v>
      </c>
      <c r="G166" s="14" t="s">
        <v>343</v>
      </c>
      <c r="H166" s="14" t="s">
        <v>15</v>
      </c>
      <c r="I166">
        <v>216.23</v>
      </c>
      <c r="J166" s="14" t="s">
        <v>28</v>
      </c>
    </row>
    <row r="167" spans="1:10" x14ac:dyDescent="0.25">
      <c r="A167">
        <v>1028</v>
      </c>
      <c r="B167" s="14" t="s">
        <v>344</v>
      </c>
      <c r="C167">
        <v>24</v>
      </c>
      <c r="D167" s="14" t="s">
        <v>50</v>
      </c>
      <c r="E167" s="1">
        <v>46010</v>
      </c>
      <c r="F167" s="1">
        <v>45839</v>
      </c>
      <c r="G167" s="14" t="s">
        <v>345</v>
      </c>
      <c r="H167" s="14" t="s">
        <v>21</v>
      </c>
      <c r="I167">
        <v>492.98</v>
      </c>
      <c r="J167" s="14" t="s">
        <v>28</v>
      </c>
    </row>
    <row r="168" spans="1:10" x14ac:dyDescent="0.25">
      <c r="A168">
        <v>1048</v>
      </c>
      <c r="B168" s="14" t="s">
        <v>346</v>
      </c>
      <c r="C168">
        <v>77</v>
      </c>
      <c r="D168" s="14" t="s">
        <v>30</v>
      </c>
      <c r="E168" s="1">
        <v>45951</v>
      </c>
      <c r="F168" s="1">
        <v>45491</v>
      </c>
      <c r="G168" s="14" t="s">
        <v>347</v>
      </c>
      <c r="H168" s="14" t="s">
        <v>21</v>
      </c>
      <c r="I168">
        <v>280.77</v>
      </c>
      <c r="J168" s="14" t="s">
        <v>22</v>
      </c>
    </row>
    <row r="169" spans="1:10" x14ac:dyDescent="0.25">
      <c r="A169">
        <v>1035</v>
      </c>
      <c r="B169" s="14" t="s">
        <v>348</v>
      </c>
      <c r="C169">
        <v>60</v>
      </c>
      <c r="D169" s="14" t="s">
        <v>50</v>
      </c>
      <c r="E169" s="1">
        <v>45974</v>
      </c>
      <c r="F169" s="1">
        <v>45831</v>
      </c>
      <c r="G169" s="14" t="s">
        <v>349</v>
      </c>
      <c r="H169" s="14" t="s">
        <v>12</v>
      </c>
      <c r="I169">
        <v>99.19</v>
      </c>
      <c r="J169" s="14" t="s">
        <v>22</v>
      </c>
    </row>
    <row r="170" spans="1:10" x14ac:dyDescent="0.25">
      <c r="A170">
        <v>1010</v>
      </c>
      <c r="B170" s="14" t="s">
        <v>350</v>
      </c>
      <c r="C170">
        <v>57</v>
      </c>
      <c r="D170" s="14" t="s">
        <v>50</v>
      </c>
      <c r="E170" s="1">
        <v>45802</v>
      </c>
      <c r="F170" s="1">
        <v>45744</v>
      </c>
      <c r="G170" s="14" t="s">
        <v>351</v>
      </c>
      <c r="H170" s="14" t="s">
        <v>21</v>
      </c>
      <c r="I170">
        <v>225.83</v>
      </c>
      <c r="J170" s="14" t="s">
        <v>28</v>
      </c>
    </row>
    <row r="171" spans="1:10" x14ac:dyDescent="0.25">
      <c r="A171">
        <v>1043</v>
      </c>
      <c r="B171" s="14" t="s">
        <v>352</v>
      </c>
      <c r="C171">
        <v>69</v>
      </c>
      <c r="D171" s="14" t="s">
        <v>50</v>
      </c>
      <c r="E171" s="1">
        <v>45783</v>
      </c>
      <c r="F171" s="1">
        <v>45563</v>
      </c>
      <c r="G171" s="14" t="s">
        <v>353</v>
      </c>
      <c r="H171" s="14" t="s">
        <v>12</v>
      </c>
      <c r="I171">
        <v>458.12</v>
      </c>
      <c r="J171" s="14" t="s">
        <v>28</v>
      </c>
    </row>
    <row r="172" spans="1:10" x14ac:dyDescent="0.25">
      <c r="A172">
        <v>1083</v>
      </c>
      <c r="B172" s="14" t="s">
        <v>354</v>
      </c>
      <c r="C172">
        <v>58</v>
      </c>
      <c r="D172" s="14" t="s">
        <v>50</v>
      </c>
      <c r="E172" s="1">
        <v>46039</v>
      </c>
      <c r="F172" s="1">
        <v>45859</v>
      </c>
      <c r="G172" s="14" t="s">
        <v>355</v>
      </c>
      <c r="H172" s="14" t="s">
        <v>12</v>
      </c>
      <c r="I172">
        <v>244.78</v>
      </c>
      <c r="J172" s="14" t="s">
        <v>22</v>
      </c>
    </row>
    <row r="173" spans="1:10" x14ac:dyDescent="0.25">
      <c r="A173">
        <v>1026</v>
      </c>
      <c r="B173" s="14" t="s">
        <v>356</v>
      </c>
      <c r="C173">
        <v>86</v>
      </c>
      <c r="D173" s="14" t="s">
        <v>30</v>
      </c>
      <c r="E173" s="1">
        <v>46008</v>
      </c>
      <c r="F173" s="1">
        <v>45919</v>
      </c>
      <c r="G173" s="14" t="s">
        <v>357</v>
      </c>
      <c r="H173" s="14" t="s">
        <v>15</v>
      </c>
      <c r="I173">
        <v>330.37</v>
      </c>
      <c r="J173" s="14" t="s">
        <v>22</v>
      </c>
    </row>
    <row r="174" spans="1:10" x14ac:dyDescent="0.25">
      <c r="A174">
        <v>1046</v>
      </c>
      <c r="B174" s="14" t="s">
        <v>358</v>
      </c>
      <c r="C174">
        <v>50</v>
      </c>
      <c r="D174" s="14" t="s">
        <v>30</v>
      </c>
      <c r="E174" s="1">
        <v>45994</v>
      </c>
      <c r="F174" s="1">
        <v>45506</v>
      </c>
      <c r="G174" s="14" t="s">
        <v>359</v>
      </c>
      <c r="H174" s="14" t="s">
        <v>15</v>
      </c>
      <c r="I174">
        <v>98.14</v>
      </c>
      <c r="J174" s="14" t="s">
        <v>28</v>
      </c>
    </row>
    <row r="175" spans="1:10" x14ac:dyDescent="0.25">
      <c r="A175">
        <v>1084</v>
      </c>
      <c r="B175" s="14" t="s">
        <v>360</v>
      </c>
      <c r="C175">
        <v>52</v>
      </c>
      <c r="D175" s="14" t="s">
        <v>24</v>
      </c>
      <c r="E175" s="1">
        <v>46019</v>
      </c>
      <c r="F175" s="1">
        <v>45712</v>
      </c>
      <c r="G175" s="14" t="s">
        <v>361</v>
      </c>
      <c r="H175" s="14" t="s">
        <v>21</v>
      </c>
      <c r="I175">
        <v>464.69</v>
      </c>
      <c r="J175" s="14" t="s">
        <v>28</v>
      </c>
    </row>
    <row r="176" spans="1:10" x14ac:dyDescent="0.25">
      <c r="A176">
        <v>1006</v>
      </c>
      <c r="B176" s="14" t="s">
        <v>362</v>
      </c>
      <c r="C176">
        <v>54</v>
      </c>
      <c r="D176" s="14" t="s">
        <v>30</v>
      </c>
      <c r="E176" s="1">
        <v>46049</v>
      </c>
      <c r="F176" s="1">
        <v>45536</v>
      </c>
      <c r="G176" s="14" t="s">
        <v>363</v>
      </c>
      <c r="H176" s="14" t="s">
        <v>15</v>
      </c>
      <c r="I176">
        <v>91.65</v>
      </c>
      <c r="J176" s="14" t="s">
        <v>22</v>
      </c>
    </row>
    <row r="177" spans="1:10" x14ac:dyDescent="0.25">
      <c r="A177">
        <v>1015</v>
      </c>
      <c r="B177" s="14" t="s">
        <v>364</v>
      </c>
      <c r="C177">
        <v>43</v>
      </c>
      <c r="D177" s="14" t="s">
        <v>30</v>
      </c>
      <c r="E177" s="1">
        <v>45987</v>
      </c>
      <c r="F177" s="1">
        <v>45894</v>
      </c>
      <c r="G177" s="14" t="s">
        <v>365</v>
      </c>
      <c r="H177" s="14" t="s">
        <v>18</v>
      </c>
      <c r="I177">
        <v>425.67</v>
      </c>
      <c r="J177" s="14" t="s">
        <v>28</v>
      </c>
    </row>
    <row r="178" spans="1:10" x14ac:dyDescent="0.25">
      <c r="A178">
        <v>1091</v>
      </c>
      <c r="B178" s="14" t="s">
        <v>366</v>
      </c>
      <c r="C178">
        <v>80</v>
      </c>
      <c r="D178" s="14" t="s">
        <v>50</v>
      </c>
      <c r="E178" s="1">
        <v>45913</v>
      </c>
      <c r="F178" s="1">
        <v>45845</v>
      </c>
      <c r="G178" s="14" t="s">
        <v>367</v>
      </c>
      <c r="H178" s="14" t="s">
        <v>12</v>
      </c>
      <c r="J178" s="14" t="s">
        <v>28</v>
      </c>
    </row>
    <row r="179" spans="1:10" x14ac:dyDescent="0.25">
      <c r="A179">
        <v>1024</v>
      </c>
      <c r="B179" s="14" t="s">
        <v>368</v>
      </c>
      <c r="C179">
        <v>34</v>
      </c>
      <c r="D179" s="14" t="s">
        <v>50</v>
      </c>
      <c r="E179" s="1">
        <v>46064</v>
      </c>
      <c r="F179" s="1">
        <v>45650</v>
      </c>
      <c r="G179" s="14" t="s">
        <v>369</v>
      </c>
      <c r="H179" s="14" t="s">
        <v>15</v>
      </c>
      <c r="I179">
        <v>140.86000000000001</v>
      </c>
      <c r="J179" s="14" t="s">
        <v>28</v>
      </c>
    </row>
    <row r="180" spans="1:10" x14ac:dyDescent="0.25">
      <c r="A180">
        <v>1033</v>
      </c>
      <c r="B180" s="14" t="s">
        <v>370</v>
      </c>
      <c r="C180">
        <v>87</v>
      </c>
      <c r="D180" s="14" t="s">
        <v>30</v>
      </c>
      <c r="E180" s="1">
        <v>45753</v>
      </c>
      <c r="F180" s="1">
        <v>45506</v>
      </c>
      <c r="G180" s="14" t="s">
        <v>371</v>
      </c>
      <c r="H180" s="14" t="s">
        <v>15</v>
      </c>
      <c r="I180">
        <v>446.06</v>
      </c>
      <c r="J180" s="14" t="s">
        <v>22</v>
      </c>
    </row>
    <row r="181" spans="1:10" x14ac:dyDescent="0.25">
      <c r="A181">
        <v>1010</v>
      </c>
      <c r="B181" s="14" t="s">
        <v>372</v>
      </c>
      <c r="C181">
        <v>21</v>
      </c>
      <c r="D181" s="14" t="s">
        <v>30</v>
      </c>
      <c r="E181" s="1">
        <v>46065</v>
      </c>
      <c r="F181" s="1">
        <v>45695</v>
      </c>
      <c r="G181" s="14" t="s">
        <v>373</v>
      </c>
      <c r="H181" s="14" t="s">
        <v>18</v>
      </c>
      <c r="I181">
        <v>138.59</v>
      </c>
      <c r="J181" s="14" t="s">
        <v>28</v>
      </c>
    </row>
    <row r="182" spans="1:10" x14ac:dyDescent="0.25">
      <c r="A182">
        <v>1082</v>
      </c>
      <c r="B182" s="14" t="s">
        <v>374</v>
      </c>
      <c r="C182">
        <v>37</v>
      </c>
      <c r="D182" s="14" t="s">
        <v>50</v>
      </c>
      <c r="E182" s="1">
        <v>45978</v>
      </c>
      <c r="F182" s="1">
        <v>45664</v>
      </c>
      <c r="G182" s="14" t="s">
        <v>375</v>
      </c>
      <c r="H182" s="14" t="s">
        <v>15</v>
      </c>
      <c r="I182">
        <v>448.6</v>
      </c>
      <c r="J182" s="14" t="s">
        <v>22</v>
      </c>
    </row>
    <row r="183" spans="1:10" x14ac:dyDescent="0.25">
      <c r="A183">
        <v>1096</v>
      </c>
      <c r="B183" s="14" t="s">
        <v>376</v>
      </c>
      <c r="C183">
        <v>42</v>
      </c>
      <c r="D183" s="14" t="s">
        <v>50</v>
      </c>
      <c r="E183" s="1">
        <v>45881</v>
      </c>
      <c r="F183" s="1">
        <v>45543</v>
      </c>
      <c r="G183" s="14" t="s">
        <v>377</v>
      </c>
      <c r="H183" s="14" t="s">
        <v>18</v>
      </c>
      <c r="I183">
        <v>150.94</v>
      </c>
      <c r="J183" s="14" t="s">
        <v>22</v>
      </c>
    </row>
    <row r="184" spans="1:10" x14ac:dyDescent="0.25">
      <c r="A184">
        <v>1011</v>
      </c>
      <c r="B184" s="14" t="s">
        <v>378</v>
      </c>
      <c r="C184">
        <v>53</v>
      </c>
      <c r="D184" s="14" t="s">
        <v>50</v>
      </c>
      <c r="E184" s="1">
        <v>45956</v>
      </c>
      <c r="F184" s="1">
        <v>45914</v>
      </c>
      <c r="G184" s="14" t="s">
        <v>379</v>
      </c>
      <c r="H184" s="14" t="s">
        <v>18</v>
      </c>
      <c r="I184">
        <v>339.19</v>
      </c>
      <c r="J184" s="14" t="s">
        <v>22</v>
      </c>
    </row>
    <row r="185" spans="1:10" x14ac:dyDescent="0.25">
      <c r="A185">
        <v>1002</v>
      </c>
      <c r="B185" s="14" t="s">
        <v>380</v>
      </c>
      <c r="C185">
        <v>35</v>
      </c>
      <c r="D185" s="14" t="s">
        <v>50</v>
      </c>
      <c r="E185" s="1">
        <v>45925</v>
      </c>
      <c r="F185" s="1">
        <v>45436</v>
      </c>
      <c r="G185" s="14" t="s">
        <v>381</v>
      </c>
      <c r="H185" s="14" t="s">
        <v>18</v>
      </c>
      <c r="I185">
        <v>187.28</v>
      </c>
      <c r="J185" s="14" t="s">
        <v>28</v>
      </c>
    </row>
    <row r="186" spans="1:10" x14ac:dyDescent="0.25">
      <c r="A186">
        <v>1016</v>
      </c>
      <c r="B186" s="14" t="s">
        <v>1993</v>
      </c>
      <c r="C186">
        <v>44</v>
      </c>
      <c r="D186" s="14" t="s">
        <v>50</v>
      </c>
      <c r="E186" s="1">
        <v>45830</v>
      </c>
      <c r="F186" s="1">
        <v>45461</v>
      </c>
      <c r="G186" s="14" t="s">
        <v>382</v>
      </c>
      <c r="H186" s="14" t="s">
        <v>15</v>
      </c>
      <c r="I186">
        <v>157.66</v>
      </c>
      <c r="J186" s="14" t="s">
        <v>28</v>
      </c>
    </row>
    <row r="187" spans="1:10" x14ac:dyDescent="0.25">
      <c r="A187">
        <v>1077</v>
      </c>
      <c r="B187" s="14" t="s">
        <v>383</v>
      </c>
      <c r="C187">
        <v>83</v>
      </c>
      <c r="D187" s="14" t="s">
        <v>50</v>
      </c>
      <c r="E187" s="1">
        <v>45790</v>
      </c>
      <c r="F187" s="1">
        <v>45716</v>
      </c>
      <c r="G187" s="14" t="s">
        <v>92</v>
      </c>
      <c r="H187" s="14" t="s">
        <v>21</v>
      </c>
      <c r="I187">
        <v>69.97</v>
      </c>
      <c r="J187" s="14" t="s">
        <v>28</v>
      </c>
    </row>
    <row r="188" spans="1:10" x14ac:dyDescent="0.25">
      <c r="A188">
        <v>1026</v>
      </c>
      <c r="B188" s="14" t="s">
        <v>384</v>
      </c>
      <c r="C188">
        <v>25</v>
      </c>
      <c r="D188" s="14" t="s">
        <v>30</v>
      </c>
      <c r="E188" s="1">
        <v>45845</v>
      </c>
      <c r="F188" s="1">
        <v>45449</v>
      </c>
      <c r="G188" s="14" t="s">
        <v>385</v>
      </c>
      <c r="H188" s="14" t="s">
        <v>21</v>
      </c>
      <c r="I188">
        <v>490.55</v>
      </c>
      <c r="J188" s="14" t="s">
        <v>28</v>
      </c>
    </row>
    <row r="189" spans="1:10" x14ac:dyDescent="0.25">
      <c r="A189">
        <v>1052</v>
      </c>
      <c r="B189" s="14" t="s">
        <v>386</v>
      </c>
      <c r="C189">
        <v>59</v>
      </c>
      <c r="D189" s="14" t="s">
        <v>30</v>
      </c>
      <c r="E189" s="1">
        <v>46095</v>
      </c>
      <c r="F189" s="1">
        <v>45683</v>
      </c>
      <c r="G189" s="14" t="s">
        <v>387</v>
      </c>
      <c r="H189" s="14" t="s">
        <v>15</v>
      </c>
      <c r="I189">
        <v>315.64</v>
      </c>
      <c r="J189" s="14" t="s">
        <v>22</v>
      </c>
    </row>
    <row r="190" spans="1:10" x14ac:dyDescent="0.25">
      <c r="A190">
        <v>1040</v>
      </c>
      <c r="B190" s="14" t="s">
        <v>388</v>
      </c>
      <c r="C190">
        <v>33</v>
      </c>
      <c r="D190" s="14" t="s">
        <v>30</v>
      </c>
      <c r="E190" s="1">
        <v>46041</v>
      </c>
      <c r="F190" s="1">
        <v>45381</v>
      </c>
      <c r="G190" s="14" t="s">
        <v>389</v>
      </c>
      <c r="H190" s="14" t="s">
        <v>21</v>
      </c>
      <c r="I190">
        <v>231.08</v>
      </c>
      <c r="J190" s="14" t="s">
        <v>28</v>
      </c>
    </row>
    <row r="191" spans="1:10" x14ac:dyDescent="0.25">
      <c r="A191">
        <v>1068</v>
      </c>
      <c r="B191" s="14" t="s">
        <v>390</v>
      </c>
      <c r="C191">
        <v>29</v>
      </c>
      <c r="D191" s="14" t="s">
        <v>50</v>
      </c>
      <c r="E191" s="1">
        <v>45804</v>
      </c>
      <c r="F191" s="1">
        <v>45588</v>
      </c>
      <c r="G191" s="14" t="s">
        <v>391</v>
      </c>
      <c r="H191" s="14" t="s">
        <v>21</v>
      </c>
      <c r="I191">
        <v>429.14</v>
      </c>
      <c r="J191" s="14" t="s">
        <v>28</v>
      </c>
    </row>
    <row r="192" spans="1:10" x14ac:dyDescent="0.25">
      <c r="A192">
        <v>1013</v>
      </c>
      <c r="B192" s="14" t="s">
        <v>392</v>
      </c>
      <c r="C192">
        <v>25</v>
      </c>
      <c r="D192" s="14" t="s">
        <v>50</v>
      </c>
      <c r="E192" s="1">
        <v>45962</v>
      </c>
      <c r="F192" s="1">
        <v>45502</v>
      </c>
      <c r="G192" s="14" t="s">
        <v>393</v>
      </c>
      <c r="H192" s="14" t="s">
        <v>15</v>
      </c>
      <c r="I192">
        <v>93.12</v>
      </c>
      <c r="J192" s="14" t="s">
        <v>22</v>
      </c>
    </row>
    <row r="193" spans="1:10" x14ac:dyDescent="0.25">
      <c r="A193">
        <v>1024</v>
      </c>
      <c r="B193" s="14" t="s">
        <v>394</v>
      </c>
      <c r="C193">
        <v>33</v>
      </c>
      <c r="D193" s="14" t="s">
        <v>30</v>
      </c>
      <c r="E193" s="1">
        <v>46075</v>
      </c>
      <c r="F193" s="1">
        <v>45919</v>
      </c>
      <c r="G193" s="14" t="s">
        <v>395</v>
      </c>
      <c r="H193" s="14" t="s">
        <v>15</v>
      </c>
      <c r="I193">
        <v>461.81</v>
      </c>
      <c r="J193" s="14" t="s">
        <v>28</v>
      </c>
    </row>
    <row r="194" spans="1:10" x14ac:dyDescent="0.25">
      <c r="A194">
        <v>1033</v>
      </c>
      <c r="B194" s="14" t="s">
        <v>396</v>
      </c>
      <c r="C194">
        <v>56</v>
      </c>
      <c r="D194" s="14" t="s">
        <v>30</v>
      </c>
      <c r="E194" s="1">
        <v>45968</v>
      </c>
      <c r="F194" s="1">
        <v>45632</v>
      </c>
      <c r="G194" s="14" t="s">
        <v>397</v>
      </c>
      <c r="H194" s="14" t="s">
        <v>15</v>
      </c>
      <c r="I194">
        <v>130.72</v>
      </c>
      <c r="J194" s="14" t="s">
        <v>28</v>
      </c>
    </row>
    <row r="195" spans="1:10" x14ac:dyDescent="0.25">
      <c r="A195">
        <v>1067</v>
      </c>
      <c r="B195" s="14" t="s">
        <v>398</v>
      </c>
      <c r="C195">
        <v>85</v>
      </c>
      <c r="D195" s="14" t="s">
        <v>50</v>
      </c>
      <c r="E195" s="1">
        <v>45955</v>
      </c>
      <c r="F195" s="1">
        <v>45709</v>
      </c>
      <c r="G195" s="14" t="s">
        <v>399</v>
      </c>
      <c r="H195" s="14" t="s">
        <v>15</v>
      </c>
      <c r="I195">
        <v>85.63</v>
      </c>
      <c r="J195" s="14" t="s">
        <v>28</v>
      </c>
    </row>
    <row r="196" spans="1:10" x14ac:dyDescent="0.25">
      <c r="A196">
        <v>1045</v>
      </c>
      <c r="B196" s="14" t="s">
        <v>400</v>
      </c>
      <c r="C196">
        <v>24</v>
      </c>
      <c r="D196" s="14" t="s">
        <v>30</v>
      </c>
      <c r="E196" s="1">
        <v>45807</v>
      </c>
      <c r="F196" s="1">
        <v>45736</v>
      </c>
      <c r="G196" s="14" t="s">
        <v>401</v>
      </c>
      <c r="H196" s="14" t="s">
        <v>18</v>
      </c>
      <c r="I196">
        <v>394.9</v>
      </c>
      <c r="J196" s="14" t="s">
        <v>28</v>
      </c>
    </row>
    <row r="197" spans="1:10" x14ac:dyDescent="0.25">
      <c r="A197">
        <v>1087</v>
      </c>
      <c r="B197" s="14" t="s">
        <v>402</v>
      </c>
      <c r="C197">
        <v>31</v>
      </c>
      <c r="D197" s="14" t="s">
        <v>30</v>
      </c>
      <c r="E197" s="1">
        <v>45979</v>
      </c>
      <c r="F197" s="1">
        <v>45749</v>
      </c>
      <c r="G197" s="14" t="s">
        <v>403</v>
      </c>
      <c r="H197" s="14" t="s">
        <v>21</v>
      </c>
      <c r="J197" s="14" t="s">
        <v>28</v>
      </c>
    </row>
    <row r="198" spans="1:10" x14ac:dyDescent="0.25">
      <c r="A198">
        <v>1056</v>
      </c>
      <c r="B198" s="14" t="s">
        <v>404</v>
      </c>
      <c r="C198">
        <v>24</v>
      </c>
      <c r="D198" s="14" t="s">
        <v>30</v>
      </c>
      <c r="E198" s="1">
        <v>45769</v>
      </c>
      <c r="F198" s="1">
        <v>45740</v>
      </c>
      <c r="G198" s="14" t="s">
        <v>405</v>
      </c>
      <c r="H198" s="14" t="s">
        <v>21</v>
      </c>
      <c r="J198" s="14" t="s">
        <v>28</v>
      </c>
    </row>
    <row r="199" spans="1:10" x14ac:dyDescent="0.25">
      <c r="A199">
        <v>1053</v>
      </c>
      <c r="B199" s="14" t="s">
        <v>406</v>
      </c>
      <c r="C199">
        <v>81</v>
      </c>
      <c r="D199" s="14" t="s">
        <v>30</v>
      </c>
      <c r="E199" s="1">
        <v>45760</v>
      </c>
      <c r="F199" s="1">
        <v>45629</v>
      </c>
      <c r="G199" s="14" t="s">
        <v>407</v>
      </c>
      <c r="H199" s="14" t="s">
        <v>12</v>
      </c>
      <c r="I199">
        <v>499.67</v>
      </c>
      <c r="J199" s="14" t="s">
        <v>28</v>
      </c>
    </row>
    <row r="200" spans="1:10" x14ac:dyDescent="0.25">
      <c r="A200">
        <v>1059</v>
      </c>
      <c r="B200" s="14" t="s">
        <v>408</v>
      </c>
      <c r="C200">
        <v>79</v>
      </c>
      <c r="D200" s="14" t="s">
        <v>50</v>
      </c>
      <c r="E200" s="1">
        <v>45893</v>
      </c>
      <c r="F200" s="1">
        <v>45890</v>
      </c>
      <c r="G200" s="14" t="s">
        <v>409</v>
      </c>
      <c r="H200" s="14" t="s">
        <v>15</v>
      </c>
      <c r="I200">
        <v>66.64</v>
      </c>
      <c r="J200" s="14" t="s">
        <v>28</v>
      </c>
    </row>
    <row r="201" spans="1:10" x14ac:dyDescent="0.25">
      <c r="A201">
        <v>1050</v>
      </c>
      <c r="B201" s="14" t="s">
        <v>410</v>
      </c>
      <c r="C201">
        <v>32</v>
      </c>
      <c r="D201" s="14" t="s">
        <v>50</v>
      </c>
      <c r="E201" s="1">
        <v>45751</v>
      </c>
      <c r="F201" s="1">
        <v>45428</v>
      </c>
      <c r="G201" s="14" t="s">
        <v>411</v>
      </c>
      <c r="H201" s="14" t="s">
        <v>15</v>
      </c>
      <c r="I201">
        <v>361.31</v>
      </c>
      <c r="J201" s="14" t="s">
        <v>28</v>
      </c>
    </row>
    <row r="202" spans="1:10" x14ac:dyDescent="0.25">
      <c r="A202">
        <v>1044</v>
      </c>
      <c r="B202" s="14" t="s">
        <v>412</v>
      </c>
      <c r="C202">
        <v>21</v>
      </c>
      <c r="D202" s="14" t="s">
        <v>30</v>
      </c>
      <c r="E202" s="1">
        <v>45830</v>
      </c>
      <c r="F202" s="1">
        <v>45452</v>
      </c>
      <c r="G202" s="14" t="s">
        <v>413</v>
      </c>
      <c r="H202" s="14" t="s">
        <v>15</v>
      </c>
      <c r="I202">
        <v>205.31</v>
      </c>
      <c r="J202" s="14" t="s">
        <v>22</v>
      </c>
    </row>
    <row r="203" spans="1:10" x14ac:dyDescent="0.25">
      <c r="A203">
        <v>1089</v>
      </c>
      <c r="B203" s="14" t="s">
        <v>414</v>
      </c>
      <c r="C203">
        <v>48</v>
      </c>
      <c r="D203" s="14" t="s">
        <v>50</v>
      </c>
      <c r="E203" s="1">
        <v>45742</v>
      </c>
      <c r="F203" s="1">
        <v>45629</v>
      </c>
      <c r="G203" s="14" t="s">
        <v>415</v>
      </c>
      <c r="H203" s="14" t="s">
        <v>12</v>
      </c>
      <c r="I203">
        <v>193.18</v>
      </c>
      <c r="J203" s="14" t="s">
        <v>22</v>
      </c>
    </row>
    <row r="204" spans="1:10" x14ac:dyDescent="0.25">
      <c r="A204">
        <v>1074</v>
      </c>
      <c r="B204" s="14" t="s">
        <v>416</v>
      </c>
      <c r="C204">
        <v>23</v>
      </c>
      <c r="D204" s="14" t="s">
        <v>50</v>
      </c>
      <c r="E204" s="1">
        <v>45984</v>
      </c>
      <c r="F204" s="1">
        <v>45910</v>
      </c>
      <c r="G204" s="14" t="s">
        <v>417</v>
      </c>
      <c r="H204" s="14" t="s">
        <v>15</v>
      </c>
      <c r="I204">
        <v>321.33999999999997</v>
      </c>
      <c r="J204" s="14" t="s">
        <v>22</v>
      </c>
    </row>
    <row r="205" spans="1:10" x14ac:dyDescent="0.25">
      <c r="A205">
        <v>1026</v>
      </c>
      <c r="B205" s="14" t="s">
        <v>418</v>
      </c>
      <c r="C205">
        <v>87</v>
      </c>
      <c r="D205" s="14" t="s">
        <v>30</v>
      </c>
      <c r="E205" s="1">
        <v>46059</v>
      </c>
      <c r="F205" s="1">
        <v>45515</v>
      </c>
      <c r="G205" s="14" t="s">
        <v>419</v>
      </c>
      <c r="H205" s="14" t="s">
        <v>18</v>
      </c>
      <c r="I205">
        <v>446.44</v>
      </c>
      <c r="J205" s="14" t="s">
        <v>28</v>
      </c>
    </row>
    <row r="206" spans="1:10" x14ac:dyDescent="0.25">
      <c r="A206">
        <v>1059</v>
      </c>
      <c r="B206" s="14" t="s">
        <v>420</v>
      </c>
      <c r="C206">
        <v>27</v>
      </c>
      <c r="D206" s="14" t="s">
        <v>30</v>
      </c>
      <c r="E206" s="1">
        <v>45892</v>
      </c>
      <c r="F206" s="1">
        <v>45608</v>
      </c>
      <c r="G206" s="14" t="s">
        <v>421</v>
      </c>
      <c r="H206" s="14" t="s">
        <v>21</v>
      </c>
      <c r="I206">
        <v>165.8</v>
      </c>
      <c r="J206" s="14" t="s">
        <v>28</v>
      </c>
    </row>
    <row r="207" spans="1:10" x14ac:dyDescent="0.25">
      <c r="A207">
        <v>1065</v>
      </c>
      <c r="B207" s="14" t="s">
        <v>422</v>
      </c>
      <c r="C207">
        <v>71</v>
      </c>
      <c r="D207" s="14" t="s">
        <v>30</v>
      </c>
      <c r="E207" s="1">
        <v>46088</v>
      </c>
      <c r="F207" s="1">
        <v>45746</v>
      </c>
      <c r="G207" s="14" t="s">
        <v>423</v>
      </c>
      <c r="H207" s="14" t="s">
        <v>12</v>
      </c>
      <c r="I207">
        <v>493.59</v>
      </c>
      <c r="J207" s="14" t="s">
        <v>28</v>
      </c>
    </row>
    <row r="208" spans="1:10" x14ac:dyDescent="0.25">
      <c r="A208">
        <v>1085</v>
      </c>
      <c r="B208" s="14" t="s">
        <v>424</v>
      </c>
      <c r="C208">
        <v>75</v>
      </c>
      <c r="D208" s="14" t="s">
        <v>50</v>
      </c>
      <c r="E208" s="1">
        <v>45967</v>
      </c>
      <c r="F208" s="1">
        <v>45579</v>
      </c>
      <c r="G208" s="14" t="s">
        <v>425</v>
      </c>
      <c r="H208" s="14" t="s">
        <v>15</v>
      </c>
      <c r="J208" s="14" t="s">
        <v>28</v>
      </c>
    </row>
    <row r="209" spans="1:10" x14ac:dyDescent="0.25">
      <c r="A209">
        <v>1024</v>
      </c>
      <c r="B209" s="14" t="s">
        <v>426</v>
      </c>
      <c r="C209">
        <v>86</v>
      </c>
      <c r="D209" s="14" t="s">
        <v>50</v>
      </c>
      <c r="E209" s="1">
        <v>46070</v>
      </c>
      <c r="F209" s="1">
        <v>46037</v>
      </c>
      <c r="G209" s="14" t="s">
        <v>427</v>
      </c>
      <c r="H209" s="14" t="s">
        <v>15</v>
      </c>
      <c r="I209">
        <v>489.64</v>
      </c>
      <c r="J209" s="14" t="s">
        <v>28</v>
      </c>
    </row>
    <row r="210" spans="1:10" x14ac:dyDescent="0.25">
      <c r="A210">
        <v>1048</v>
      </c>
      <c r="B210" s="14" t="s">
        <v>428</v>
      </c>
      <c r="C210">
        <v>33</v>
      </c>
      <c r="D210" s="14" t="s">
        <v>24</v>
      </c>
      <c r="E210" s="1">
        <v>45926</v>
      </c>
      <c r="F210" s="1">
        <v>45538</v>
      </c>
      <c r="G210" s="14" t="s">
        <v>429</v>
      </c>
      <c r="H210" s="14" t="s">
        <v>18</v>
      </c>
      <c r="J210" s="14" t="s">
        <v>28</v>
      </c>
    </row>
    <row r="211" spans="1:10" x14ac:dyDescent="0.25">
      <c r="A211">
        <v>1069</v>
      </c>
      <c r="B211" s="14" t="s">
        <v>430</v>
      </c>
      <c r="C211">
        <v>73</v>
      </c>
      <c r="D211" s="14" t="s">
        <v>30</v>
      </c>
      <c r="E211" s="1">
        <v>46030</v>
      </c>
      <c r="F211" s="1">
        <v>45517</v>
      </c>
      <c r="G211" s="14" t="s">
        <v>431</v>
      </c>
      <c r="H211" s="14" t="s">
        <v>21</v>
      </c>
      <c r="I211">
        <v>96.48</v>
      </c>
      <c r="J211" s="14" t="s">
        <v>28</v>
      </c>
    </row>
    <row r="212" spans="1:10" x14ac:dyDescent="0.25">
      <c r="A212">
        <v>1071</v>
      </c>
      <c r="B212" s="14" t="s">
        <v>432</v>
      </c>
      <c r="C212">
        <v>73</v>
      </c>
      <c r="D212" s="14" t="s">
        <v>50</v>
      </c>
      <c r="E212" s="1">
        <v>45964</v>
      </c>
      <c r="F212" s="1">
        <v>45408</v>
      </c>
      <c r="G212" s="14" t="s">
        <v>433</v>
      </c>
      <c r="H212" s="14" t="s">
        <v>15</v>
      </c>
      <c r="I212">
        <v>422.79</v>
      </c>
      <c r="J212" s="14" t="s">
        <v>28</v>
      </c>
    </row>
    <row r="213" spans="1:10" x14ac:dyDescent="0.25">
      <c r="A213">
        <v>1076</v>
      </c>
      <c r="B213" s="14" t="s">
        <v>434</v>
      </c>
      <c r="C213">
        <v>21</v>
      </c>
      <c r="D213" s="14" t="s">
        <v>30</v>
      </c>
      <c r="E213" s="1">
        <v>45949</v>
      </c>
      <c r="F213" s="1">
        <v>45871</v>
      </c>
      <c r="G213" s="14" t="s">
        <v>435</v>
      </c>
      <c r="H213" s="14" t="s">
        <v>15</v>
      </c>
      <c r="I213">
        <v>330.43</v>
      </c>
      <c r="J213" s="14" t="s">
        <v>28</v>
      </c>
    </row>
    <row r="214" spans="1:10" x14ac:dyDescent="0.25">
      <c r="A214">
        <v>1057</v>
      </c>
      <c r="B214" s="14" t="s">
        <v>436</v>
      </c>
      <c r="C214">
        <v>28</v>
      </c>
      <c r="D214" s="14" t="s">
        <v>50</v>
      </c>
      <c r="E214" s="1">
        <v>45816</v>
      </c>
      <c r="F214" s="1">
        <v>45814</v>
      </c>
      <c r="G214" s="14" t="s">
        <v>437</v>
      </c>
      <c r="H214" s="14" t="s">
        <v>18</v>
      </c>
      <c r="I214">
        <v>440.72</v>
      </c>
      <c r="J214" s="14" t="s">
        <v>22</v>
      </c>
    </row>
    <row r="215" spans="1:10" x14ac:dyDescent="0.25">
      <c r="A215">
        <v>1029</v>
      </c>
      <c r="B215" s="14" t="s">
        <v>438</v>
      </c>
      <c r="C215">
        <v>49</v>
      </c>
      <c r="D215" s="14" t="s">
        <v>30</v>
      </c>
      <c r="E215" s="1">
        <v>45792</v>
      </c>
      <c r="F215" s="1">
        <v>45756</v>
      </c>
      <c r="G215" s="14" t="s">
        <v>439</v>
      </c>
      <c r="H215" s="14" t="s">
        <v>18</v>
      </c>
      <c r="I215">
        <v>287.02999999999997</v>
      </c>
      <c r="J215" s="14" t="s">
        <v>28</v>
      </c>
    </row>
    <row r="216" spans="1:10" x14ac:dyDescent="0.25">
      <c r="A216">
        <v>1049</v>
      </c>
      <c r="B216" s="14" t="s">
        <v>440</v>
      </c>
      <c r="C216">
        <v>65</v>
      </c>
      <c r="D216" s="14" t="s">
        <v>50</v>
      </c>
      <c r="E216" s="1">
        <v>46032</v>
      </c>
      <c r="F216" s="1">
        <v>46028</v>
      </c>
      <c r="G216" s="14" t="s">
        <v>441</v>
      </c>
      <c r="H216" s="14" t="s">
        <v>21</v>
      </c>
      <c r="I216">
        <v>489</v>
      </c>
      <c r="J216" s="14" t="s">
        <v>28</v>
      </c>
    </row>
    <row r="217" spans="1:10" x14ac:dyDescent="0.25">
      <c r="A217">
        <v>1049</v>
      </c>
      <c r="B217" s="14" t="s">
        <v>442</v>
      </c>
      <c r="C217">
        <v>59</v>
      </c>
      <c r="D217" s="14" t="s">
        <v>50</v>
      </c>
      <c r="E217" s="1">
        <v>45975</v>
      </c>
      <c r="F217" s="1">
        <v>45770</v>
      </c>
      <c r="G217" s="14" t="s">
        <v>443</v>
      </c>
      <c r="H217" s="14" t="s">
        <v>18</v>
      </c>
      <c r="I217">
        <v>201.19</v>
      </c>
      <c r="J217" s="14" t="s">
        <v>22</v>
      </c>
    </row>
    <row r="218" spans="1:10" x14ac:dyDescent="0.25">
      <c r="A218">
        <v>1076</v>
      </c>
      <c r="B218" s="14" t="s">
        <v>444</v>
      </c>
      <c r="C218">
        <v>24</v>
      </c>
      <c r="D218" s="14" t="s">
        <v>30</v>
      </c>
      <c r="E218" s="1">
        <v>45936</v>
      </c>
      <c r="F218" s="1">
        <v>45456</v>
      </c>
      <c r="G218" s="14" t="s">
        <v>445</v>
      </c>
      <c r="H218" s="14" t="s">
        <v>15</v>
      </c>
      <c r="I218">
        <v>155.44999999999999</v>
      </c>
      <c r="J218" s="14" t="s">
        <v>28</v>
      </c>
    </row>
    <row r="219" spans="1:10" x14ac:dyDescent="0.25">
      <c r="A219">
        <v>1083</v>
      </c>
      <c r="B219" s="14" t="s">
        <v>446</v>
      </c>
      <c r="C219">
        <v>56</v>
      </c>
      <c r="D219" s="14" t="s">
        <v>30</v>
      </c>
      <c r="E219" s="1">
        <v>45754</v>
      </c>
      <c r="F219" s="1">
        <v>45665</v>
      </c>
      <c r="G219" s="14" t="s">
        <v>447</v>
      </c>
      <c r="H219" s="14" t="s">
        <v>18</v>
      </c>
      <c r="I219">
        <v>236.44</v>
      </c>
      <c r="J219" s="14" t="s">
        <v>28</v>
      </c>
    </row>
    <row r="220" spans="1:10" x14ac:dyDescent="0.25">
      <c r="A220">
        <v>1083</v>
      </c>
      <c r="B220" s="14" t="s">
        <v>448</v>
      </c>
      <c r="C220">
        <v>21</v>
      </c>
      <c r="D220" s="14" t="s">
        <v>30</v>
      </c>
      <c r="E220" s="1">
        <v>45887</v>
      </c>
      <c r="F220" s="1">
        <v>45496</v>
      </c>
      <c r="G220" s="14" t="s">
        <v>449</v>
      </c>
      <c r="H220" s="14" t="s">
        <v>12</v>
      </c>
      <c r="I220">
        <v>96.21</v>
      </c>
      <c r="J220" s="14" t="s">
        <v>28</v>
      </c>
    </row>
    <row r="221" spans="1:10" x14ac:dyDescent="0.25">
      <c r="A221">
        <v>1091</v>
      </c>
      <c r="B221" s="14" t="s">
        <v>450</v>
      </c>
      <c r="C221">
        <v>20</v>
      </c>
      <c r="D221" s="14" t="s">
        <v>50</v>
      </c>
      <c r="E221" s="1">
        <v>45997</v>
      </c>
      <c r="F221" s="1">
        <v>45986</v>
      </c>
      <c r="G221" s="14" t="s">
        <v>451</v>
      </c>
      <c r="H221" s="14" t="s">
        <v>21</v>
      </c>
      <c r="I221">
        <v>270.47000000000003</v>
      </c>
      <c r="J221" s="14" t="s">
        <v>28</v>
      </c>
    </row>
    <row r="222" spans="1:10" x14ac:dyDescent="0.25">
      <c r="A222">
        <v>1099</v>
      </c>
      <c r="B222" s="14" t="s">
        <v>452</v>
      </c>
      <c r="C222">
        <v>23</v>
      </c>
      <c r="D222" s="14" t="s">
        <v>50</v>
      </c>
      <c r="E222" s="1">
        <v>45897</v>
      </c>
      <c r="F222" s="1">
        <v>45539</v>
      </c>
      <c r="G222" s="14" t="s">
        <v>453</v>
      </c>
      <c r="H222" s="14" t="s">
        <v>12</v>
      </c>
      <c r="I222">
        <v>284.29000000000002</v>
      </c>
      <c r="J222" s="14" t="s">
        <v>22</v>
      </c>
    </row>
    <row r="223" spans="1:10" x14ac:dyDescent="0.25">
      <c r="A223">
        <v>1098</v>
      </c>
      <c r="B223" s="14" t="s">
        <v>454</v>
      </c>
      <c r="C223">
        <v>39</v>
      </c>
      <c r="D223" s="14" t="s">
        <v>30</v>
      </c>
      <c r="E223" s="1">
        <v>45962</v>
      </c>
      <c r="F223" s="1">
        <v>45578</v>
      </c>
      <c r="G223" s="14" t="s">
        <v>455</v>
      </c>
      <c r="H223" s="14" t="s">
        <v>21</v>
      </c>
      <c r="I223">
        <v>354.36</v>
      </c>
      <c r="J223" s="14" t="s">
        <v>22</v>
      </c>
    </row>
    <row r="224" spans="1:10" x14ac:dyDescent="0.25">
      <c r="A224">
        <v>1060</v>
      </c>
      <c r="B224" s="14" t="s">
        <v>456</v>
      </c>
      <c r="C224">
        <v>32</v>
      </c>
      <c r="D224" s="14" t="s">
        <v>24</v>
      </c>
      <c r="E224" s="1">
        <v>46024</v>
      </c>
      <c r="F224" s="1">
        <v>45706</v>
      </c>
      <c r="G224" s="14" t="s">
        <v>457</v>
      </c>
      <c r="H224" s="14" t="s">
        <v>15</v>
      </c>
      <c r="I224">
        <v>452.69</v>
      </c>
      <c r="J224" s="14" t="s">
        <v>28</v>
      </c>
    </row>
    <row r="225" spans="1:10" x14ac:dyDescent="0.25">
      <c r="A225">
        <v>1091</v>
      </c>
      <c r="B225" s="14" t="s">
        <v>458</v>
      </c>
      <c r="C225">
        <v>67</v>
      </c>
      <c r="D225" s="14" t="s">
        <v>50</v>
      </c>
      <c r="E225" s="1">
        <v>45870</v>
      </c>
      <c r="F225" s="1">
        <v>45786</v>
      </c>
      <c r="G225" s="14" t="s">
        <v>459</v>
      </c>
      <c r="H225" s="14" t="s">
        <v>18</v>
      </c>
      <c r="I225">
        <v>329.83</v>
      </c>
      <c r="J225" s="14" t="s">
        <v>22</v>
      </c>
    </row>
    <row r="226" spans="1:10" x14ac:dyDescent="0.25">
      <c r="A226">
        <v>1031</v>
      </c>
      <c r="B226" s="14" t="s">
        <v>460</v>
      </c>
      <c r="C226">
        <v>23</v>
      </c>
      <c r="D226" s="14" t="s">
        <v>50</v>
      </c>
      <c r="E226" s="1">
        <v>46087</v>
      </c>
      <c r="F226" s="1">
        <v>45493</v>
      </c>
      <c r="G226" s="14" t="s">
        <v>461</v>
      </c>
      <c r="H226" s="14" t="s">
        <v>12</v>
      </c>
      <c r="I226">
        <v>450.86</v>
      </c>
      <c r="J226" s="14" t="s">
        <v>28</v>
      </c>
    </row>
    <row r="227" spans="1:10" x14ac:dyDescent="0.25">
      <c r="A227">
        <v>1018</v>
      </c>
      <c r="B227" s="14" t="s">
        <v>462</v>
      </c>
      <c r="C227">
        <v>71</v>
      </c>
      <c r="D227" s="14" t="s">
        <v>50</v>
      </c>
      <c r="E227" s="1">
        <v>45794</v>
      </c>
      <c r="F227" s="1">
        <v>45651</v>
      </c>
      <c r="G227" s="14" t="s">
        <v>463</v>
      </c>
      <c r="H227" s="14" t="s">
        <v>18</v>
      </c>
      <c r="I227">
        <v>132.38</v>
      </c>
      <c r="J227" s="14" t="s">
        <v>28</v>
      </c>
    </row>
    <row r="228" spans="1:10" x14ac:dyDescent="0.25">
      <c r="A228">
        <v>1054</v>
      </c>
      <c r="B228" s="14" t="s">
        <v>464</v>
      </c>
      <c r="C228">
        <v>68</v>
      </c>
      <c r="D228" s="14" t="s">
        <v>50</v>
      </c>
      <c r="E228" s="1">
        <v>45761</v>
      </c>
      <c r="F228" s="1">
        <v>45701</v>
      </c>
      <c r="G228" s="14" t="s">
        <v>465</v>
      </c>
      <c r="H228" s="14" t="s">
        <v>21</v>
      </c>
      <c r="I228">
        <v>199.55</v>
      </c>
      <c r="J228" s="14" t="s">
        <v>22</v>
      </c>
    </row>
    <row r="229" spans="1:10" x14ac:dyDescent="0.25">
      <c r="A229">
        <v>1038</v>
      </c>
      <c r="B229" s="14" t="s">
        <v>466</v>
      </c>
      <c r="C229">
        <v>19</v>
      </c>
      <c r="D229" s="14" t="s">
        <v>50</v>
      </c>
      <c r="E229" s="1">
        <v>45747</v>
      </c>
      <c r="F229" s="1">
        <v>45592</v>
      </c>
      <c r="G229" s="14" t="s">
        <v>467</v>
      </c>
      <c r="H229" s="14" t="s">
        <v>12</v>
      </c>
      <c r="I229">
        <v>296.7</v>
      </c>
      <c r="J229" s="14" t="s">
        <v>22</v>
      </c>
    </row>
    <row r="230" spans="1:10" x14ac:dyDescent="0.25">
      <c r="A230">
        <v>1067</v>
      </c>
      <c r="B230" s="14" t="s">
        <v>468</v>
      </c>
      <c r="C230">
        <v>33</v>
      </c>
      <c r="D230" s="14" t="s">
        <v>30</v>
      </c>
      <c r="E230" s="1">
        <v>46020</v>
      </c>
      <c r="F230" s="1">
        <v>45441</v>
      </c>
      <c r="G230" s="14" t="s">
        <v>469</v>
      </c>
      <c r="H230" s="14" t="s">
        <v>21</v>
      </c>
      <c r="I230">
        <v>409.96</v>
      </c>
      <c r="J230" s="14" t="s">
        <v>22</v>
      </c>
    </row>
    <row r="231" spans="1:10" x14ac:dyDescent="0.25">
      <c r="A231">
        <v>1070</v>
      </c>
      <c r="B231" s="14" t="s">
        <v>470</v>
      </c>
      <c r="C231">
        <v>54</v>
      </c>
      <c r="D231" s="14" t="s">
        <v>50</v>
      </c>
      <c r="E231" s="1">
        <v>45831</v>
      </c>
      <c r="F231" s="1">
        <v>45528</v>
      </c>
      <c r="G231" s="14" t="s">
        <v>471</v>
      </c>
      <c r="H231" s="14" t="s">
        <v>18</v>
      </c>
      <c r="I231">
        <v>386.53</v>
      </c>
      <c r="J231" s="14" t="s">
        <v>22</v>
      </c>
    </row>
    <row r="232" spans="1:10" x14ac:dyDescent="0.25">
      <c r="A232">
        <v>1097</v>
      </c>
      <c r="B232" s="14" t="s">
        <v>472</v>
      </c>
      <c r="C232">
        <v>52</v>
      </c>
      <c r="D232" s="14" t="s">
        <v>50</v>
      </c>
      <c r="E232" s="1">
        <v>46031</v>
      </c>
      <c r="F232" s="1">
        <v>45875</v>
      </c>
      <c r="G232" s="14" t="s">
        <v>473</v>
      </c>
      <c r="H232" s="14" t="s">
        <v>18</v>
      </c>
      <c r="I232">
        <v>243.94</v>
      </c>
      <c r="J232" s="14" t="s">
        <v>28</v>
      </c>
    </row>
    <row r="233" spans="1:10" x14ac:dyDescent="0.25">
      <c r="A233">
        <v>1056</v>
      </c>
      <c r="B233" s="14" t="s">
        <v>474</v>
      </c>
      <c r="C233">
        <v>70</v>
      </c>
      <c r="D233" s="14" t="s">
        <v>30</v>
      </c>
      <c r="E233" s="1">
        <v>46017</v>
      </c>
      <c r="F233" s="1">
        <v>45882</v>
      </c>
      <c r="G233" s="14" t="s">
        <v>475</v>
      </c>
      <c r="H233" s="14" t="s">
        <v>21</v>
      </c>
      <c r="I233">
        <v>364.83</v>
      </c>
      <c r="J233" s="14" t="s">
        <v>28</v>
      </c>
    </row>
    <row r="234" spans="1:10" x14ac:dyDescent="0.25">
      <c r="A234">
        <v>1078</v>
      </c>
      <c r="B234" s="14" t="s">
        <v>476</v>
      </c>
      <c r="C234">
        <v>56</v>
      </c>
      <c r="D234" s="14" t="s">
        <v>30</v>
      </c>
      <c r="E234" s="1">
        <v>45743</v>
      </c>
      <c r="F234" s="1">
        <v>45432</v>
      </c>
      <c r="G234" s="14" t="s">
        <v>477</v>
      </c>
      <c r="H234" s="14" t="s">
        <v>15</v>
      </c>
      <c r="I234">
        <v>335.95</v>
      </c>
      <c r="J234" s="14" t="s">
        <v>28</v>
      </c>
    </row>
    <row r="235" spans="1:10" x14ac:dyDescent="0.25">
      <c r="A235">
        <v>1031</v>
      </c>
      <c r="B235" s="14" t="s">
        <v>478</v>
      </c>
      <c r="C235">
        <v>29</v>
      </c>
      <c r="D235" s="14" t="s">
        <v>30</v>
      </c>
      <c r="E235" s="1">
        <v>45874</v>
      </c>
      <c r="F235" s="1">
        <v>45562</v>
      </c>
      <c r="G235" s="14" t="s">
        <v>479</v>
      </c>
      <c r="H235" s="14" t="s">
        <v>15</v>
      </c>
      <c r="J235" s="14" t="s">
        <v>28</v>
      </c>
    </row>
    <row r="236" spans="1:10" x14ac:dyDescent="0.25">
      <c r="A236">
        <v>1035</v>
      </c>
      <c r="B236" s="14" t="s">
        <v>480</v>
      </c>
      <c r="C236">
        <v>80</v>
      </c>
      <c r="D236" s="14" t="s">
        <v>50</v>
      </c>
      <c r="E236" s="1">
        <v>45872</v>
      </c>
      <c r="F236" s="1">
        <v>45750</v>
      </c>
      <c r="G236" s="14" t="s">
        <v>481</v>
      </c>
      <c r="H236" s="14" t="s">
        <v>18</v>
      </c>
      <c r="I236">
        <v>387.58</v>
      </c>
      <c r="J236" s="14" t="s">
        <v>28</v>
      </c>
    </row>
    <row r="237" spans="1:10" x14ac:dyDescent="0.25">
      <c r="A237">
        <v>1079</v>
      </c>
      <c r="B237" s="14" t="s">
        <v>482</v>
      </c>
      <c r="C237">
        <v>24</v>
      </c>
      <c r="D237" s="14" t="s">
        <v>50</v>
      </c>
      <c r="E237" s="1">
        <v>46038</v>
      </c>
      <c r="F237" s="1">
        <v>45402</v>
      </c>
      <c r="G237" s="14" t="s">
        <v>483</v>
      </c>
      <c r="H237" s="14" t="s">
        <v>12</v>
      </c>
      <c r="I237">
        <v>360.39</v>
      </c>
      <c r="J237" s="14" t="s">
        <v>22</v>
      </c>
    </row>
    <row r="238" spans="1:10" x14ac:dyDescent="0.25">
      <c r="A238">
        <v>1062</v>
      </c>
      <c r="B238" s="14" t="s">
        <v>484</v>
      </c>
      <c r="C238">
        <v>20</v>
      </c>
      <c r="D238" s="14" t="s">
        <v>50</v>
      </c>
      <c r="E238" s="1">
        <v>45823</v>
      </c>
      <c r="F238" s="1">
        <v>45758</v>
      </c>
      <c r="G238" s="14" t="s">
        <v>485</v>
      </c>
      <c r="H238" s="14" t="s">
        <v>12</v>
      </c>
      <c r="I238">
        <v>288.24</v>
      </c>
      <c r="J238" s="14" t="s">
        <v>28</v>
      </c>
    </row>
    <row r="239" spans="1:10" x14ac:dyDescent="0.25">
      <c r="A239">
        <v>1006</v>
      </c>
      <c r="B239" s="14" t="s">
        <v>486</v>
      </c>
      <c r="C239">
        <v>56</v>
      </c>
      <c r="D239" s="14" t="s">
        <v>30</v>
      </c>
      <c r="E239" s="1">
        <v>46056</v>
      </c>
      <c r="F239" s="1">
        <v>45520</v>
      </c>
      <c r="G239" s="14" t="s">
        <v>487</v>
      </c>
      <c r="H239" s="14" t="s">
        <v>21</v>
      </c>
      <c r="I239">
        <v>286.43</v>
      </c>
      <c r="J239" s="14" t="s">
        <v>28</v>
      </c>
    </row>
    <row r="240" spans="1:10" x14ac:dyDescent="0.25">
      <c r="A240">
        <v>1034</v>
      </c>
      <c r="B240" s="14" t="s">
        <v>488</v>
      </c>
      <c r="C240">
        <v>60</v>
      </c>
      <c r="D240" s="14" t="s">
        <v>30</v>
      </c>
      <c r="E240" s="1">
        <v>46033</v>
      </c>
      <c r="F240" s="1">
        <v>45863</v>
      </c>
      <c r="G240" s="14" t="s">
        <v>489</v>
      </c>
      <c r="H240" s="14" t="s">
        <v>18</v>
      </c>
      <c r="J240" s="14" t="s">
        <v>22</v>
      </c>
    </row>
    <row r="241" spans="1:10" x14ac:dyDescent="0.25">
      <c r="A241">
        <v>1021</v>
      </c>
      <c r="B241" s="14" t="s">
        <v>490</v>
      </c>
      <c r="C241">
        <v>51</v>
      </c>
      <c r="D241" s="14" t="s">
        <v>50</v>
      </c>
      <c r="E241" s="1">
        <v>46018</v>
      </c>
      <c r="F241" s="1">
        <v>45668</v>
      </c>
      <c r="G241" s="14" t="s">
        <v>491</v>
      </c>
      <c r="H241" s="14" t="s">
        <v>21</v>
      </c>
      <c r="I241">
        <v>476.26</v>
      </c>
      <c r="J241" s="14" t="s">
        <v>22</v>
      </c>
    </row>
    <row r="242" spans="1:10" x14ac:dyDescent="0.25">
      <c r="A242">
        <v>1089</v>
      </c>
      <c r="B242" s="14" t="s">
        <v>492</v>
      </c>
      <c r="C242">
        <v>72</v>
      </c>
      <c r="D242" s="14" t="s">
        <v>30</v>
      </c>
      <c r="E242" s="1">
        <v>46017</v>
      </c>
      <c r="F242" s="1">
        <v>45509</v>
      </c>
      <c r="G242" s="14" t="s">
        <v>493</v>
      </c>
      <c r="H242" s="14" t="s">
        <v>18</v>
      </c>
      <c r="I242">
        <v>480.75</v>
      </c>
      <c r="J242" s="14" t="s">
        <v>28</v>
      </c>
    </row>
    <row r="243" spans="1:10" x14ac:dyDescent="0.25">
      <c r="A243">
        <v>1054</v>
      </c>
      <c r="B243" s="14" t="s">
        <v>494</v>
      </c>
      <c r="C243">
        <v>74</v>
      </c>
      <c r="D243" s="14" t="s">
        <v>30</v>
      </c>
      <c r="E243" s="1">
        <v>46068</v>
      </c>
      <c r="F243" s="1">
        <v>45807</v>
      </c>
      <c r="G243" s="14" t="s">
        <v>495</v>
      </c>
      <c r="H243" s="14" t="s">
        <v>18</v>
      </c>
      <c r="I243">
        <v>277.60000000000002</v>
      </c>
      <c r="J243" s="14" t="s">
        <v>22</v>
      </c>
    </row>
    <row r="244" spans="1:10" x14ac:dyDescent="0.25">
      <c r="A244">
        <v>1026</v>
      </c>
      <c r="B244" s="14" t="s">
        <v>496</v>
      </c>
      <c r="C244">
        <v>80</v>
      </c>
      <c r="D244" s="14" t="s">
        <v>50</v>
      </c>
      <c r="E244" s="1">
        <v>45774</v>
      </c>
      <c r="F244" s="1">
        <v>45739</v>
      </c>
      <c r="G244" s="14" t="s">
        <v>497</v>
      </c>
      <c r="H244" s="14" t="s">
        <v>21</v>
      </c>
      <c r="I244">
        <v>301.11</v>
      </c>
      <c r="J244" s="14" t="s">
        <v>28</v>
      </c>
    </row>
    <row r="245" spans="1:10" x14ac:dyDescent="0.25">
      <c r="A245">
        <v>1015</v>
      </c>
      <c r="B245" s="14" t="s">
        <v>498</v>
      </c>
      <c r="C245">
        <v>53</v>
      </c>
      <c r="D245" s="14" t="s">
        <v>30</v>
      </c>
      <c r="E245" s="1">
        <v>45933</v>
      </c>
      <c r="F245" s="1">
        <v>45839</v>
      </c>
      <c r="G245" s="14" t="s">
        <v>499</v>
      </c>
      <c r="H245" s="14" t="s">
        <v>15</v>
      </c>
      <c r="I245">
        <v>304.51</v>
      </c>
      <c r="J245" s="14" t="s">
        <v>22</v>
      </c>
    </row>
    <row r="246" spans="1:10" x14ac:dyDescent="0.25">
      <c r="A246">
        <v>1015</v>
      </c>
      <c r="B246" s="14" t="s">
        <v>500</v>
      </c>
      <c r="C246">
        <v>88</v>
      </c>
      <c r="D246" s="14" t="s">
        <v>24</v>
      </c>
      <c r="E246" s="1">
        <v>45949</v>
      </c>
      <c r="F246" s="1">
        <v>45813</v>
      </c>
      <c r="G246" s="14" t="s">
        <v>501</v>
      </c>
      <c r="H246" s="14" t="s">
        <v>15</v>
      </c>
      <c r="I246">
        <v>266.52999999999997</v>
      </c>
      <c r="J246" s="14" t="s">
        <v>28</v>
      </c>
    </row>
    <row r="247" spans="1:10" x14ac:dyDescent="0.25">
      <c r="A247">
        <v>1060</v>
      </c>
      <c r="B247" s="14" t="s">
        <v>502</v>
      </c>
      <c r="C247">
        <v>51</v>
      </c>
      <c r="D247" s="14" t="s">
        <v>30</v>
      </c>
      <c r="E247" s="1">
        <v>45844</v>
      </c>
      <c r="F247" s="1">
        <v>45765</v>
      </c>
      <c r="G247" s="14" t="s">
        <v>503</v>
      </c>
      <c r="H247" s="14" t="s">
        <v>21</v>
      </c>
      <c r="I247">
        <v>433.55</v>
      </c>
      <c r="J247" s="14" t="s">
        <v>28</v>
      </c>
    </row>
    <row r="248" spans="1:10" x14ac:dyDescent="0.25">
      <c r="A248">
        <v>1003</v>
      </c>
      <c r="B248" s="14" t="s">
        <v>504</v>
      </c>
      <c r="C248">
        <v>77</v>
      </c>
      <c r="D248" s="14" t="s">
        <v>50</v>
      </c>
      <c r="E248" s="1">
        <v>45811</v>
      </c>
      <c r="F248" s="1">
        <v>45430</v>
      </c>
      <c r="G248" s="14" t="s">
        <v>505</v>
      </c>
      <c r="H248" s="14" t="s">
        <v>15</v>
      </c>
      <c r="I248">
        <v>70.47</v>
      </c>
      <c r="J248" s="14" t="s">
        <v>28</v>
      </c>
    </row>
    <row r="249" spans="1:10" x14ac:dyDescent="0.25">
      <c r="A249">
        <v>1022</v>
      </c>
      <c r="B249" s="14" t="s">
        <v>506</v>
      </c>
      <c r="C249">
        <v>24</v>
      </c>
      <c r="D249" s="14" t="s">
        <v>30</v>
      </c>
      <c r="E249" s="1">
        <v>45888</v>
      </c>
      <c r="F249" s="1">
        <v>45787</v>
      </c>
      <c r="G249" s="14" t="s">
        <v>507</v>
      </c>
      <c r="H249" s="14" t="s">
        <v>18</v>
      </c>
      <c r="I249">
        <v>425.91</v>
      </c>
      <c r="J249" s="14" t="s">
        <v>28</v>
      </c>
    </row>
    <row r="250" spans="1:10" x14ac:dyDescent="0.25">
      <c r="A250">
        <v>1093</v>
      </c>
      <c r="B250" s="14" t="s">
        <v>508</v>
      </c>
      <c r="C250">
        <v>31</v>
      </c>
      <c r="D250" s="14" t="s">
        <v>24</v>
      </c>
      <c r="E250" s="1">
        <v>45804</v>
      </c>
      <c r="F250" s="1">
        <v>45646</v>
      </c>
      <c r="G250" s="14" t="s">
        <v>509</v>
      </c>
      <c r="H250" s="14" t="s">
        <v>21</v>
      </c>
      <c r="I250">
        <v>111.71</v>
      </c>
      <c r="J250" s="14" t="s">
        <v>22</v>
      </c>
    </row>
    <row r="251" spans="1:10" x14ac:dyDescent="0.25">
      <c r="A251">
        <v>1089</v>
      </c>
      <c r="B251" s="14" t="s">
        <v>510</v>
      </c>
      <c r="C251">
        <v>47</v>
      </c>
      <c r="D251" s="14" t="s">
        <v>30</v>
      </c>
      <c r="E251" s="1">
        <v>46064</v>
      </c>
      <c r="F251" s="1">
        <v>45702</v>
      </c>
      <c r="G251" s="14" t="s">
        <v>511</v>
      </c>
      <c r="H251" s="14" t="s">
        <v>12</v>
      </c>
      <c r="I251">
        <v>365.37</v>
      </c>
      <c r="J251" s="14" t="s">
        <v>22</v>
      </c>
    </row>
    <row r="252" spans="1:10" x14ac:dyDescent="0.25">
      <c r="A252">
        <v>1094</v>
      </c>
      <c r="B252" s="14" t="s">
        <v>512</v>
      </c>
      <c r="C252">
        <v>74</v>
      </c>
      <c r="D252" s="14" t="s">
        <v>50</v>
      </c>
      <c r="E252" s="1">
        <v>45825</v>
      </c>
      <c r="F252" s="1">
        <v>45407</v>
      </c>
      <c r="G252" s="14" t="s">
        <v>513</v>
      </c>
      <c r="H252" s="14" t="s">
        <v>12</v>
      </c>
      <c r="I252">
        <v>475.27</v>
      </c>
      <c r="J252" s="14" t="s">
        <v>28</v>
      </c>
    </row>
    <row r="253" spans="1:10" x14ac:dyDescent="0.25">
      <c r="A253">
        <v>1016</v>
      </c>
      <c r="B253" s="14" t="s">
        <v>514</v>
      </c>
      <c r="C253">
        <v>36</v>
      </c>
      <c r="D253" s="14" t="s">
        <v>30</v>
      </c>
      <c r="E253" s="1">
        <v>45996</v>
      </c>
      <c r="F253" s="1">
        <v>45458</v>
      </c>
      <c r="G253" s="14" t="s">
        <v>515</v>
      </c>
      <c r="H253" s="14" t="s">
        <v>18</v>
      </c>
      <c r="I253">
        <v>108.6</v>
      </c>
      <c r="J253" s="14" t="s">
        <v>22</v>
      </c>
    </row>
    <row r="254" spans="1:10" x14ac:dyDescent="0.25">
      <c r="A254">
        <v>1045</v>
      </c>
      <c r="B254" s="14" t="s">
        <v>516</v>
      </c>
      <c r="C254">
        <v>34</v>
      </c>
      <c r="D254" s="14" t="s">
        <v>30</v>
      </c>
      <c r="E254" s="1">
        <v>45791</v>
      </c>
      <c r="F254" s="1">
        <v>45431</v>
      </c>
      <c r="G254" s="14" t="s">
        <v>517</v>
      </c>
      <c r="H254" s="14" t="s">
        <v>12</v>
      </c>
      <c r="I254">
        <v>455.05</v>
      </c>
      <c r="J254" s="14" t="s">
        <v>22</v>
      </c>
    </row>
    <row r="255" spans="1:10" x14ac:dyDescent="0.25">
      <c r="A255">
        <v>1036</v>
      </c>
      <c r="B255" s="14" t="s">
        <v>518</v>
      </c>
      <c r="C255">
        <v>29</v>
      </c>
      <c r="D255" s="14" t="s">
        <v>50</v>
      </c>
      <c r="E255" s="1">
        <v>46050</v>
      </c>
      <c r="F255" s="1">
        <v>45629</v>
      </c>
      <c r="G255" s="14" t="s">
        <v>519</v>
      </c>
      <c r="H255" s="14" t="s">
        <v>18</v>
      </c>
      <c r="I255">
        <v>264.45</v>
      </c>
      <c r="J255" s="14" t="s">
        <v>22</v>
      </c>
    </row>
    <row r="256" spans="1:10" x14ac:dyDescent="0.25">
      <c r="A256">
        <v>1031</v>
      </c>
      <c r="B256" s="14" t="s">
        <v>520</v>
      </c>
      <c r="C256">
        <v>42</v>
      </c>
      <c r="D256" s="14" t="s">
        <v>30</v>
      </c>
      <c r="E256" s="1">
        <v>45874</v>
      </c>
      <c r="F256" s="1">
        <v>45865</v>
      </c>
      <c r="G256" s="14" t="s">
        <v>521</v>
      </c>
      <c r="H256" s="14" t="s">
        <v>15</v>
      </c>
      <c r="I256">
        <v>132.57</v>
      </c>
      <c r="J256" s="14" t="s">
        <v>22</v>
      </c>
    </row>
    <row r="257" spans="1:10" x14ac:dyDescent="0.25">
      <c r="A257">
        <v>1097</v>
      </c>
      <c r="B257" s="14" t="s">
        <v>522</v>
      </c>
      <c r="C257">
        <v>35</v>
      </c>
      <c r="D257" s="14" t="s">
        <v>24</v>
      </c>
      <c r="E257" s="1">
        <v>45766</v>
      </c>
      <c r="F257" s="1">
        <v>45758</v>
      </c>
      <c r="G257" s="14" t="s">
        <v>523</v>
      </c>
      <c r="H257" s="14" t="s">
        <v>12</v>
      </c>
      <c r="I257">
        <v>359.5</v>
      </c>
      <c r="J257" s="14" t="s">
        <v>22</v>
      </c>
    </row>
    <row r="258" spans="1:10" x14ac:dyDescent="0.25">
      <c r="A258">
        <v>1062</v>
      </c>
      <c r="B258" s="14" t="s">
        <v>524</v>
      </c>
      <c r="C258">
        <v>25</v>
      </c>
      <c r="D258" s="14" t="s">
        <v>50</v>
      </c>
      <c r="E258" s="1">
        <v>45936</v>
      </c>
      <c r="F258" s="1">
        <v>45456</v>
      </c>
      <c r="G258" s="14" t="s">
        <v>525</v>
      </c>
      <c r="H258" s="14" t="s">
        <v>12</v>
      </c>
      <c r="I258">
        <v>464.57</v>
      </c>
      <c r="J258" s="14" t="s">
        <v>22</v>
      </c>
    </row>
    <row r="259" spans="1:10" x14ac:dyDescent="0.25">
      <c r="A259">
        <v>1056</v>
      </c>
      <c r="B259" s="14" t="s">
        <v>526</v>
      </c>
      <c r="C259">
        <v>57</v>
      </c>
      <c r="D259" s="14" t="s">
        <v>30</v>
      </c>
      <c r="E259" s="1">
        <v>45828</v>
      </c>
      <c r="F259" s="1">
        <v>45701</v>
      </c>
      <c r="G259" s="14" t="s">
        <v>527</v>
      </c>
      <c r="H259" s="14" t="s">
        <v>18</v>
      </c>
      <c r="I259">
        <v>186.61</v>
      </c>
      <c r="J259" s="14" t="s">
        <v>28</v>
      </c>
    </row>
    <row r="260" spans="1:10" x14ac:dyDescent="0.25">
      <c r="A260">
        <v>1058</v>
      </c>
      <c r="B260" s="14" t="s">
        <v>528</v>
      </c>
      <c r="C260">
        <v>19</v>
      </c>
      <c r="D260" s="14" t="s">
        <v>50</v>
      </c>
      <c r="E260" s="1">
        <v>45788</v>
      </c>
      <c r="F260" s="1">
        <v>45749</v>
      </c>
      <c r="G260" s="14" t="s">
        <v>529</v>
      </c>
      <c r="H260" s="14" t="s">
        <v>18</v>
      </c>
      <c r="I260">
        <v>116.69</v>
      </c>
      <c r="J260" s="14" t="s">
        <v>28</v>
      </c>
    </row>
    <row r="261" spans="1:10" x14ac:dyDescent="0.25">
      <c r="A261">
        <v>1053</v>
      </c>
      <c r="B261" s="14" t="s">
        <v>530</v>
      </c>
      <c r="C261">
        <v>30</v>
      </c>
      <c r="D261" s="14" t="s">
        <v>30</v>
      </c>
      <c r="E261" s="1">
        <v>46105</v>
      </c>
      <c r="F261" s="1">
        <v>45377</v>
      </c>
      <c r="G261" s="14" t="s">
        <v>531</v>
      </c>
      <c r="H261" s="14" t="s">
        <v>21</v>
      </c>
      <c r="I261">
        <v>218.44</v>
      </c>
      <c r="J261" s="14" t="s">
        <v>22</v>
      </c>
    </row>
    <row r="262" spans="1:10" x14ac:dyDescent="0.25">
      <c r="A262">
        <v>1032</v>
      </c>
      <c r="B262" s="14" t="s">
        <v>532</v>
      </c>
      <c r="C262">
        <v>43</v>
      </c>
      <c r="D262" s="14" t="s">
        <v>30</v>
      </c>
      <c r="E262" s="1">
        <v>45830</v>
      </c>
      <c r="F262" s="1">
        <v>45682</v>
      </c>
      <c r="G262" s="14" t="s">
        <v>533</v>
      </c>
      <c r="H262" s="14" t="s">
        <v>18</v>
      </c>
      <c r="I262">
        <v>255.67</v>
      </c>
      <c r="J262" s="14" t="s">
        <v>22</v>
      </c>
    </row>
    <row r="263" spans="1:10" x14ac:dyDescent="0.25">
      <c r="A263">
        <v>1049</v>
      </c>
      <c r="B263" s="14" t="s">
        <v>534</v>
      </c>
      <c r="C263">
        <v>79</v>
      </c>
      <c r="D263" s="14" t="s">
        <v>50</v>
      </c>
      <c r="E263" s="1">
        <v>45997</v>
      </c>
      <c r="F263" s="1">
        <v>45544</v>
      </c>
      <c r="G263" s="14" t="s">
        <v>535</v>
      </c>
      <c r="H263" s="14" t="s">
        <v>18</v>
      </c>
      <c r="J263" s="14" t="s">
        <v>22</v>
      </c>
    </row>
    <row r="264" spans="1:10" x14ac:dyDescent="0.25">
      <c r="A264">
        <v>1068</v>
      </c>
      <c r="B264" s="14" t="s">
        <v>536</v>
      </c>
      <c r="C264">
        <v>61</v>
      </c>
      <c r="D264" s="14" t="s">
        <v>50</v>
      </c>
      <c r="E264" s="1">
        <v>45950</v>
      </c>
      <c r="F264" s="1">
        <v>45876</v>
      </c>
      <c r="G264" s="14" t="s">
        <v>537</v>
      </c>
      <c r="H264" s="14" t="s">
        <v>18</v>
      </c>
      <c r="I264">
        <v>129.47999999999999</v>
      </c>
      <c r="J264" s="14" t="s">
        <v>22</v>
      </c>
    </row>
    <row r="265" spans="1:10" x14ac:dyDescent="0.25">
      <c r="A265">
        <v>1015</v>
      </c>
      <c r="B265" s="14" t="s">
        <v>538</v>
      </c>
      <c r="C265">
        <v>53</v>
      </c>
      <c r="D265" s="14" t="s">
        <v>50</v>
      </c>
      <c r="E265" s="1">
        <v>45768</v>
      </c>
      <c r="F265" s="1">
        <v>45529</v>
      </c>
      <c r="G265" s="14" t="s">
        <v>539</v>
      </c>
      <c r="H265" s="14" t="s">
        <v>21</v>
      </c>
      <c r="I265">
        <v>299.02999999999997</v>
      </c>
      <c r="J265" s="14" t="s">
        <v>22</v>
      </c>
    </row>
    <row r="266" spans="1:10" x14ac:dyDescent="0.25">
      <c r="A266">
        <v>1090</v>
      </c>
      <c r="B266" s="14" t="s">
        <v>540</v>
      </c>
      <c r="C266">
        <v>70</v>
      </c>
      <c r="D266" s="14" t="s">
        <v>30</v>
      </c>
      <c r="E266" s="1">
        <v>46000</v>
      </c>
      <c r="F266" s="1">
        <v>45612</v>
      </c>
      <c r="G266" s="14" t="s">
        <v>541</v>
      </c>
      <c r="H266" s="14" t="s">
        <v>15</v>
      </c>
      <c r="I266">
        <v>459.66</v>
      </c>
      <c r="J266" s="14" t="s">
        <v>28</v>
      </c>
    </row>
    <row r="267" spans="1:10" x14ac:dyDescent="0.25">
      <c r="A267">
        <v>1086</v>
      </c>
      <c r="B267" s="14" t="s">
        <v>542</v>
      </c>
      <c r="C267">
        <v>72</v>
      </c>
      <c r="D267" s="14" t="s">
        <v>30</v>
      </c>
      <c r="E267" s="1">
        <v>46091</v>
      </c>
      <c r="F267" s="1">
        <v>45952</v>
      </c>
      <c r="G267" s="14" t="s">
        <v>543</v>
      </c>
      <c r="H267" s="14" t="s">
        <v>15</v>
      </c>
      <c r="I267">
        <v>403.61</v>
      </c>
      <c r="J267" s="14" t="s">
        <v>22</v>
      </c>
    </row>
    <row r="268" spans="1:10" x14ac:dyDescent="0.25">
      <c r="A268">
        <v>1088</v>
      </c>
      <c r="B268" s="14" t="s">
        <v>544</v>
      </c>
      <c r="C268">
        <v>49</v>
      </c>
      <c r="D268" s="14" t="s">
        <v>30</v>
      </c>
      <c r="E268" s="1">
        <v>45915</v>
      </c>
      <c r="F268" s="1">
        <v>45687</v>
      </c>
      <c r="G268" s="14" t="s">
        <v>545</v>
      </c>
      <c r="H268" s="14" t="s">
        <v>21</v>
      </c>
      <c r="I268">
        <v>241.48</v>
      </c>
      <c r="J268" s="14" t="s">
        <v>28</v>
      </c>
    </row>
    <row r="269" spans="1:10" x14ac:dyDescent="0.25">
      <c r="A269">
        <v>1034</v>
      </c>
      <c r="B269" s="14" t="s">
        <v>546</v>
      </c>
      <c r="C269">
        <v>44</v>
      </c>
      <c r="D269" s="14" t="s">
        <v>24</v>
      </c>
      <c r="E269" s="1">
        <v>45854</v>
      </c>
      <c r="F269" s="1">
        <v>45820</v>
      </c>
      <c r="G269" s="14" t="s">
        <v>547</v>
      </c>
      <c r="H269" s="14" t="s">
        <v>18</v>
      </c>
      <c r="I269">
        <v>417.38</v>
      </c>
      <c r="J269" s="14" t="s">
        <v>28</v>
      </c>
    </row>
    <row r="270" spans="1:10" x14ac:dyDescent="0.25">
      <c r="A270">
        <v>1070</v>
      </c>
      <c r="B270" s="14" t="s">
        <v>548</v>
      </c>
      <c r="C270">
        <v>68</v>
      </c>
      <c r="D270" s="14" t="s">
        <v>30</v>
      </c>
      <c r="E270" s="1">
        <v>45807</v>
      </c>
      <c r="F270" s="1">
        <v>45426</v>
      </c>
      <c r="G270" s="14" t="s">
        <v>549</v>
      </c>
      <c r="H270" s="14" t="s">
        <v>21</v>
      </c>
      <c r="I270">
        <v>390.97</v>
      </c>
      <c r="J270" s="14" t="s">
        <v>28</v>
      </c>
    </row>
    <row r="271" spans="1:10" x14ac:dyDescent="0.25">
      <c r="A271">
        <v>1032</v>
      </c>
      <c r="B271" s="14" t="s">
        <v>550</v>
      </c>
      <c r="C271">
        <v>88</v>
      </c>
      <c r="D271" s="14" t="s">
        <v>50</v>
      </c>
      <c r="E271" s="1">
        <v>46044</v>
      </c>
      <c r="F271" s="1">
        <v>45389</v>
      </c>
      <c r="G271" s="14" t="s">
        <v>551</v>
      </c>
      <c r="H271" s="14" t="s">
        <v>21</v>
      </c>
      <c r="I271">
        <v>100.2</v>
      </c>
      <c r="J271" s="14" t="s">
        <v>22</v>
      </c>
    </row>
    <row r="272" spans="1:10" x14ac:dyDescent="0.25">
      <c r="A272">
        <v>1036</v>
      </c>
      <c r="B272" s="14" t="s">
        <v>1994</v>
      </c>
      <c r="C272">
        <v>75</v>
      </c>
      <c r="D272" s="14" t="s">
        <v>50</v>
      </c>
      <c r="E272" s="1">
        <v>46076</v>
      </c>
      <c r="F272" s="1">
        <v>45581</v>
      </c>
      <c r="G272" s="14" t="s">
        <v>552</v>
      </c>
      <c r="H272" s="14" t="s">
        <v>12</v>
      </c>
      <c r="I272">
        <v>462.97</v>
      </c>
      <c r="J272" s="14" t="s">
        <v>22</v>
      </c>
    </row>
    <row r="273" spans="1:10" x14ac:dyDescent="0.25">
      <c r="A273">
        <v>1098</v>
      </c>
      <c r="B273" s="14" t="s">
        <v>553</v>
      </c>
      <c r="C273">
        <v>88</v>
      </c>
      <c r="D273" s="14" t="s">
        <v>30</v>
      </c>
      <c r="E273" s="1">
        <v>46067</v>
      </c>
      <c r="F273" s="1">
        <v>45653</v>
      </c>
      <c r="G273" s="14" t="s">
        <v>554</v>
      </c>
      <c r="H273" s="14" t="s">
        <v>15</v>
      </c>
      <c r="I273">
        <v>481.92</v>
      </c>
      <c r="J273" s="14" t="s">
        <v>22</v>
      </c>
    </row>
    <row r="274" spans="1:10" x14ac:dyDescent="0.25">
      <c r="A274">
        <v>1071</v>
      </c>
      <c r="B274" s="14" t="s">
        <v>555</v>
      </c>
      <c r="C274">
        <v>49</v>
      </c>
      <c r="D274" s="14" t="s">
        <v>50</v>
      </c>
      <c r="E274" s="1">
        <v>45801</v>
      </c>
      <c r="F274" s="1">
        <v>45636</v>
      </c>
      <c r="G274" s="14" t="s">
        <v>556</v>
      </c>
      <c r="H274" s="14" t="s">
        <v>15</v>
      </c>
      <c r="I274">
        <v>350.41</v>
      </c>
      <c r="J274" s="14" t="s">
        <v>22</v>
      </c>
    </row>
    <row r="275" spans="1:10" x14ac:dyDescent="0.25">
      <c r="A275">
        <v>1054</v>
      </c>
      <c r="B275" s="14" t="s">
        <v>557</v>
      </c>
      <c r="C275">
        <v>82</v>
      </c>
      <c r="D275" s="14" t="s">
        <v>50</v>
      </c>
      <c r="E275" s="1">
        <v>45984</v>
      </c>
      <c r="F275" s="1">
        <v>45633</v>
      </c>
      <c r="G275" s="14" t="s">
        <v>558</v>
      </c>
      <c r="H275" s="14" t="s">
        <v>12</v>
      </c>
      <c r="I275">
        <v>392.87</v>
      </c>
      <c r="J275" s="14" t="s">
        <v>28</v>
      </c>
    </row>
    <row r="276" spans="1:10" x14ac:dyDescent="0.25">
      <c r="A276">
        <v>1054</v>
      </c>
      <c r="B276" s="14" t="s">
        <v>559</v>
      </c>
      <c r="C276">
        <v>62</v>
      </c>
      <c r="D276" s="14" t="s">
        <v>50</v>
      </c>
      <c r="E276" s="1">
        <v>46038</v>
      </c>
      <c r="F276" s="1">
        <v>45852</v>
      </c>
      <c r="G276" s="14" t="s">
        <v>560</v>
      </c>
      <c r="H276" s="14" t="s">
        <v>15</v>
      </c>
      <c r="J276" s="14" t="s">
        <v>22</v>
      </c>
    </row>
    <row r="277" spans="1:10" x14ac:dyDescent="0.25">
      <c r="A277">
        <v>1090</v>
      </c>
      <c r="B277" s="14" t="s">
        <v>561</v>
      </c>
      <c r="C277">
        <v>55</v>
      </c>
      <c r="D277" s="14" t="s">
        <v>30</v>
      </c>
      <c r="E277" s="1">
        <v>45921</v>
      </c>
      <c r="F277" s="1">
        <v>45461</v>
      </c>
      <c r="G277" s="14" t="s">
        <v>562</v>
      </c>
      <c r="H277" s="14" t="s">
        <v>15</v>
      </c>
      <c r="I277">
        <v>202.41</v>
      </c>
      <c r="J277" s="14" t="s">
        <v>22</v>
      </c>
    </row>
    <row r="278" spans="1:10" x14ac:dyDescent="0.25">
      <c r="A278">
        <v>1027</v>
      </c>
      <c r="B278" s="14" t="s">
        <v>563</v>
      </c>
      <c r="C278">
        <v>83</v>
      </c>
      <c r="D278" s="14" t="s">
        <v>50</v>
      </c>
      <c r="E278" s="1">
        <v>45834</v>
      </c>
      <c r="F278" s="1">
        <v>45820</v>
      </c>
      <c r="G278" s="14" t="s">
        <v>564</v>
      </c>
      <c r="H278" s="14" t="s">
        <v>18</v>
      </c>
      <c r="I278">
        <v>225.1</v>
      </c>
      <c r="J278" s="14" t="s">
        <v>28</v>
      </c>
    </row>
    <row r="279" spans="1:10" x14ac:dyDescent="0.25">
      <c r="A279">
        <v>1017</v>
      </c>
      <c r="B279" s="14" t="s">
        <v>565</v>
      </c>
      <c r="C279">
        <v>86</v>
      </c>
      <c r="D279" s="14" t="s">
        <v>30</v>
      </c>
      <c r="E279" s="1">
        <v>45805</v>
      </c>
      <c r="F279" s="1">
        <v>45483</v>
      </c>
      <c r="G279" s="14" t="s">
        <v>566</v>
      </c>
      <c r="H279" s="14" t="s">
        <v>12</v>
      </c>
      <c r="J279" s="14" t="s">
        <v>28</v>
      </c>
    </row>
    <row r="280" spans="1:10" x14ac:dyDescent="0.25">
      <c r="A280">
        <v>1027</v>
      </c>
      <c r="B280" s="14" t="s">
        <v>567</v>
      </c>
      <c r="C280">
        <v>77</v>
      </c>
      <c r="D280" s="14" t="s">
        <v>30</v>
      </c>
      <c r="E280" s="1">
        <v>45919</v>
      </c>
      <c r="F280" s="1">
        <v>45524</v>
      </c>
      <c r="G280" s="14" t="s">
        <v>568</v>
      </c>
      <c r="H280" s="14" t="s">
        <v>12</v>
      </c>
      <c r="I280">
        <v>400.01</v>
      </c>
      <c r="J280" s="14" t="s">
        <v>28</v>
      </c>
    </row>
    <row r="281" spans="1:10" x14ac:dyDescent="0.25">
      <c r="A281">
        <v>1026</v>
      </c>
      <c r="B281" s="14" t="s">
        <v>569</v>
      </c>
      <c r="C281">
        <v>47</v>
      </c>
      <c r="D281" s="14" t="s">
        <v>30</v>
      </c>
      <c r="E281" s="1">
        <v>46028</v>
      </c>
      <c r="F281" s="1">
        <v>45576</v>
      </c>
      <c r="G281" s="14" t="s">
        <v>570</v>
      </c>
      <c r="H281" s="14" t="s">
        <v>18</v>
      </c>
      <c r="I281">
        <v>400.52</v>
      </c>
      <c r="J281" s="14" t="s">
        <v>28</v>
      </c>
    </row>
    <row r="282" spans="1:10" x14ac:dyDescent="0.25">
      <c r="A282">
        <v>1080</v>
      </c>
      <c r="B282" s="14" t="s">
        <v>571</v>
      </c>
      <c r="C282">
        <v>69</v>
      </c>
      <c r="D282" s="14" t="s">
        <v>50</v>
      </c>
      <c r="E282" s="1">
        <v>45945</v>
      </c>
      <c r="F282" s="1">
        <v>45819</v>
      </c>
      <c r="G282" s="14" t="s">
        <v>572</v>
      </c>
      <c r="H282" s="14" t="s">
        <v>21</v>
      </c>
      <c r="I282">
        <v>152.69999999999999</v>
      </c>
      <c r="J282" s="14" t="s">
        <v>22</v>
      </c>
    </row>
    <row r="283" spans="1:10" x14ac:dyDescent="0.25">
      <c r="A283">
        <v>1039</v>
      </c>
      <c r="B283" s="14" t="s">
        <v>573</v>
      </c>
      <c r="C283">
        <v>40</v>
      </c>
      <c r="D283" s="14" t="s">
        <v>30</v>
      </c>
      <c r="E283" s="1">
        <v>45903</v>
      </c>
      <c r="F283" s="1">
        <v>45390</v>
      </c>
      <c r="G283" s="14" t="s">
        <v>574</v>
      </c>
      <c r="H283" s="14" t="s">
        <v>12</v>
      </c>
      <c r="I283">
        <v>154.68</v>
      </c>
      <c r="J283" s="14" t="s">
        <v>28</v>
      </c>
    </row>
    <row r="284" spans="1:10" x14ac:dyDescent="0.25">
      <c r="A284">
        <v>1059</v>
      </c>
      <c r="B284" s="14" t="s">
        <v>575</v>
      </c>
      <c r="C284">
        <v>32</v>
      </c>
      <c r="D284" s="14" t="s">
        <v>50</v>
      </c>
      <c r="E284" s="1">
        <v>46092</v>
      </c>
      <c r="F284" s="1">
        <v>45861</v>
      </c>
      <c r="G284" s="14" t="s">
        <v>576</v>
      </c>
      <c r="H284" s="14" t="s">
        <v>21</v>
      </c>
      <c r="I284">
        <v>300.70999999999998</v>
      </c>
      <c r="J284" s="14" t="s">
        <v>28</v>
      </c>
    </row>
    <row r="285" spans="1:10" x14ac:dyDescent="0.25">
      <c r="A285">
        <v>1043</v>
      </c>
      <c r="B285" s="14" t="s">
        <v>577</v>
      </c>
      <c r="C285">
        <v>66</v>
      </c>
      <c r="D285" s="14" t="s">
        <v>50</v>
      </c>
      <c r="E285" s="1">
        <v>45983</v>
      </c>
      <c r="F285" s="1">
        <v>45907</v>
      </c>
      <c r="G285" s="14" t="s">
        <v>578</v>
      </c>
      <c r="H285" s="14" t="s">
        <v>18</v>
      </c>
      <c r="I285">
        <v>166.59</v>
      </c>
      <c r="J285" s="14" t="s">
        <v>28</v>
      </c>
    </row>
    <row r="286" spans="1:10" x14ac:dyDescent="0.25">
      <c r="A286">
        <v>1066</v>
      </c>
      <c r="B286" s="14" t="s">
        <v>1995</v>
      </c>
      <c r="C286">
        <v>28</v>
      </c>
      <c r="D286" s="14" t="s">
        <v>50</v>
      </c>
      <c r="E286" s="1">
        <v>45910</v>
      </c>
      <c r="F286" s="1">
        <v>45768</v>
      </c>
      <c r="G286" s="14" t="s">
        <v>579</v>
      </c>
      <c r="H286" s="14" t="s">
        <v>12</v>
      </c>
      <c r="I286">
        <v>357.83</v>
      </c>
      <c r="J286" s="14" t="s">
        <v>28</v>
      </c>
    </row>
    <row r="287" spans="1:10" x14ac:dyDescent="0.25">
      <c r="A287">
        <v>1040</v>
      </c>
      <c r="B287" s="14" t="s">
        <v>580</v>
      </c>
      <c r="C287">
        <v>35</v>
      </c>
      <c r="D287" s="14" t="s">
        <v>50</v>
      </c>
      <c r="E287" s="1">
        <v>45888</v>
      </c>
      <c r="F287" s="1">
        <v>45823</v>
      </c>
      <c r="G287" s="14" t="s">
        <v>581</v>
      </c>
      <c r="H287" s="14" t="s">
        <v>21</v>
      </c>
      <c r="I287">
        <v>458.11</v>
      </c>
      <c r="J287" s="14" t="s">
        <v>22</v>
      </c>
    </row>
    <row r="288" spans="1:10" x14ac:dyDescent="0.25">
      <c r="A288">
        <v>1090</v>
      </c>
      <c r="B288" s="14" t="s">
        <v>582</v>
      </c>
      <c r="C288">
        <v>25</v>
      </c>
      <c r="D288" s="14" t="s">
        <v>30</v>
      </c>
      <c r="E288" s="1">
        <v>45974</v>
      </c>
      <c r="F288" s="1">
        <v>45639</v>
      </c>
      <c r="G288" s="14" t="s">
        <v>583</v>
      </c>
      <c r="H288" s="14" t="s">
        <v>21</v>
      </c>
      <c r="I288">
        <v>85.07</v>
      </c>
      <c r="J288" s="14" t="s">
        <v>28</v>
      </c>
    </row>
    <row r="289" spans="1:10" x14ac:dyDescent="0.25">
      <c r="A289">
        <v>1003</v>
      </c>
      <c r="B289" s="14" t="s">
        <v>584</v>
      </c>
      <c r="C289">
        <v>81</v>
      </c>
      <c r="D289" s="14" t="s">
        <v>30</v>
      </c>
      <c r="E289" s="1">
        <v>45799</v>
      </c>
      <c r="F289" s="1">
        <v>45397</v>
      </c>
      <c r="G289" s="14" t="s">
        <v>585</v>
      </c>
      <c r="H289" s="14" t="s">
        <v>18</v>
      </c>
      <c r="I289">
        <v>209.67</v>
      </c>
      <c r="J289" s="14" t="s">
        <v>28</v>
      </c>
    </row>
    <row r="290" spans="1:10" x14ac:dyDescent="0.25">
      <c r="A290">
        <v>1054</v>
      </c>
      <c r="B290" s="14" t="s">
        <v>586</v>
      </c>
      <c r="C290">
        <v>30</v>
      </c>
      <c r="D290" s="14" t="s">
        <v>50</v>
      </c>
      <c r="E290" s="1">
        <v>46075</v>
      </c>
      <c r="F290" s="1">
        <v>45842</v>
      </c>
      <c r="G290" s="14" t="s">
        <v>587</v>
      </c>
      <c r="H290" s="14" t="s">
        <v>21</v>
      </c>
      <c r="I290">
        <v>239.39</v>
      </c>
      <c r="J290" s="14" t="s">
        <v>22</v>
      </c>
    </row>
    <row r="291" spans="1:10" x14ac:dyDescent="0.25">
      <c r="A291">
        <v>1003</v>
      </c>
      <c r="B291" s="14" t="s">
        <v>588</v>
      </c>
      <c r="C291">
        <v>41</v>
      </c>
      <c r="D291" s="14" t="s">
        <v>30</v>
      </c>
      <c r="E291" s="1">
        <v>45791</v>
      </c>
      <c r="F291" s="1">
        <v>45387</v>
      </c>
      <c r="G291" s="14" t="s">
        <v>344</v>
      </c>
      <c r="H291" s="14" t="s">
        <v>21</v>
      </c>
      <c r="I291">
        <v>398.73</v>
      </c>
      <c r="J291" s="14" t="s">
        <v>22</v>
      </c>
    </row>
    <row r="292" spans="1:10" x14ac:dyDescent="0.25">
      <c r="A292">
        <v>1011</v>
      </c>
      <c r="B292" s="14" t="s">
        <v>589</v>
      </c>
      <c r="C292">
        <v>54</v>
      </c>
      <c r="D292" s="14" t="s">
        <v>30</v>
      </c>
      <c r="E292" s="1">
        <v>46066</v>
      </c>
      <c r="F292" s="1">
        <v>45602</v>
      </c>
      <c r="G292" s="14" t="s">
        <v>590</v>
      </c>
      <c r="H292" s="14" t="s">
        <v>15</v>
      </c>
      <c r="I292">
        <v>325.86</v>
      </c>
      <c r="J292" s="14" t="s">
        <v>22</v>
      </c>
    </row>
    <row r="293" spans="1:10" x14ac:dyDescent="0.25">
      <c r="A293">
        <v>1029</v>
      </c>
      <c r="B293" s="14" t="s">
        <v>591</v>
      </c>
      <c r="C293">
        <v>30</v>
      </c>
      <c r="D293" s="14" t="s">
        <v>30</v>
      </c>
      <c r="E293" s="1">
        <v>45857</v>
      </c>
      <c r="F293" s="1">
        <v>45789</v>
      </c>
      <c r="G293" s="14" t="s">
        <v>592</v>
      </c>
      <c r="H293" s="14" t="s">
        <v>15</v>
      </c>
      <c r="I293">
        <v>451.11</v>
      </c>
      <c r="J293" s="14" t="s">
        <v>22</v>
      </c>
    </row>
    <row r="294" spans="1:10" x14ac:dyDescent="0.25">
      <c r="A294">
        <v>1051</v>
      </c>
      <c r="B294" s="14" t="s">
        <v>593</v>
      </c>
      <c r="C294">
        <v>53</v>
      </c>
      <c r="D294" s="14" t="s">
        <v>30</v>
      </c>
      <c r="E294" s="1">
        <v>45837</v>
      </c>
      <c r="F294" s="1">
        <v>45548</v>
      </c>
      <c r="G294" s="14" t="s">
        <v>594</v>
      </c>
      <c r="H294" s="14" t="s">
        <v>18</v>
      </c>
      <c r="I294">
        <v>416.39</v>
      </c>
      <c r="J294" s="14" t="s">
        <v>22</v>
      </c>
    </row>
    <row r="295" spans="1:10" x14ac:dyDescent="0.25">
      <c r="A295">
        <v>1041</v>
      </c>
      <c r="B295" s="14" t="s">
        <v>595</v>
      </c>
      <c r="C295">
        <v>65</v>
      </c>
      <c r="D295" s="14" t="s">
        <v>50</v>
      </c>
      <c r="E295" s="1">
        <v>45958</v>
      </c>
      <c r="F295" s="1">
        <v>45887</v>
      </c>
      <c r="G295" s="14" t="s">
        <v>596</v>
      </c>
      <c r="H295" s="14" t="s">
        <v>18</v>
      </c>
      <c r="I295">
        <v>303.42</v>
      </c>
      <c r="J295" s="14" t="s">
        <v>22</v>
      </c>
    </row>
    <row r="296" spans="1:10" x14ac:dyDescent="0.25">
      <c r="A296">
        <v>1004</v>
      </c>
      <c r="B296" s="14" t="s">
        <v>597</v>
      </c>
      <c r="C296">
        <v>64</v>
      </c>
      <c r="D296" s="14" t="s">
        <v>24</v>
      </c>
      <c r="E296" s="1">
        <v>46093</v>
      </c>
      <c r="F296" s="1">
        <v>45447</v>
      </c>
      <c r="G296" s="14" t="s">
        <v>598</v>
      </c>
      <c r="H296" s="14" t="s">
        <v>21</v>
      </c>
      <c r="I296">
        <v>124.85</v>
      </c>
      <c r="J296" s="14" t="s">
        <v>28</v>
      </c>
    </row>
    <row r="297" spans="1:10" x14ac:dyDescent="0.25">
      <c r="A297">
        <v>1054</v>
      </c>
      <c r="B297" s="14" t="s">
        <v>599</v>
      </c>
      <c r="C297">
        <v>78</v>
      </c>
      <c r="D297" s="14" t="s">
        <v>50</v>
      </c>
      <c r="E297" s="1">
        <v>46016</v>
      </c>
      <c r="F297" s="1">
        <v>45639</v>
      </c>
      <c r="G297" s="14" t="s">
        <v>600</v>
      </c>
      <c r="H297" s="14" t="s">
        <v>18</v>
      </c>
      <c r="I297">
        <v>370.37</v>
      </c>
      <c r="J297" s="14" t="s">
        <v>22</v>
      </c>
    </row>
    <row r="298" spans="1:10" x14ac:dyDescent="0.25">
      <c r="A298">
        <v>1006</v>
      </c>
      <c r="B298" s="14" t="s">
        <v>601</v>
      </c>
      <c r="C298">
        <v>63</v>
      </c>
      <c r="D298" s="14" t="s">
        <v>50</v>
      </c>
      <c r="E298" s="1">
        <v>46004</v>
      </c>
      <c r="F298" s="1">
        <v>45721</v>
      </c>
      <c r="G298" s="14" t="s">
        <v>602</v>
      </c>
      <c r="H298" s="14" t="s">
        <v>18</v>
      </c>
      <c r="I298">
        <v>416.85</v>
      </c>
      <c r="J298" s="14" t="s">
        <v>22</v>
      </c>
    </row>
    <row r="299" spans="1:10" x14ac:dyDescent="0.25">
      <c r="A299">
        <v>1076</v>
      </c>
      <c r="B299" s="14" t="s">
        <v>603</v>
      </c>
      <c r="C299">
        <v>23</v>
      </c>
      <c r="D299" s="14" t="s">
        <v>50</v>
      </c>
      <c r="E299" s="1">
        <v>45935</v>
      </c>
      <c r="F299" s="1">
        <v>45736</v>
      </c>
      <c r="G299" s="14" t="s">
        <v>604</v>
      </c>
      <c r="H299" s="14" t="s">
        <v>21</v>
      </c>
      <c r="J299" s="14" t="s">
        <v>22</v>
      </c>
    </row>
    <row r="300" spans="1:10" x14ac:dyDescent="0.25">
      <c r="A300">
        <v>1054</v>
      </c>
      <c r="B300" s="14" t="s">
        <v>605</v>
      </c>
      <c r="C300">
        <v>70</v>
      </c>
      <c r="D300" s="14" t="s">
        <v>30</v>
      </c>
      <c r="E300" s="1">
        <v>45964</v>
      </c>
      <c r="F300" s="1">
        <v>45824</v>
      </c>
      <c r="G300" s="14" t="s">
        <v>606</v>
      </c>
      <c r="H300" s="14" t="s">
        <v>12</v>
      </c>
      <c r="I300">
        <v>231.18</v>
      </c>
      <c r="J300" s="14" t="s">
        <v>28</v>
      </c>
    </row>
    <row r="301" spans="1:10" x14ac:dyDescent="0.25">
      <c r="A301">
        <v>1021</v>
      </c>
      <c r="B301" s="14" t="s">
        <v>607</v>
      </c>
      <c r="C301">
        <v>54</v>
      </c>
      <c r="D301" s="14" t="s">
        <v>50</v>
      </c>
      <c r="E301" s="1">
        <v>45920</v>
      </c>
      <c r="F301" s="1">
        <v>45467</v>
      </c>
      <c r="G301" s="14" t="s">
        <v>608</v>
      </c>
      <c r="H301" s="14" t="s">
        <v>12</v>
      </c>
      <c r="I301">
        <v>119.4</v>
      </c>
      <c r="J301" s="14" t="s">
        <v>22</v>
      </c>
    </row>
    <row r="302" spans="1:10" x14ac:dyDescent="0.25">
      <c r="A302">
        <v>1015</v>
      </c>
      <c r="B302" s="14" t="s">
        <v>609</v>
      </c>
      <c r="C302">
        <v>50</v>
      </c>
      <c r="D302" s="14" t="s">
        <v>30</v>
      </c>
      <c r="E302" s="1">
        <v>45894</v>
      </c>
      <c r="F302" s="1">
        <v>45461</v>
      </c>
      <c r="G302" s="14" t="s">
        <v>610</v>
      </c>
      <c r="H302" s="14" t="s">
        <v>18</v>
      </c>
      <c r="I302">
        <v>63.38</v>
      </c>
      <c r="J302" s="14" t="s">
        <v>28</v>
      </c>
    </row>
    <row r="303" spans="1:10" x14ac:dyDescent="0.25">
      <c r="A303">
        <v>1014</v>
      </c>
      <c r="B303" s="14" t="s">
        <v>611</v>
      </c>
      <c r="C303">
        <v>79</v>
      </c>
      <c r="D303" s="14" t="s">
        <v>30</v>
      </c>
      <c r="E303" s="1">
        <v>46050</v>
      </c>
      <c r="F303" s="1">
        <v>45385</v>
      </c>
      <c r="G303" s="14" t="s">
        <v>612</v>
      </c>
      <c r="H303" s="14" t="s">
        <v>18</v>
      </c>
      <c r="I303">
        <v>341.27</v>
      </c>
      <c r="J303" s="14" t="s">
        <v>28</v>
      </c>
    </row>
    <row r="304" spans="1:10" x14ac:dyDescent="0.25">
      <c r="A304">
        <v>1088</v>
      </c>
      <c r="B304" s="14" t="s">
        <v>613</v>
      </c>
      <c r="C304">
        <v>83</v>
      </c>
      <c r="D304" s="14" t="s">
        <v>50</v>
      </c>
      <c r="E304" s="1">
        <v>46025</v>
      </c>
      <c r="F304" s="1">
        <v>45647</v>
      </c>
      <c r="G304" s="14" t="s">
        <v>614</v>
      </c>
      <c r="H304" s="14" t="s">
        <v>15</v>
      </c>
      <c r="I304">
        <v>483.19</v>
      </c>
      <c r="J304" s="14" t="s">
        <v>28</v>
      </c>
    </row>
    <row r="305" spans="1:10" x14ac:dyDescent="0.25">
      <c r="A305">
        <v>1034</v>
      </c>
      <c r="B305" s="14" t="s">
        <v>615</v>
      </c>
      <c r="C305">
        <v>37</v>
      </c>
      <c r="D305" s="14" t="s">
        <v>30</v>
      </c>
      <c r="E305" s="1">
        <v>45939</v>
      </c>
      <c r="F305" s="1">
        <v>45752</v>
      </c>
      <c r="G305" s="14" t="s">
        <v>616</v>
      </c>
      <c r="H305" s="14" t="s">
        <v>18</v>
      </c>
      <c r="I305">
        <v>371.49</v>
      </c>
      <c r="J305" s="14" t="s">
        <v>22</v>
      </c>
    </row>
    <row r="306" spans="1:10" x14ac:dyDescent="0.25">
      <c r="A306">
        <v>1020</v>
      </c>
      <c r="B306" s="14" t="s">
        <v>617</v>
      </c>
      <c r="C306">
        <v>40</v>
      </c>
      <c r="D306" s="14" t="s">
        <v>30</v>
      </c>
      <c r="E306" s="1">
        <v>46036</v>
      </c>
      <c r="F306" s="1">
        <v>45974</v>
      </c>
      <c r="G306" s="14" t="s">
        <v>618</v>
      </c>
      <c r="H306" s="14" t="s">
        <v>18</v>
      </c>
      <c r="I306">
        <v>406.43</v>
      </c>
      <c r="J306" s="14" t="s">
        <v>22</v>
      </c>
    </row>
    <row r="307" spans="1:10" x14ac:dyDescent="0.25">
      <c r="A307">
        <v>1053</v>
      </c>
      <c r="B307" s="14" t="s">
        <v>619</v>
      </c>
      <c r="C307">
        <v>76</v>
      </c>
      <c r="D307" s="14" t="s">
        <v>50</v>
      </c>
      <c r="E307" s="1">
        <v>45827</v>
      </c>
      <c r="F307" s="1">
        <v>45777</v>
      </c>
      <c r="G307" s="14" t="s">
        <v>620</v>
      </c>
      <c r="H307" s="14" t="s">
        <v>12</v>
      </c>
      <c r="I307">
        <v>334.38</v>
      </c>
      <c r="J307" s="14" t="s">
        <v>22</v>
      </c>
    </row>
    <row r="308" spans="1:10" x14ac:dyDescent="0.25">
      <c r="A308">
        <v>1011</v>
      </c>
      <c r="B308" s="14" t="s">
        <v>621</v>
      </c>
      <c r="C308">
        <v>60</v>
      </c>
      <c r="D308" s="14" t="s">
        <v>50</v>
      </c>
      <c r="E308" s="1">
        <v>45830</v>
      </c>
      <c r="F308" s="1">
        <v>45408</v>
      </c>
      <c r="G308" s="14" t="s">
        <v>622</v>
      </c>
      <c r="H308" s="14" t="s">
        <v>12</v>
      </c>
      <c r="I308">
        <v>125.6</v>
      </c>
      <c r="J308" s="14" t="s">
        <v>22</v>
      </c>
    </row>
    <row r="309" spans="1:10" x14ac:dyDescent="0.25">
      <c r="A309">
        <v>1074</v>
      </c>
      <c r="B309" s="14" t="s">
        <v>623</v>
      </c>
      <c r="C309">
        <v>51</v>
      </c>
      <c r="D309" s="14" t="s">
        <v>50</v>
      </c>
      <c r="E309" s="1">
        <v>46019</v>
      </c>
      <c r="F309" s="1">
        <v>45764</v>
      </c>
      <c r="G309" s="14" t="s">
        <v>624</v>
      </c>
      <c r="H309" s="14" t="s">
        <v>21</v>
      </c>
      <c r="I309">
        <v>377.85</v>
      </c>
      <c r="J309" s="14" t="s">
        <v>22</v>
      </c>
    </row>
    <row r="310" spans="1:10" x14ac:dyDescent="0.25">
      <c r="A310">
        <v>1051</v>
      </c>
      <c r="B310" s="14" t="s">
        <v>625</v>
      </c>
      <c r="C310">
        <v>52</v>
      </c>
      <c r="D310" s="14" t="s">
        <v>30</v>
      </c>
      <c r="E310" s="1">
        <v>45907</v>
      </c>
      <c r="F310" s="1">
        <v>45405</v>
      </c>
      <c r="G310" s="14" t="s">
        <v>626</v>
      </c>
      <c r="H310" s="14" t="s">
        <v>12</v>
      </c>
      <c r="I310">
        <v>450.24</v>
      </c>
      <c r="J310" s="14" t="s">
        <v>28</v>
      </c>
    </row>
    <row r="311" spans="1:10" x14ac:dyDescent="0.25">
      <c r="A311">
        <v>1029</v>
      </c>
      <c r="B311" s="14" t="s">
        <v>627</v>
      </c>
      <c r="C311">
        <v>43</v>
      </c>
      <c r="D311" s="14" t="s">
        <v>30</v>
      </c>
      <c r="E311" s="1">
        <v>45925</v>
      </c>
      <c r="F311" s="1">
        <v>45595</v>
      </c>
      <c r="G311" s="14" t="s">
        <v>628</v>
      </c>
      <c r="H311" s="14" t="s">
        <v>12</v>
      </c>
      <c r="I311">
        <v>382.81</v>
      </c>
      <c r="J311" s="14" t="s">
        <v>28</v>
      </c>
    </row>
    <row r="312" spans="1:10" x14ac:dyDescent="0.25">
      <c r="A312">
        <v>1043</v>
      </c>
      <c r="B312" s="14" t="s">
        <v>629</v>
      </c>
      <c r="C312">
        <v>38</v>
      </c>
      <c r="D312" s="14" t="s">
        <v>50</v>
      </c>
      <c r="E312" s="1">
        <v>46047</v>
      </c>
      <c r="F312" s="1">
        <v>45391</v>
      </c>
      <c r="G312" s="14" t="s">
        <v>630</v>
      </c>
      <c r="H312" s="14" t="s">
        <v>18</v>
      </c>
      <c r="I312">
        <v>424.21</v>
      </c>
      <c r="J312" s="14" t="s">
        <v>22</v>
      </c>
    </row>
    <row r="313" spans="1:10" x14ac:dyDescent="0.25">
      <c r="A313">
        <v>1095</v>
      </c>
      <c r="B313" s="14" t="s">
        <v>631</v>
      </c>
      <c r="C313">
        <v>84</v>
      </c>
      <c r="D313" s="14" t="s">
        <v>30</v>
      </c>
      <c r="E313" s="1">
        <v>46068</v>
      </c>
      <c r="F313" s="1">
        <v>45982</v>
      </c>
      <c r="G313" s="14" t="s">
        <v>632</v>
      </c>
      <c r="H313" s="14" t="s">
        <v>15</v>
      </c>
      <c r="I313">
        <v>258.38</v>
      </c>
      <c r="J313" s="14" t="s">
        <v>28</v>
      </c>
    </row>
    <row r="314" spans="1:10" x14ac:dyDescent="0.25">
      <c r="A314">
        <v>1080</v>
      </c>
      <c r="B314" s="14" t="s">
        <v>633</v>
      </c>
      <c r="C314">
        <v>40</v>
      </c>
      <c r="D314" s="14" t="s">
        <v>50</v>
      </c>
      <c r="E314" s="1">
        <v>45896</v>
      </c>
      <c r="F314" s="1">
        <v>45851</v>
      </c>
      <c r="G314" s="14" t="s">
        <v>634</v>
      </c>
      <c r="H314" s="14" t="s">
        <v>15</v>
      </c>
      <c r="I314">
        <v>366.15</v>
      </c>
      <c r="J314" s="14" t="s">
        <v>28</v>
      </c>
    </row>
    <row r="315" spans="1:10" x14ac:dyDescent="0.25">
      <c r="A315">
        <v>1082</v>
      </c>
      <c r="B315" s="14" t="s">
        <v>635</v>
      </c>
      <c r="C315">
        <v>89</v>
      </c>
      <c r="D315" s="14" t="s">
        <v>50</v>
      </c>
      <c r="E315" s="1">
        <v>45743</v>
      </c>
      <c r="F315" s="1">
        <v>45642</v>
      </c>
      <c r="G315" s="14" t="s">
        <v>636</v>
      </c>
      <c r="H315" s="14" t="s">
        <v>12</v>
      </c>
      <c r="I315">
        <v>466.92</v>
      </c>
      <c r="J315" s="14" t="s">
        <v>22</v>
      </c>
    </row>
    <row r="316" spans="1:10" x14ac:dyDescent="0.25">
      <c r="A316">
        <v>1058</v>
      </c>
      <c r="B316" s="14" t="s">
        <v>637</v>
      </c>
      <c r="C316">
        <v>57</v>
      </c>
      <c r="D316" s="14" t="s">
        <v>30</v>
      </c>
      <c r="E316" s="1">
        <v>45960</v>
      </c>
      <c r="F316" s="1">
        <v>45531</v>
      </c>
      <c r="G316" s="14" t="s">
        <v>638</v>
      </c>
      <c r="H316" s="14" t="s">
        <v>18</v>
      </c>
      <c r="I316">
        <v>114.67</v>
      </c>
      <c r="J316" s="14" t="s">
        <v>28</v>
      </c>
    </row>
    <row r="317" spans="1:10" x14ac:dyDescent="0.25">
      <c r="A317">
        <v>1088</v>
      </c>
      <c r="B317" s="14" t="s">
        <v>639</v>
      </c>
      <c r="C317">
        <v>26</v>
      </c>
      <c r="D317" s="14" t="s">
        <v>30</v>
      </c>
      <c r="E317" s="1">
        <v>46085</v>
      </c>
      <c r="F317" s="1">
        <v>46019</v>
      </c>
      <c r="G317" s="14" t="s">
        <v>640</v>
      </c>
      <c r="H317" s="14" t="s">
        <v>12</v>
      </c>
      <c r="I317">
        <v>71.67</v>
      </c>
      <c r="J317" s="14" t="s">
        <v>22</v>
      </c>
    </row>
    <row r="318" spans="1:10" x14ac:dyDescent="0.25">
      <c r="A318">
        <v>1039</v>
      </c>
      <c r="B318" s="14" t="s">
        <v>641</v>
      </c>
      <c r="C318">
        <v>61</v>
      </c>
      <c r="D318" s="14" t="s">
        <v>30</v>
      </c>
      <c r="E318" s="1">
        <v>45968</v>
      </c>
      <c r="F318" s="1">
        <v>45921</v>
      </c>
      <c r="G318" s="14" t="s">
        <v>642</v>
      </c>
      <c r="H318" s="14" t="s">
        <v>21</v>
      </c>
      <c r="I318">
        <v>264.27</v>
      </c>
      <c r="J318" s="14" t="s">
        <v>22</v>
      </c>
    </row>
    <row r="319" spans="1:10" x14ac:dyDescent="0.25">
      <c r="A319">
        <v>1016</v>
      </c>
      <c r="B319" s="14" t="s">
        <v>643</v>
      </c>
      <c r="C319">
        <v>78</v>
      </c>
      <c r="D319" s="14" t="s">
        <v>30</v>
      </c>
      <c r="E319" s="1">
        <v>45798</v>
      </c>
      <c r="F319" s="1">
        <v>45522</v>
      </c>
      <c r="G319" s="14" t="s">
        <v>644</v>
      </c>
      <c r="H319" s="14" t="s">
        <v>18</v>
      </c>
      <c r="I319">
        <v>92.45</v>
      </c>
      <c r="J319" s="14" t="s">
        <v>28</v>
      </c>
    </row>
    <row r="320" spans="1:10" x14ac:dyDescent="0.25">
      <c r="A320">
        <v>1098</v>
      </c>
      <c r="B320" s="14" t="s">
        <v>645</v>
      </c>
      <c r="C320">
        <v>35</v>
      </c>
      <c r="D320" s="14" t="s">
        <v>50</v>
      </c>
      <c r="E320" s="1">
        <v>46008</v>
      </c>
      <c r="F320" s="1">
        <v>45409</v>
      </c>
      <c r="G320" s="14" t="s">
        <v>646</v>
      </c>
      <c r="H320" s="14" t="s">
        <v>15</v>
      </c>
      <c r="I320">
        <v>441.33</v>
      </c>
      <c r="J320" s="14" t="s">
        <v>22</v>
      </c>
    </row>
    <row r="321" spans="1:10" x14ac:dyDescent="0.25">
      <c r="A321">
        <v>1025</v>
      </c>
      <c r="B321" s="14" t="s">
        <v>647</v>
      </c>
      <c r="C321">
        <v>40</v>
      </c>
      <c r="D321" s="14" t="s">
        <v>50</v>
      </c>
      <c r="E321" s="1">
        <v>45880</v>
      </c>
      <c r="F321" s="1">
        <v>45506</v>
      </c>
      <c r="G321" s="14" t="s">
        <v>648</v>
      </c>
      <c r="H321" s="14" t="s">
        <v>15</v>
      </c>
      <c r="I321">
        <v>258.77999999999997</v>
      </c>
      <c r="J321" s="14" t="s">
        <v>22</v>
      </c>
    </row>
    <row r="322" spans="1:10" x14ac:dyDescent="0.25">
      <c r="A322">
        <v>1012</v>
      </c>
      <c r="B322" s="14" t="s">
        <v>649</v>
      </c>
      <c r="C322">
        <v>59</v>
      </c>
      <c r="D322" s="14" t="s">
        <v>30</v>
      </c>
      <c r="E322" s="1">
        <v>45778</v>
      </c>
      <c r="F322" s="1">
        <v>45567</v>
      </c>
      <c r="G322" s="14" t="s">
        <v>650</v>
      </c>
      <c r="H322" s="14" t="s">
        <v>21</v>
      </c>
      <c r="I322">
        <v>156.71</v>
      </c>
      <c r="J322" s="14" t="s">
        <v>28</v>
      </c>
    </row>
    <row r="323" spans="1:10" x14ac:dyDescent="0.25">
      <c r="A323">
        <v>1038</v>
      </c>
      <c r="B323" s="14" t="s">
        <v>651</v>
      </c>
      <c r="C323">
        <v>57</v>
      </c>
      <c r="D323" s="14" t="s">
        <v>30</v>
      </c>
      <c r="E323" s="1">
        <v>45776</v>
      </c>
      <c r="F323" s="1">
        <v>45398</v>
      </c>
      <c r="G323" s="14" t="s">
        <v>652</v>
      </c>
      <c r="H323" s="14" t="s">
        <v>18</v>
      </c>
      <c r="I323">
        <v>110.47</v>
      </c>
      <c r="J323" s="14" t="s">
        <v>28</v>
      </c>
    </row>
    <row r="324" spans="1:10" x14ac:dyDescent="0.25">
      <c r="A324">
        <v>1000</v>
      </c>
      <c r="B324" s="14" t="s">
        <v>653</v>
      </c>
      <c r="C324">
        <v>85</v>
      </c>
      <c r="D324" s="14" t="s">
        <v>50</v>
      </c>
      <c r="E324" s="1">
        <v>45823</v>
      </c>
      <c r="F324" s="1">
        <v>45476</v>
      </c>
      <c r="G324" s="14" t="s">
        <v>654</v>
      </c>
      <c r="H324" s="14" t="s">
        <v>18</v>
      </c>
      <c r="I324">
        <v>361.32</v>
      </c>
      <c r="J324" s="14" t="s">
        <v>22</v>
      </c>
    </row>
    <row r="325" spans="1:10" x14ac:dyDescent="0.25">
      <c r="A325">
        <v>1020</v>
      </c>
      <c r="B325" s="14" t="s">
        <v>655</v>
      </c>
      <c r="C325">
        <v>76</v>
      </c>
      <c r="D325" s="14" t="s">
        <v>30</v>
      </c>
      <c r="E325" s="1">
        <v>45807</v>
      </c>
      <c r="F325" s="1">
        <v>45500</v>
      </c>
      <c r="G325" s="14" t="s">
        <v>656</v>
      </c>
      <c r="H325" s="14" t="s">
        <v>21</v>
      </c>
      <c r="I325">
        <v>405.85</v>
      </c>
      <c r="J325" s="14" t="s">
        <v>22</v>
      </c>
    </row>
    <row r="326" spans="1:10" x14ac:dyDescent="0.25">
      <c r="A326">
        <v>1010</v>
      </c>
      <c r="B326" s="14" t="s">
        <v>657</v>
      </c>
      <c r="C326">
        <v>87</v>
      </c>
      <c r="D326" s="14" t="s">
        <v>24</v>
      </c>
      <c r="E326" s="1">
        <v>45813</v>
      </c>
      <c r="F326" s="1">
        <v>45396</v>
      </c>
      <c r="G326" s="14" t="s">
        <v>658</v>
      </c>
      <c r="H326" s="14" t="s">
        <v>18</v>
      </c>
      <c r="I326">
        <v>496.78</v>
      </c>
      <c r="J326" s="14" t="s">
        <v>28</v>
      </c>
    </row>
    <row r="327" spans="1:10" x14ac:dyDescent="0.25">
      <c r="A327">
        <v>1031</v>
      </c>
      <c r="B327" s="14" t="s">
        <v>659</v>
      </c>
      <c r="C327">
        <v>40</v>
      </c>
      <c r="D327" s="14" t="s">
        <v>50</v>
      </c>
      <c r="E327" s="1">
        <v>46065</v>
      </c>
      <c r="F327" s="1">
        <v>45394</v>
      </c>
      <c r="G327" s="14" t="s">
        <v>660</v>
      </c>
      <c r="H327" s="14" t="s">
        <v>18</v>
      </c>
      <c r="I327">
        <v>364.33</v>
      </c>
      <c r="J327" s="14" t="s">
        <v>22</v>
      </c>
    </row>
    <row r="328" spans="1:10" x14ac:dyDescent="0.25">
      <c r="A328">
        <v>1006</v>
      </c>
      <c r="B328" s="14" t="s">
        <v>661</v>
      </c>
      <c r="C328">
        <v>54</v>
      </c>
      <c r="D328" s="14" t="s">
        <v>30</v>
      </c>
      <c r="E328" s="1">
        <v>45826</v>
      </c>
      <c r="F328" s="1">
        <v>45602</v>
      </c>
      <c r="G328" s="14" t="s">
        <v>662</v>
      </c>
      <c r="H328" s="14" t="s">
        <v>18</v>
      </c>
      <c r="I328">
        <v>119.63</v>
      </c>
      <c r="J328" s="14" t="s">
        <v>22</v>
      </c>
    </row>
    <row r="329" spans="1:10" x14ac:dyDescent="0.25">
      <c r="A329">
        <v>1078</v>
      </c>
      <c r="B329" s="14" t="s">
        <v>663</v>
      </c>
      <c r="C329">
        <v>85</v>
      </c>
      <c r="D329" s="14" t="s">
        <v>30</v>
      </c>
      <c r="E329" s="1">
        <v>45858</v>
      </c>
      <c r="F329" s="1">
        <v>45623</v>
      </c>
      <c r="G329" s="14" t="s">
        <v>664</v>
      </c>
      <c r="H329" s="14" t="s">
        <v>21</v>
      </c>
      <c r="I329">
        <v>399.55</v>
      </c>
      <c r="J329" s="14" t="s">
        <v>22</v>
      </c>
    </row>
    <row r="330" spans="1:10" x14ac:dyDescent="0.25">
      <c r="A330">
        <v>1021</v>
      </c>
      <c r="B330" s="14" t="s">
        <v>665</v>
      </c>
      <c r="C330">
        <v>43</v>
      </c>
      <c r="D330" s="14" t="s">
        <v>30</v>
      </c>
      <c r="E330" s="1">
        <v>45772</v>
      </c>
      <c r="F330" s="1">
        <v>45748</v>
      </c>
      <c r="G330" s="14" t="s">
        <v>666</v>
      </c>
      <c r="H330" s="14" t="s">
        <v>18</v>
      </c>
      <c r="I330">
        <v>186.4</v>
      </c>
      <c r="J330" s="14" t="s">
        <v>22</v>
      </c>
    </row>
    <row r="331" spans="1:10" x14ac:dyDescent="0.25">
      <c r="A331">
        <v>1084</v>
      </c>
      <c r="B331" s="14" t="s">
        <v>667</v>
      </c>
      <c r="C331">
        <v>53</v>
      </c>
      <c r="D331" s="14" t="s">
        <v>30</v>
      </c>
      <c r="E331" s="1">
        <v>45966</v>
      </c>
      <c r="F331" s="1">
        <v>45870</v>
      </c>
      <c r="G331" s="14" t="s">
        <v>668</v>
      </c>
      <c r="H331" s="14" t="s">
        <v>18</v>
      </c>
      <c r="I331">
        <v>234.99</v>
      </c>
      <c r="J331" s="14" t="s">
        <v>28</v>
      </c>
    </row>
    <row r="332" spans="1:10" x14ac:dyDescent="0.25">
      <c r="A332">
        <v>1025</v>
      </c>
      <c r="B332" s="14" t="s">
        <v>669</v>
      </c>
      <c r="C332">
        <v>55</v>
      </c>
      <c r="D332" s="14" t="s">
        <v>30</v>
      </c>
      <c r="E332" s="1">
        <v>45976</v>
      </c>
      <c r="F332" s="1">
        <v>45479</v>
      </c>
      <c r="G332" s="14" t="s">
        <v>670</v>
      </c>
      <c r="H332" s="14" t="s">
        <v>21</v>
      </c>
      <c r="I332">
        <v>316.26</v>
      </c>
      <c r="J332" s="14" t="s">
        <v>22</v>
      </c>
    </row>
    <row r="333" spans="1:10" x14ac:dyDescent="0.25">
      <c r="A333">
        <v>1015</v>
      </c>
      <c r="B333" s="14" t="s">
        <v>671</v>
      </c>
      <c r="C333">
        <v>21</v>
      </c>
      <c r="D333" s="14" t="s">
        <v>30</v>
      </c>
      <c r="E333" s="1">
        <v>45998</v>
      </c>
      <c r="F333" s="1">
        <v>45716</v>
      </c>
      <c r="G333" s="14" t="s">
        <v>672</v>
      </c>
      <c r="H333" s="14" t="s">
        <v>15</v>
      </c>
      <c r="I333">
        <v>129.91</v>
      </c>
      <c r="J333" s="14" t="s">
        <v>28</v>
      </c>
    </row>
    <row r="334" spans="1:10" x14ac:dyDescent="0.25">
      <c r="A334">
        <v>1084</v>
      </c>
      <c r="B334" s="14" t="s">
        <v>673</v>
      </c>
      <c r="C334">
        <v>78</v>
      </c>
      <c r="D334" s="14" t="s">
        <v>50</v>
      </c>
      <c r="E334" s="1">
        <v>46064</v>
      </c>
      <c r="F334" s="1">
        <v>45610</v>
      </c>
      <c r="G334" s="14" t="s">
        <v>674</v>
      </c>
      <c r="H334" s="14" t="s">
        <v>18</v>
      </c>
      <c r="I334">
        <v>468.01</v>
      </c>
      <c r="J334" s="14" t="s">
        <v>22</v>
      </c>
    </row>
    <row r="335" spans="1:10" x14ac:dyDescent="0.25">
      <c r="A335">
        <v>1015</v>
      </c>
      <c r="B335" s="14" t="s">
        <v>675</v>
      </c>
      <c r="C335">
        <v>86</v>
      </c>
      <c r="D335" s="14" t="s">
        <v>30</v>
      </c>
      <c r="E335" s="1">
        <v>45882</v>
      </c>
      <c r="F335" s="1">
        <v>45556</v>
      </c>
      <c r="G335" s="14" t="s">
        <v>676</v>
      </c>
      <c r="H335" s="14" t="s">
        <v>12</v>
      </c>
      <c r="I335">
        <v>459.41</v>
      </c>
      <c r="J335" s="14" t="s">
        <v>28</v>
      </c>
    </row>
    <row r="336" spans="1:10" x14ac:dyDescent="0.25">
      <c r="A336">
        <v>1091</v>
      </c>
      <c r="B336" s="14" t="s">
        <v>677</v>
      </c>
      <c r="C336">
        <v>27</v>
      </c>
      <c r="D336" s="14" t="s">
        <v>50</v>
      </c>
      <c r="E336" s="1">
        <v>46031</v>
      </c>
      <c r="F336" s="1">
        <v>45732</v>
      </c>
      <c r="G336" s="14" t="s">
        <v>678</v>
      </c>
      <c r="H336" s="14" t="s">
        <v>15</v>
      </c>
      <c r="I336">
        <v>370.25</v>
      </c>
      <c r="J336" s="14" t="s">
        <v>22</v>
      </c>
    </row>
    <row r="337" spans="1:10" x14ac:dyDescent="0.25">
      <c r="A337">
        <v>1065</v>
      </c>
      <c r="B337" s="14" t="s">
        <v>679</v>
      </c>
      <c r="C337">
        <v>76</v>
      </c>
      <c r="D337" s="14" t="s">
        <v>50</v>
      </c>
      <c r="E337" s="1">
        <v>45836</v>
      </c>
      <c r="F337" s="1">
        <v>45648</v>
      </c>
      <c r="G337" s="14" t="s">
        <v>680</v>
      </c>
      <c r="H337" s="14" t="s">
        <v>15</v>
      </c>
      <c r="I337">
        <v>145.83000000000001</v>
      </c>
      <c r="J337" s="14" t="s">
        <v>28</v>
      </c>
    </row>
    <row r="338" spans="1:10" x14ac:dyDescent="0.25">
      <c r="A338">
        <v>1045</v>
      </c>
      <c r="B338" s="14" t="s">
        <v>681</v>
      </c>
      <c r="C338">
        <v>38</v>
      </c>
      <c r="D338" s="14" t="s">
        <v>50</v>
      </c>
      <c r="E338" s="1">
        <v>45888</v>
      </c>
      <c r="F338" s="1">
        <v>45817</v>
      </c>
      <c r="G338" s="14" t="s">
        <v>682</v>
      </c>
      <c r="H338" s="14" t="s">
        <v>21</v>
      </c>
      <c r="I338">
        <v>243.78</v>
      </c>
      <c r="J338" s="14" t="s">
        <v>28</v>
      </c>
    </row>
    <row r="339" spans="1:10" x14ac:dyDescent="0.25">
      <c r="A339">
        <v>1050</v>
      </c>
      <c r="B339" s="14" t="s">
        <v>683</v>
      </c>
      <c r="C339">
        <v>81</v>
      </c>
      <c r="D339" s="14" t="s">
        <v>50</v>
      </c>
      <c r="E339" s="1">
        <v>45804</v>
      </c>
      <c r="F339" s="1">
        <v>45555</v>
      </c>
      <c r="G339" s="14" t="s">
        <v>684</v>
      </c>
      <c r="H339" s="14" t="s">
        <v>12</v>
      </c>
      <c r="I339">
        <v>184.28</v>
      </c>
      <c r="J339" s="14" t="s">
        <v>28</v>
      </c>
    </row>
    <row r="340" spans="1:10" x14ac:dyDescent="0.25">
      <c r="A340">
        <v>1058</v>
      </c>
      <c r="B340" s="14" t="s">
        <v>685</v>
      </c>
      <c r="C340">
        <v>90</v>
      </c>
      <c r="D340" s="14" t="s">
        <v>50</v>
      </c>
      <c r="E340" s="1">
        <v>45790</v>
      </c>
      <c r="F340" s="1">
        <v>45460</v>
      </c>
      <c r="G340" s="14" t="s">
        <v>686</v>
      </c>
      <c r="H340" s="14" t="s">
        <v>21</v>
      </c>
      <c r="I340">
        <v>109.61</v>
      </c>
      <c r="J340" s="14" t="s">
        <v>28</v>
      </c>
    </row>
    <row r="341" spans="1:10" x14ac:dyDescent="0.25">
      <c r="A341">
        <v>1047</v>
      </c>
      <c r="B341" s="14" t="s">
        <v>687</v>
      </c>
      <c r="C341">
        <v>87</v>
      </c>
      <c r="D341" s="14" t="s">
        <v>30</v>
      </c>
      <c r="E341" s="1">
        <v>45936</v>
      </c>
      <c r="F341" s="1">
        <v>45628</v>
      </c>
      <c r="G341" s="14" t="s">
        <v>688</v>
      </c>
      <c r="H341" s="14" t="s">
        <v>21</v>
      </c>
      <c r="I341">
        <v>135.41</v>
      </c>
      <c r="J341" s="14" t="s">
        <v>22</v>
      </c>
    </row>
    <row r="342" spans="1:10" x14ac:dyDescent="0.25">
      <c r="A342">
        <v>1044</v>
      </c>
      <c r="B342" s="14" t="s">
        <v>689</v>
      </c>
      <c r="C342">
        <v>74</v>
      </c>
      <c r="D342" s="14" t="s">
        <v>30</v>
      </c>
      <c r="E342" s="1">
        <v>45749</v>
      </c>
      <c r="F342" s="1">
        <v>45676</v>
      </c>
      <c r="G342" s="14" t="s">
        <v>690</v>
      </c>
      <c r="H342" s="14" t="s">
        <v>15</v>
      </c>
      <c r="I342">
        <v>109.02</v>
      </c>
      <c r="J342" s="14" t="s">
        <v>22</v>
      </c>
    </row>
    <row r="343" spans="1:10" x14ac:dyDescent="0.25">
      <c r="A343">
        <v>1049</v>
      </c>
      <c r="B343" s="14" t="s">
        <v>691</v>
      </c>
      <c r="C343">
        <v>65</v>
      </c>
      <c r="D343" s="14" t="s">
        <v>30</v>
      </c>
      <c r="E343" s="1">
        <v>46070</v>
      </c>
      <c r="F343" s="1">
        <v>45443</v>
      </c>
      <c r="G343" s="14" t="s">
        <v>692</v>
      </c>
      <c r="H343" s="14" t="s">
        <v>12</v>
      </c>
      <c r="I343">
        <v>205.16</v>
      </c>
      <c r="J343" s="14" t="s">
        <v>28</v>
      </c>
    </row>
    <row r="344" spans="1:10" x14ac:dyDescent="0.25">
      <c r="A344">
        <v>1095</v>
      </c>
      <c r="B344" s="14" t="s">
        <v>693</v>
      </c>
      <c r="C344">
        <v>53</v>
      </c>
      <c r="D344" s="14" t="s">
        <v>30</v>
      </c>
      <c r="E344" s="1">
        <v>46104</v>
      </c>
      <c r="F344" s="1">
        <v>45749</v>
      </c>
      <c r="G344" s="14" t="s">
        <v>694</v>
      </c>
      <c r="H344" s="14" t="s">
        <v>12</v>
      </c>
      <c r="J344" s="14" t="s">
        <v>28</v>
      </c>
    </row>
    <row r="345" spans="1:10" x14ac:dyDescent="0.25">
      <c r="A345">
        <v>1098</v>
      </c>
      <c r="B345" s="14" t="s">
        <v>1996</v>
      </c>
      <c r="C345">
        <v>48</v>
      </c>
      <c r="D345" s="14" t="s">
        <v>30</v>
      </c>
      <c r="E345" s="1">
        <v>46027</v>
      </c>
      <c r="F345" s="1">
        <v>45807</v>
      </c>
      <c r="G345" s="14" t="s">
        <v>695</v>
      </c>
      <c r="H345" s="14" t="s">
        <v>21</v>
      </c>
      <c r="I345">
        <v>296.43</v>
      </c>
      <c r="J345" s="14" t="s">
        <v>28</v>
      </c>
    </row>
    <row r="346" spans="1:10" x14ac:dyDescent="0.25">
      <c r="A346">
        <v>1066</v>
      </c>
      <c r="B346" s="14" t="s">
        <v>696</v>
      </c>
      <c r="C346">
        <v>33</v>
      </c>
      <c r="D346" s="14" t="s">
        <v>50</v>
      </c>
      <c r="E346" s="1">
        <v>45840</v>
      </c>
      <c r="F346" s="1">
        <v>45518</v>
      </c>
      <c r="G346" s="14" t="s">
        <v>697</v>
      </c>
      <c r="H346" s="14" t="s">
        <v>21</v>
      </c>
      <c r="I346">
        <v>233.98</v>
      </c>
      <c r="J346" s="14" t="s">
        <v>22</v>
      </c>
    </row>
    <row r="347" spans="1:10" x14ac:dyDescent="0.25">
      <c r="A347">
        <v>1014</v>
      </c>
      <c r="B347" s="14" t="s">
        <v>698</v>
      </c>
      <c r="C347">
        <v>90</v>
      </c>
      <c r="D347" s="14" t="s">
        <v>24</v>
      </c>
      <c r="E347" s="1">
        <v>46065</v>
      </c>
      <c r="F347" s="1">
        <v>45518</v>
      </c>
      <c r="G347" s="14" t="s">
        <v>699</v>
      </c>
      <c r="H347" s="14" t="s">
        <v>15</v>
      </c>
      <c r="I347">
        <v>474.34</v>
      </c>
      <c r="J347" s="14" t="s">
        <v>22</v>
      </c>
    </row>
    <row r="348" spans="1:10" x14ac:dyDescent="0.25">
      <c r="A348">
        <v>1003</v>
      </c>
      <c r="B348" s="14" t="s">
        <v>700</v>
      </c>
      <c r="C348">
        <v>61</v>
      </c>
      <c r="D348" s="14" t="s">
        <v>50</v>
      </c>
      <c r="E348" s="1">
        <v>45869</v>
      </c>
      <c r="F348" s="1">
        <v>45770</v>
      </c>
      <c r="G348" s="14" t="s">
        <v>701</v>
      </c>
      <c r="H348" s="14" t="s">
        <v>18</v>
      </c>
      <c r="I348">
        <v>317.83999999999997</v>
      </c>
      <c r="J348" s="14" t="s">
        <v>22</v>
      </c>
    </row>
    <row r="349" spans="1:10" x14ac:dyDescent="0.25">
      <c r="A349">
        <v>1056</v>
      </c>
      <c r="B349" s="14" t="s">
        <v>702</v>
      </c>
      <c r="C349">
        <v>46</v>
      </c>
      <c r="D349" s="14" t="s">
        <v>50</v>
      </c>
      <c r="E349" s="1">
        <v>46093</v>
      </c>
      <c r="F349" s="1">
        <v>45880</v>
      </c>
      <c r="G349" s="14" t="s">
        <v>703</v>
      </c>
      <c r="H349" s="14" t="s">
        <v>18</v>
      </c>
      <c r="I349">
        <v>435.55</v>
      </c>
      <c r="J349" s="14" t="s">
        <v>22</v>
      </c>
    </row>
    <row r="350" spans="1:10" x14ac:dyDescent="0.25">
      <c r="A350">
        <v>1033</v>
      </c>
      <c r="B350" s="14" t="s">
        <v>704</v>
      </c>
      <c r="C350">
        <v>48</v>
      </c>
      <c r="D350" s="14" t="s">
        <v>30</v>
      </c>
      <c r="E350" s="1">
        <v>45838</v>
      </c>
      <c r="F350" s="1">
        <v>45681</v>
      </c>
      <c r="G350" s="14" t="s">
        <v>242</v>
      </c>
      <c r="H350" s="14" t="s">
        <v>15</v>
      </c>
      <c r="I350">
        <v>88.58</v>
      </c>
      <c r="J350" s="14" t="s">
        <v>22</v>
      </c>
    </row>
    <row r="351" spans="1:10" x14ac:dyDescent="0.25">
      <c r="A351">
        <v>1095</v>
      </c>
      <c r="B351" s="14" t="s">
        <v>705</v>
      </c>
      <c r="C351">
        <v>37</v>
      </c>
      <c r="D351" s="14" t="s">
        <v>50</v>
      </c>
      <c r="E351" s="1">
        <v>45951</v>
      </c>
      <c r="F351" s="1">
        <v>45876</v>
      </c>
      <c r="G351" s="14" t="s">
        <v>706</v>
      </c>
      <c r="H351" s="14" t="s">
        <v>12</v>
      </c>
      <c r="J351" s="14" t="s">
        <v>28</v>
      </c>
    </row>
    <row r="352" spans="1:10" x14ac:dyDescent="0.25">
      <c r="A352">
        <v>1036</v>
      </c>
      <c r="B352" s="14" t="s">
        <v>707</v>
      </c>
      <c r="C352">
        <v>27</v>
      </c>
      <c r="D352" s="14" t="s">
        <v>50</v>
      </c>
      <c r="E352" s="1">
        <v>46101</v>
      </c>
      <c r="F352" s="1">
        <v>46062</v>
      </c>
      <c r="G352" s="14" t="s">
        <v>708</v>
      </c>
      <c r="H352" s="14" t="s">
        <v>12</v>
      </c>
      <c r="I352">
        <v>252.38</v>
      </c>
      <c r="J352" s="14" t="s">
        <v>28</v>
      </c>
    </row>
    <row r="353" spans="1:10" x14ac:dyDescent="0.25">
      <c r="A353">
        <v>1082</v>
      </c>
      <c r="B353" s="14" t="s">
        <v>709</v>
      </c>
      <c r="C353">
        <v>29</v>
      </c>
      <c r="D353" s="14" t="s">
        <v>50</v>
      </c>
      <c r="E353" s="1">
        <v>45962</v>
      </c>
      <c r="F353" s="1">
        <v>45733</v>
      </c>
      <c r="G353" s="14" t="s">
        <v>710</v>
      </c>
      <c r="H353" s="14" t="s">
        <v>18</v>
      </c>
      <c r="I353">
        <v>366.49</v>
      </c>
      <c r="J353" s="14" t="s">
        <v>22</v>
      </c>
    </row>
    <row r="354" spans="1:10" x14ac:dyDescent="0.25">
      <c r="A354">
        <v>1063</v>
      </c>
      <c r="B354" s="14" t="s">
        <v>711</v>
      </c>
      <c r="C354">
        <v>36</v>
      </c>
      <c r="D354" s="14" t="s">
        <v>50</v>
      </c>
      <c r="E354" s="1">
        <v>45932</v>
      </c>
      <c r="F354" s="1">
        <v>45912</v>
      </c>
      <c r="G354" s="14" t="s">
        <v>712</v>
      </c>
      <c r="H354" s="14" t="s">
        <v>21</v>
      </c>
      <c r="I354">
        <v>239.5</v>
      </c>
      <c r="J354" s="14" t="s">
        <v>28</v>
      </c>
    </row>
    <row r="355" spans="1:10" x14ac:dyDescent="0.25">
      <c r="A355">
        <v>1003</v>
      </c>
      <c r="B355" s="14" t="s">
        <v>713</v>
      </c>
      <c r="C355">
        <v>29</v>
      </c>
      <c r="D355" s="14" t="s">
        <v>30</v>
      </c>
      <c r="E355" s="1">
        <v>46076</v>
      </c>
      <c r="F355" s="1">
        <v>45386</v>
      </c>
      <c r="G355" s="14" t="s">
        <v>714</v>
      </c>
      <c r="H355" s="14" t="s">
        <v>15</v>
      </c>
      <c r="I355">
        <v>55.55</v>
      </c>
      <c r="J355" s="14" t="s">
        <v>22</v>
      </c>
    </row>
    <row r="356" spans="1:10" x14ac:dyDescent="0.25">
      <c r="A356">
        <v>1005</v>
      </c>
      <c r="B356" s="14" t="s">
        <v>715</v>
      </c>
      <c r="C356">
        <v>64</v>
      </c>
      <c r="D356" s="14" t="s">
        <v>30</v>
      </c>
      <c r="E356" s="1">
        <v>45915</v>
      </c>
      <c r="F356" s="1">
        <v>45676</v>
      </c>
      <c r="G356" s="14" t="s">
        <v>716</v>
      </c>
      <c r="H356" s="14" t="s">
        <v>18</v>
      </c>
      <c r="I356">
        <v>112.28</v>
      </c>
      <c r="J356" s="14" t="s">
        <v>22</v>
      </c>
    </row>
    <row r="357" spans="1:10" x14ac:dyDescent="0.25">
      <c r="A357">
        <v>1058</v>
      </c>
      <c r="B357" s="14" t="s">
        <v>717</v>
      </c>
      <c r="C357">
        <v>36</v>
      </c>
      <c r="D357" s="14" t="s">
        <v>30</v>
      </c>
      <c r="E357" s="1">
        <v>46011</v>
      </c>
      <c r="F357" s="1">
        <v>45378</v>
      </c>
      <c r="G357" s="14" t="s">
        <v>718</v>
      </c>
      <c r="H357" s="14" t="s">
        <v>21</v>
      </c>
      <c r="I357">
        <v>386.16</v>
      </c>
      <c r="J357" s="14" t="s">
        <v>28</v>
      </c>
    </row>
    <row r="358" spans="1:10" x14ac:dyDescent="0.25">
      <c r="A358">
        <v>1061</v>
      </c>
      <c r="B358" s="14" t="s">
        <v>719</v>
      </c>
      <c r="C358">
        <v>23</v>
      </c>
      <c r="D358" s="14" t="s">
        <v>50</v>
      </c>
      <c r="E358" s="1">
        <v>46030</v>
      </c>
      <c r="F358" s="1">
        <v>45625</v>
      </c>
      <c r="G358" s="14" t="s">
        <v>720</v>
      </c>
      <c r="H358" s="14" t="s">
        <v>12</v>
      </c>
      <c r="I358">
        <v>230.73</v>
      </c>
      <c r="J358" s="14" t="s">
        <v>22</v>
      </c>
    </row>
    <row r="359" spans="1:10" x14ac:dyDescent="0.25">
      <c r="A359">
        <v>1004</v>
      </c>
      <c r="B359" s="14" t="s">
        <v>721</v>
      </c>
      <c r="C359">
        <v>63</v>
      </c>
      <c r="D359" s="14" t="s">
        <v>30</v>
      </c>
      <c r="E359" s="1">
        <v>45790</v>
      </c>
      <c r="F359" s="1">
        <v>45404</v>
      </c>
      <c r="G359" s="14" t="s">
        <v>722</v>
      </c>
      <c r="H359" s="14" t="s">
        <v>21</v>
      </c>
      <c r="I359">
        <v>296.85000000000002</v>
      </c>
      <c r="J359" s="14" t="s">
        <v>22</v>
      </c>
    </row>
    <row r="360" spans="1:10" x14ac:dyDescent="0.25">
      <c r="A360">
        <v>1057</v>
      </c>
      <c r="B360" s="14" t="s">
        <v>723</v>
      </c>
      <c r="C360">
        <v>58</v>
      </c>
      <c r="D360" s="14" t="s">
        <v>50</v>
      </c>
      <c r="E360" s="1">
        <v>45908</v>
      </c>
      <c r="F360" s="1">
        <v>45712</v>
      </c>
      <c r="G360" s="14" t="s">
        <v>724</v>
      </c>
      <c r="H360" s="14" t="s">
        <v>12</v>
      </c>
      <c r="I360">
        <v>64.790000000000006</v>
      </c>
      <c r="J360" s="14" t="s">
        <v>22</v>
      </c>
    </row>
    <row r="361" spans="1:10" x14ac:dyDescent="0.25">
      <c r="A361">
        <v>1036</v>
      </c>
      <c r="B361" s="14" t="s">
        <v>725</v>
      </c>
      <c r="C361">
        <v>38</v>
      </c>
      <c r="D361" s="14" t="s">
        <v>30</v>
      </c>
      <c r="E361" s="1">
        <v>45978</v>
      </c>
      <c r="F361" s="1">
        <v>45574</v>
      </c>
      <c r="G361" s="14" t="s">
        <v>726</v>
      </c>
      <c r="H361" s="14" t="s">
        <v>18</v>
      </c>
      <c r="I361">
        <v>101.1</v>
      </c>
      <c r="J361" s="14" t="s">
        <v>28</v>
      </c>
    </row>
    <row r="362" spans="1:10" x14ac:dyDescent="0.25">
      <c r="A362">
        <v>1095</v>
      </c>
      <c r="B362" s="14" t="s">
        <v>727</v>
      </c>
      <c r="C362">
        <v>60</v>
      </c>
      <c r="D362" s="14" t="s">
        <v>30</v>
      </c>
      <c r="E362" s="1">
        <v>46013</v>
      </c>
      <c r="F362" s="1">
        <v>45429</v>
      </c>
      <c r="G362" s="14" t="s">
        <v>728</v>
      </c>
      <c r="H362" s="14" t="s">
        <v>21</v>
      </c>
      <c r="I362">
        <v>204.86</v>
      </c>
      <c r="J362" s="14" t="s">
        <v>28</v>
      </c>
    </row>
    <row r="363" spans="1:10" x14ac:dyDescent="0.25">
      <c r="A363">
        <v>1036</v>
      </c>
      <c r="B363" s="14" t="s">
        <v>729</v>
      </c>
      <c r="C363">
        <v>87</v>
      </c>
      <c r="D363" s="14" t="s">
        <v>50</v>
      </c>
      <c r="E363" s="1">
        <v>45869</v>
      </c>
      <c r="F363" s="1">
        <v>45598</v>
      </c>
      <c r="G363" s="14" t="s">
        <v>730</v>
      </c>
      <c r="H363" s="14" t="s">
        <v>12</v>
      </c>
      <c r="I363">
        <v>369.12</v>
      </c>
      <c r="J363" s="14" t="s">
        <v>28</v>
      </c>
    </row>
    <row r="364" spans="1:10" x14ac:dyDescent="0.25">
      <c r="A364">
        <v>1049</v>
      </c>
      <c r="B364" s="14" t="s">
        <v>731</v>
      </c>
      <c r="C364">
        <v>58</v>
      </c>
      <c r="D364" s="14" t="s">
        <v>30</v>
      </c>
      <c r="E364" s="1">
        <v>45876</v>
      </c>
      <c r="F364" s="1">
        <v>45659</v>
      </c>
      <c r="G364" s="14" t="s">
        <v>732</v>
      </c>
      <c r="H364" s="14" t="s">
        <v>12</v>
      </c>
      <c r="I364">
        <v>474.33</v>
      </c>
      <c r="J364" s="14" t="s">
        <v>28</v>
      </c>
    </row>
    <row r="365" spans="1:10" x14ac:dyDescent="0.25">
      <c r="A365">
        <v>1036</v>
      </c>
      <c r="B365" s="14" t="s">
        <v>733</v>
      </c>
      <c r="C365">
        <v>20</v>
      </c>
      <c r="D365" s="14" t="s">
        <v>50</v>
      </c>
      <c r="E365" s="1">
        <v>45895</v>
      </c>
      <c r="F365" s="1">
        <v>45666</v>
      </c>
      <c r="G365" s="14" t="s">
        <v>734</v>
      </c>
      <c r="H365" s="14" t="s">
        <v>12</v>
      </c>
      <c r="I365">
        <v>285.97000000000003</v>
      </c>
      <c r="J365" s="14" t="s">
        <v>22</v>
      </c>
    </row>
    <row r="366" spans="1:10" x14ac:dyDescent="0.25">
      <c r="A366">
        <v>1050</v>
      </c>
      <c r="B366" s="14" t="s">
        <v>735</v>
      </c>
      <c r="C366">
        <v>81</v>
      </c>
      <c r="D366" s="14" t="s">
        <v>24</v>
      </c>
      <c r="E366" s="1">
        <v>46070</v>
      </c>
      <c r="F366" s="1">
        <v>45750</v>
      </c>
      <c r="G366" s="14" t="s">
        <v>227</v>
      </c>
      <c r="H366" s="14" t="s">
        <v>18</v>
      </c>
      <c r="I366">
        <v>209.27</v>
      </c>
      <c r="J366" s="14" t="s">
        <v>28</v>
      </c>
    </row>
    <row r="367" spans="1:10" x14ac:dyDescent="0.25">
      <c r="A367">
        <v>1019</v>
      </c>
      <c r="B367" s="14" t="s">
        <v>736</v>
      </c>
      <c r="C367">
        <v>38</v>
      </c>
      <c r="D367" s="14" t="s">
        <v>24</v>
      </c>
      <c r="E367" s="1">
        <v>46011</v>
      </c>
      <c r="F367" s="1">
        <v>45883</v>
      </c>
      <c r="G367" s="14" t="s">
        <v>737</v>
      </c>
      <c r="H367" s="14" t="s">
        <v>15</v>
      </c>
      <c r="I367">
        <v>347.87</v>
      </c>
      <c r="J367" s="14" t="s">
        <v>28</v>
      </c>
    </row>
    <row r="368" spans="1:10" x14ac:dyDescent="0.25">
      <c r="A368">
        <v>1082</v>
      </c>
      <c r="B368" s="14" t="s">
        <v>738</v>
      </c>
      <c r="C368">
        <v>56</v>
      </c>
      <c r="D368" s="14" t="s">
        <v>50</v>
      </c>
      <c r="E368" s="1">
        <v>45917</v>
      </c>
      <c r="F368" s="1">
        <v>45888</v>
      </c>
      <c r="G368" s="14" t="s">
        <v>739</v>
      </c>
      <c r="H368" s="14" t="s">
        <v>12</v>
      </c>
      <c r="J368" s="14" t="s">
        <v>28</v>
      </c>
    </row>
    <row r="369" spans="1:10" x14ac:dyDescent="0.25">
      <c r="A369">
        <v>1074</v>
      </c>
      <c r="B369" s="14" t="s">
        <v>740</v>
      </c>
      <c r="C369">
        <v>67</v>
      </c>
      <c r="D369" s="14" t="s">
        <v>30</v>
      </c>
      <c r="E369" s="1">
        <v>45905</v>
      </c>
      <c r="F369" s="1">
        <v>45431</v>
      </c>
      <c r="G369" s="14" t="s">
        <v>741</v>
      </c>
      <c r="H369" s="14" t="s">
        <v>18</v>
      </c>
      <c r="I369">
        <v>98.07</v>
      </c>
      <c r="J369" s="14" t="s">
        <v>28</v>
      </c>
    </row>
    <row r="370" spans="1:10" x14ac:dyDescent="0.25">
      <c r="A370">
        <v>1084</v>
      </c>
      <c r="B370" s="14" t="s">
        <v>742</v>
      </c>
      <c r="C370">
        <v>64</v>
      </c>
      <c r="D370" s="14" t="s">
        <v>50</v>
      </c>
      <c r="E370" s="1">
        <v>46022</v>
      </c>
      <c r="F370" s="1">
        <v>45766</v>
      </c>
      <c r="G370" s="14" t="s">
        <v>743</v>
      </c>
      <c r="H370" s="14" t="s">
        <v>15</v>
      </c>
      <c r="I370">
        <v>154.03</v>
      </c>
      <c r="J370" s="14" t="s">
        <v>28</v>
      </c>
    </row>
    <row r="371" spans="1:10" x14ac:dyDescent="0.25">
      <c r="A371">
        <v>1084</v>
      </c>
      <c r="B371" s="14" t="s">
        <v>1997</v>
      </c>
      <c r="C371">
        <v>79</v>
      </c>
      <c r="D371" s="14" t="s">
        <v>30</v>
      </c>
      <c r="E371" s="1">
        <v>46014</v>
      </c>
      <c r="F371" s="1">
        <v>45669</v>
      </c>
      <c r="G371" s="14" t="s">
        <v>744</v>
      </c>
      <c r="H371" s="14" t="s">
        <v>18</v>
      </c>
      <c r="I371">
        <v>126.87</v>
      </c>
      <c r="J371" s="14" t="s">
        <v>28</v>
      </c>
    </row>
    <row r="372" spans="1:10" x14ac:dyDescent="0.25">
      <c r="A372">
        <v>1004</v>
      </c>
      <c r="B372" s="14" t="s">
        <v>745</v>
      </c>
      <c r="C372">
        <v>27</v>
      </c>
      <c r="D372" s="14" t="s">
        <v>50</v>
      </c>
      <c r="E372" s="1">
        <v>45895</v>
      </c>
      <c r="F372" s="1">
        <v>45545</v>
      </c>
      <c r="G372" s="14" t="s">
        <v>746</v>
      </c>
      <c r="H372" s="14" t="s">
        <v>18</v>
      </c>
      <c r="J372" s="14" t="s">
        <v>28</v>
      </c>
    </row>
    <row r="373" spans="1:10" x14ac:dyDescent="0.25">
      <c r="A373">
        <v>1006</v>
      </c>
      <c r="B373" s="14" t="s">
        <v>747</v>
      </c>
      <c r="C373">
        <v>42</v>
      </c>
      <c r="D373" s="14" t="s">
        <v>50</v>
      </c>
      <c r="E373" s="1">
        <v>45965</v>
      </c>
      <c r="F373" s="1">
        <v>45601</v>
      </c>
      <c r="G373" s="14" t="s">
        <v>748</v>
      </c>
      <c r="H373" s="14" t="s">
        <v>15</v>
      </c>
      <c r="J373" s="14" t="s">
        <v>28</v>
      </c>
    </row>
    <row r="374" spans="1:10" x14ac:dyDescent="0.25">
      <c r="A374">
        <v>1096</v>
      </c>
      <c r="B374" s="14" t="s">
        <v>749</v>
      </c>
      <c r="C374">
        <v>83</v>
      </c>
      <c r="D374" s="14" t="s">
        <v>30</v>
      </c>
      <c r="E374" s="1">
        <v>46102</v>
      </c>
      <c r="F374" s="1">
        <v>46000</v>
      </c>
      <c r="G374" s="14" t="s">
        <v>750</v>
      </c>
      <c r="H374" s="14" t="s">
        <v>18</v>
      </c>
      <c r="I374">
        <v>194.82</v>
      </c>
      <c r="J374" s="14" t="s">
        <v>28</v>
      </c>
    </row>
    <row r="375" spans="1:10" x14ac:dyDescent="0.25">
      <c r="A375">
        <v>1022</v>
      </c>
      <c r="B375" s="14" t="s">
        <v>751</v>
      </c>
      <c r="C375">
        <v>19</v>
      </c>
      <c r="D375" s="14" t="s">
        <v>50</v>
      </c>
      <c r="E375" s="1">
        <v>45949</v>
      </c>
      <c r="F375" s="1">
        <v>45919</v>
      </c>
      <c r="G375" s="14" t="s">
        <v>752</v>
      </c>
      <c r="H375" s="14" t="s">
        <v>15</v>
      </c>
      <c r="I375">
        <v>145.75</v>
      </c>
      <c r="J375" s="14" t="s">
        <v>28</v>
      </c>
    </row>
    <row r="376" spans="1:10" x14ac:dyDescent="0.25">
      <c r="A376">
        <v>1089</v>
      </c>
      <c r="B376" s="14" t="s">
        <v>753</v>
      </c>
      <c r="C376">
        <v>35</v>
      </c>
      <c r="D376" s="14" t="s">
        <v>30</v>
      </c>
      <c r="E376" s="1">
        <v>45959</v>
      </c>
      <c r="F376" s="1">
        <v>45906</v>
      </c>
      <c r="G376" s="14" t="s">
        <v>754</v>
      </c>
      <c r="H376" s="14" t="s">
        <v>12</v>
      </c>
      <c r="I376">
        <v>58.55</v>
      </c>
      <c r="J376" s="14" t="s">
        <v>22</v>
      </c>
    </row>
    <row r="377" spans="1:10" x14ac:dyDescent="0.25">
      <c r="A377">
        <v>1058</v>
      </c>
      <c r="B377" s="14" t="s">
        <v>755</v>
      </c>
      <c r="C377">
        <v>29</v>
      </c>
      <c r="D377" s="14" t="s">
        <v>50</v>
      </c>
      <c r="E377" s="1">
        <v>45807</v>
      </c>
      <c r="F377" s="1">
        <v>45377</v>
      </c>
      <c r="G377" s="14" t="s">
        <v>756</v>
      </c>
      <c r="H377" s="14" t="s">
        <v>21</v>
      </c>
      <c r="I377">
        <v>481.22</v>
      </c>
      <c r="J377" s="14" t="s">
        <v>28</v>
      </c>
    </row>
    <row r="378" spans="1:10" x14ac:dyDescent="0.25">
      <c r="A378">
        <v>1024</v>
      </c>
      <c r="B378" s="14" t="s">
        <v>757</v>
      </c>
      <c r="C378">
        <v>55</v>
      </c>
      <c r="D378" s="14" t="s">
        <v>30</v>
      </c>
      <c r="E378" s="1">
        <v>45942</v>
      </c>
      <c r="F378" s="1">
        <v>45593</v>
      </c>
      <c r="G378" s="14" t="s">
        <v>758</v>
      </c>
      <c r="H378" s="14" t="s">
        <v>21</v>
      </c>
      <c r="I378">
        <v>56.37</v>
      </c>
      <c r="J378" s="14" t="s">
        <v>28</v>
      </c>
    </row>
    <row r="379" spans="1:10" x14ac:dyDescent="0.25">
      <c r="A379">
        <v>1016</v>
      </c>
      <c r="B379" s="14" t="s">
        <v>759</v>
      </c>
      <c r="C379">
        <v>81</v>
      </c>
      <c r="D379" s="14" t="s">
        <v>30</v>
      </c>
      <c r="E379" s="1">
        <v>45859</v>
      </c>
      <c r="F379" s="1">
        <v>45481</v>
      </c>
      <c r="G379" s="14" t="s">
        <v>760</v>
      </c>
      <c r="H379" s="14" t="s">
        <v>21</v>
      </c>
      <c r="I379">
        <v>456.26</v>
      </c>
      <c r="J379" s="14" t="s">
        <v>28</v>
      </c>
    </row>
    <row r="380" spans="1:10" x14ac:dyDescent="0.25">
      <c r="A380">
        <v>1022</v>
      </c>
      <c r="B380" s="14" t="s">
        <v>761</v>
      </c>
      <c r="C380">
        <v>56</v>
      </c>
      <c r="D380" s="14" t="s">
        <v>50</v>
      </c>
      <c r="E380" s="1">
        <v>45824</v>
      </c>
      <c r="F380" s="1">
        <v>45443</v>
      </c>
      <c r="G380" s="14" t="s">
        <v>762</v>
      </c>
      <c r="H380" s="14" t="s">
        <v>12</v>
      </c>
      <c r="I380">
        <v>157.36000000000001</v>
      </c>
      <c r="J380" s="14" t="s">
        <v>22</v>
      </c>
    </row>
    <row r="381" spans="1:10" x14ac:dyDescent="0.25">
      <c r="A381">
        <v>1088</v>
      </c>
      <c r="B381" s="14" t="s">
        <v>763</v>
      </c>
      <c r="C381">
        <v>32</v>
      </c>
      <c r="D381" s="14" t="s">
        <v>24</v>
      </c>
      <c r="E381" s="1">
        <v>45860</v>
      </c>
      <c r="F381" s="1">
        <v>45394</v>
      </c>
      <c r="G381" s="14" t="s">
        <v>764</v>
      </c>
      <c r="H381" s="14" t="s">
        <v>15</v>
      </c>
      <c r="I381">
        <v>69.13</v>
      </c>
      <c r="J381" s="14" t="s">
        <v>28</v>
      </c>
    </row>
    <row r="382" spans="1:10" x14ac:dyDescent="0.25">
      <c r="A382">
        <v>1016</v>
      </c>
      <c r="B382" s="14" t="s">
        <v>765</v>
      </c>
      <c r="C382">
        <v>74</v>
      </c>
      <c r="D382" s="14" t="s">
        <v>50</v>
      </c>
      <c r="E382" s="1">
        <v>45997</v>
      </c>
      <c r="F382" s="1">
        <v>45569</v>
      </c>
      <c r="G382" s="14" t="s">
        <v>766</v>
      </c>
      <c r="H382" s="14" t="s">
        <v>18</v>
      </c>
      <c r="I382">
        <v>56.63</v>
      </c>
      <c r="J382" s="14" t="s">
        <v>28</v>
      </c>
    </row>
    <row r="383" spans="1:10" x14ac:dyDescent="0.25">
      <c r="A383">
        <v>1039</v>
      </c>
      <c r="B383" s="14" t="s">
        <v>767</v>
      </c>
      <c r="C383">
        <v>55</v>
      </c>
      <c r="D383" s="14" t="s">
        <v>50</v>
      </c>
      <c r="E383" s="1">
        <v>45748</v>
      </c>
      <c r="F383" s="1">
        <v>45548</v>
      </c>
      <c r="G383" s="14" t="s">
        <v>768</v>
      </c>
      <c r="H383" s="14" t="s">
        <v>15</v>
      </c>
      <c r="I383">
        <v>432.84</v>
      </c>
      <c r="J383" s="14" t="s">
        <v>22</v>
      </c>
    </row>
    <row r="384" spans="1:10" x14ac:dyDescent="0.25">
      <c r="A384">
        <v>1075</v>
      </c>
      <c r="B384" s="14" t="s">
        <v>769</v>
      </c>
      <c r="C384">
        <v>27</v>
      </c>
      <c r="D384" s="14" t="s">
        <v>30</v>
      </c>
      <c r="E384" s="1">
        <v>45754</v>
      </c>
      <c r="F384" s="1">
        <v>45384</v>
      </c>
      <c r="G384" s="14" t="s">
        <v>770</v>
      </c>
      <c r="H384" s="14" t="s">
        <v>15</v>
      </c>
      <c r="I384">
        <v>208.8</v>
      </c>
      <c r="J384" s="14" t="s">
        <v>22</v>
      </c>
    </row>
    <row r="385" spans="1:10" x14ac:dyDescent="0.25">
      <c r="A385">
        <v>1013</v>
      </c>
      <c r="B385" s="14" t="s">
        <v>771</v>
      </c>
      <c r="C385">
        <v>62</v>
      </c>
      <c r="D385" s="14" t="s">
        <v>30</v>
      </c>
      <c r="E385" s="1">
        <v>46024</v>
      </c>
      <c r="F385" s="1">
        <v>45714</v>
      </c>
      <c r="G385" s="14" t="s">
        <v>772</v>
      </c>
      <c r="H385" s="14" t="s">
        <v>18</v>
      </c>
      <c r="I385">
        <v>413.25</v>
      </c>
      <c r="J385" s="14" t="s">
        <v>28</v>
      </c>
    </row>
    <row r="386" spans="1:10" x14ac:dyDescent="0.25">
      <c r="A386">
        <v>1089</v>
      </c>
      <c r="B386" s="14" t="s">
        <v>773</v>
      </c>
      <c r="C386">
        <v>24</v>
      </c>
      <c r="D386" s="14" t="s">
        <v>50</v>
      </c>
      <c r="E386" s="1">
        <v>45916</v>
      </c>
      <c r="F386" s="1">
        <v>45673</v>
      </c>
      <c r="G386" s="14" t="s">
        <v>774</v>
      </c>
      <c r="H386" s="14" t="s">
        <v>15</v>
      </c>
      <c r="I386">
        <v>73.59</v>
      </c>
      <c r="J386" s="14" t="s">
        <v>28</v>
      </c>
    </row>
    <row r="387" spans="1:10" x14ac:dyDescent="0.25">
      <c r="A387">
        <v>1084</v>
      </c>
      <c r="B387" s="14" t="s">
        <v>775</v>
      </c>
      <c r="C387">
        <v>34</v>
      </c>
      <c r="D387" s="14" t="s">
        <v>30</v>
      </c>
      <c r="E387" s="1">
        <v>45998</v>
      </c>
      <c r="F387" s="1">
        <v>45941</v>
      </c>
      <c r="G387" s="14" t="s">
        <v>776</v>
      </c>
      <c r="H387" s="14" t="s">
        <v>21</v>
      </c>
      <c r="I387">
        <v>466.72</v>
      </c>
      <c r="J387" s="14" t="s">
        <v>22</v>
      </c>
    </row>
    <row r="388" spans="1:10" x14ac:dyDescent="0.25">
      <c r="A388">
        <v>1018</v>
      </c>
      <c r="B388" s="14" t="s">
        <v>777</v>
      </c>
      <c r="C388">
        <v>68</v>
      </c>
      <c r="D388" s="14" t="s">
        <v>50</v>
      </c>
      <c r="E388" s="1">
        <v>45833</v>
      </c>
      <c r="F388" s="1">
        <v>45813</v>
      </c>
      <c r="G388" s="14" t="s">
        <v>778</v>
      </c>
      <c r="H388" s="14" t="s">
        <v>12</v>
      </c>
      <c r="I388">
        <v>213.67</v>
      </c>
      <c r="J388" s="14" t="s">
        <v>28</v>
      </c>
    </row>
    <row r="389" spans="1:10" x14ac:dyDescent="0.25">
      <c r="A389">
        <v>1026</v>
      </c>
      <c r="B389" s="14" t="s">
        <v>779</v>
      </c>
      <c r="C389">
        <v>42</v>
      </c>
      <c r="D389" s="14" t="s">
        <v>50</v>
      </c>
      <c r="E389" s="1">
        <v>46047</v>
      </c>
      <c r="F389" s="1">
        <v>45635</v>
      </c>
      <c r="G389" s="14" t="s">
        <v>780</v>
      </c>
      <c r="H389" s="14" t="s">
        <v>21</v>
      </c>
      <c r="I389">
        <v>156.9</v>
      </c>
      <c r="J389" s="14" t="s">
        <v>22</v>
      </c>
    </row>
    <row r="390" spans="1:10" x14ac:dyDescent="0.25">
      <c r="A390">
        <v>1001</v>
      </c>
      <c r="B390" s="14" t="s">
        <v>781</v>
      </c>
      <c r="C390">
        <v>90</v>
      </c>
      <c r="D390" s="14" t="s">
        <v>50</v>
      </c>
      <c r="E390" s="1">
        <v>45973</v>
      </c>
      <c r="F390" s="1">
        <v>45904</v>
      </c>
      <c r="G390" s="14" t="s">
        <v>782</v>
      </c>
      <c r="H390" s="14" t="s">
        <v>18</v>
      </c>
      <c r="I390">
        <v>323.18</v>
      </c>
      <c r="J390" s="14" t="s">
        <v>22</v>
      </c>
    </row>
    <row r="391" spans="1:10" x14ac:dyDescent="0.25">
      <c r="A391">
        <v>1004</v>
      </c>
      <c r="B391" s="14" t="s">
        <v>783</v>
      </c>
      <c r="C391">
        <v>65</v>
      </c>
      <c r="D391" s="14" t="s">
        <v>50</v>
      </c>
      <c r="E391" s="1">
        <v>45881</v>
      </c>
      <c r="F391" s="1">
        <v>45653</v>
      </c>
      <c r="G391" s="14" t="s">
        <v>784</v>
      </c>
      <c r="H391" s="14" t="s">
        <v>12</v>
      </c>
      <c r="I391">
        <v>188.72</v>
      </c>
      <c r="J391" s="14" t="s">
        <v>28</v>
      </c>
    </row>
    <row r="392" spans="1:10" x14ac:dyDescent="0.25">
      <c r="A392">
        <v>1013</v>
      </c>
      <c r="B392" s="14" t="s">
        <v>785</v>
      </c>
      <c r="C392">
        <v>89</v>
      </c>
      <c r="D392" s="14" t="s">
        <v>50</v>
      </c>
      <c r="E392" s="1">
        <v>45944</v>
      </c>
      <c r="F392" s="1">
        <v>45551</v>
      </c>
      <c r="G392" s="14" t="s">
        <v>786</v>
      </c>
      <c r="H392" s="14" t="s">
        <v>12</v>
      </c>
      <c r="I392">
        <v>411.32</v>
      </c>
      <c r="J392" s="14" t="s">
        <v>28</v>
      </c>
    </row>
    <row r="393" spans="1:10" x14ac:dyDescent="0.25">
      <c r="A393">
        <v>1009</v>
      </c>
      <c r="B393" s="14" t="s">
        <v>787</v>
      </c>
      <c r="C393">
        <v>67</v>
      </c>
      <c r="D393" s="14" t="s">
        <v>30</v>
      </c>
      <c r="E393" s="1">
        <v>45840</v>
      </c>
      <c r="F393" s="1">
        <v>45447</v>
      </c>
      <c r="G393" s="14" t="s">
        <v>788</v>
      </c>
      <c r="H393" s="14" t="s">
        <v>15</v>
      </c>
      <c r="I393">
        <v>388.8</v>
      </c>
      <c r="J393" s="14" t="s">
        <v>22</v>
      </c>
    </row>
    <row r="394" spans="1:10" x14ac:dyDescent="0.25">
      <c r="A394">
        <v>1021</v>
      </c>
      <c r="B394" s="14" t="s">
        <v>789</v>
      </c>
      <c r="C394">
        <v>68</v>
      </c>
      <c r="D394" s="14" t="s">
        <v>24</v>
      </c>
      <c r="E394" s="1">
        <v>45784</v>
      </c>
      <c r="F394" s="1">
        <v>45583</v>
      </c>
      <c r="G394" s="14" t="s">
        <v>790</v>
      </c>
      <c r="H394" s="14" t="s">
        <v>15</v>
      </c>
      <c r="I394">
        <v>296.8</v>
      </c>
      <c r="J394" s="14" t="s">
        <v>22</v>
      </c>
    </row>
    <row r="395" spans="1:10" x14ac:dyDescent="0.25">
      <c r="A395">
        <v>1100</v>
      </c>
      <c r="B395" s="14" t="s">
        <v>791</v>
      </c>
      <c r="C395">
        <v>69</v>
      </c>
      <c r="D395" s="14" t="s">
        <v>50</v>
      </c>
      <c r="E395" s="1">
        <v>45938</v>
      </c>
      <c r="F395" s="1">
        <v>45796</v>
      </c>
      <c r="G395" s="14" t="s">
        <v>792</v>
      </c>
      <c r="H395" s="14" t="s">
        <v>18</v>
      </c>
      <c r="I395">
        <v>439.46</v>
      </c>
      <c r="J395" s="14" t="s">
        <v>22</v>
      </c>
    </row>
    <row r="396" spans="1:10" x14ac:dyDescent="0.25">
      <c r="A396">
        <v>1005</v>
      </c>
      <c r="B396" s="14" t="s">
        <v>793</v>
      </c>
      <c r="C396">
        <v>80</v>
      </c>
      <c r="D396" s="14" t="s">
        <v>50</v>
      </c>
      <c r="E396" s="1">
        <v>45862</v>
      </c>
      <c r="F396" s="1">
        <v>45673</v>
      </c>
      <c r="G396" s="14" t="s">
        <v>794</v>
      </c>
      <c r="H396" s="14" t="s">
        <v>21</v>
      </c>
      <c r="I396">
        <v>320.72000000000003</v>
      </c>
      <c r="J396" s="14" t="s">
        <v>22</v>
      </c>
    </row>
    <row r="397" spans="1:10" x14ac:dyDescent="0.25">
      <c r="A397">
        <v>1071</v>
      </c>
      <c r="B397" s="14" t="s">
        <v>795</v>
      </c>
      <c r="C397">
        <v>73</v>
      </c>
      <c r="D397" s="14" t="s">
        <v>50</v>
      </c>
      <c r="E397" s="1">
        <v>45893</v>
      </c>
      <c r="F397" s="1">
        <v>45842</v>
      </c>
      <c r="G397" s="14" t="s">
        <v>796</v>
      </c>
      <c r="H397" s="14" t="s">
        <v>18</v>
      </c>
      <c r="I397">
        <v>262.83999999999997</v>
      </c>
      <c r="J397" s="14" t="s">
        <v>22</v>
      </c>
    </row>
    <row r="398" spans="1:10" x14ac:dyDescent="0.25">
      <c r="A398">
        <v>1070</v>
      </c>
      <c r="B398" s="14" t="s">
        <v>162</v>
      </c>
      <c r="C398">
        <v>78</v>
      </c>
      <c r="D398" s="14" t="s">
        <v>50</v>
      </c>
      <c r="E398" s="1">
        <v>46010</v>
      </c>
      <c r="F398" s="1">
        <v>45621</v>
      </c>
      <c r="G398" s="14" t="s">
        <v>797</v>
      </c>
      <c r="H398" s="14" t="s">
        <v>12</v>
      </c>
      <c r="I398">
        <v>274.94</v>
      </c>
      <c r="J398" s="14" t="s">
        <v>22</v>
      </c>
    </row>
    <row r="399" spans="1:10" x14ac:dyDescent="0.25">
      <c r="A399">
        <v>1020</v>
      </c>
      <c r="B399" s="14" t="s">
        <v>798</v>
      </c>
      <c r="C399">
        <v>65</v>
      </c>
      <c r="D399" s="14" t="s">
        <v>30</v>
      </c>
      <c r="E399" s="1">
        <v>46046</v>
      </c>
      <c r="F399" s="1">
        <v>46026</v>
      </c>
      <c r="G399" s="14" t="s">
        <v>799</v>
      </c>
      <c r="H399" s="14" t="s">
        <v>12</v>
      </c>
      <c r="I399">
        <v>182.77</v>
      </c>
      <c r="J399" s="14" t="s">
        <v>22</v>
      </c>
    </row>
    <row r="400" spans="1:10" x14ac:dyDescent="0.25">
      <c r="A400">
        <v>1074</v>
      </c>
      <c r="B400" s="14" t="s">
        <v>800</v>
      </c>
      <c r="C400">
        <v>87</v>
      </c>
      <c r="D400" s="14" t="s">
        <v>50</v>
      </c>
      <c r="E400" s="1">
        <v>45961</v>
      </c>
      <c r="F400" s="1">
        <v>45799</v>
      </c>
      <c r="G400" s="14" t="s">
        <v>801</v>
      </c>
      <c r="H400" s="14" t="s">
        <v>12</v>
      </c>
      <c r="I400">
        <v>312.88</v>
      </c>
      <c r="J400" s="14" t="s">
        <v>28</v>
      </c>
    </row>
    <row r="401" spans="1:10" x14ac:dyDescent="0.25">
      <c r="A401">
        <v>1001</v>
      </c>
      <c r="B401" s="14" t="s">
        <v>802</v>
      </c>
      <c r="C401">
        <v>78</v>
      </c>
      <c r="D401" s="14" t="s">
        <v>50</v>
      </c>
      <c r="E401" s="1">
        <v>45887</v>
      </c>
      <c r="F401" s="1">
        <v>45438</v>
      </c>
      <c r="G401" s="14" t="s">
        <v>803</v>
      </c>
      <c r="H401" s="14" t="s">
        <v>18</v>
      </c>
      <c r="I401">
        <v>163.58000000000001</v>
      </c>
      <c r="J401" s="14" t="s">
        <v>22</v>
      </c>
    </row>
    <row r="402" spans="1:10" x14ac:dyDescent="0.25">
      <c r="A402">
        <v>1067</v>
      </c>
      <c r="B402" s="14" t="s">
        <v>804</v>
      </c>
      <c r="C402">
        <v>66</v>
      </c>
      <c r="D402" s="14" t="s">
        <v>24</v>
      </c>
      <c r="E402" s="1">
        <v>45800</v>
      </c>
      <c r="F402" s="1">
        <v>45518</v>
      </c>
      <c r="G402" s="14" t="s">
        <v>805</v>
      </c>
      <c r="H402" s="14" t="s">
        <v>12</v>
      </c>
      <c r="I402">
        <v>135.85</v>
      </c>
      <c r="J402" s="14" t="s">
        <v>28</v>
      </c>
    </row>
    <row r="403" spans="1:10" x14ac:dyDescent="0.25">
      <c r="A403">
        <v>1074</v>
      </c>
      <c r="B403" s="14" t="s">
        <v>806</v>
      </c>
      <c r="C403">
        <v>30</v>
      </c>
      <c r="D403" s="14" t="s">
        <v>30</v>
      </c>
      <c r="E403" s="1">
        <v>45994</v>
      </c>
      <c r="F403" s="1">
        <v>45865</v>
      </c>
      <c r="G403" s="14" t="s">
        <v>807</v>
      </c>
      <c r="H403" s="14" t="s">
        <v>15</v>
      </c>
      <c r="I403">
        <v>242.2</v>
      </c>
      <c r="J403" s="14" t="s">
        <v>28</v>
      </c>
    </row>
    <row r="404" spans="1:10" x14ac:dyDescent="0.25">
      <c r="A404">
        <v>1053</v>
      </c>
      <c r="B404" s="14" t="s">
        <v>808</v>
      </c>
      <c r="C404">
        <v>76</v>
      </c>
      <c r="D404" s="14" t="s">
        <v>30</v>
      </c>
      <c r="E404" s="1">
        <v>45989</v>
      </c>
      <c r="F404" s="1">
        <v>45767</v>
      </c>
      <c r="G404" s="14" t="s">
        <v>809</v>
      </c>
      <c r="H404" s="14" t="s">
        <v>21</v>
      </c>
      <c r="I404">
        <v>374.72</v>
      </c>
      <c r="J404" s="14" t="s">
        <v>28</v>
      </c>
    </row>
    <row r="405" spans="1:10" x14ac:dyDescent="0.25">
      <c r="A405">
        <v>1020</v>
      </c>
      <c r="B405" s="14" t="s">
        <v>810</v>
      </c>
      <c r="C405">
        <v>69</v>
      </c>
      <c r="D405" s="14" t="s">
        <v>30</v>
      </c>
      <c r="E405" s="1">
        <v>45904</v>
      </c>
      <c r="F405" s="1">
        <v>45704</v>
      </c>
      <c r="G405" s="14" t="s">
        <v>811</v>
      </c>
      <c r="H405" s="14" t="s">
        <v>21</v>
      </c>
      <c r="I405">
        <v>326.58</v>
      </c>
      <c r="J405" s="14" t="s">
        <v>22</v>
      </c>
    </row>
    <row r="406" spans="1:10" x14ac:dyDescent="0.25">
      <c r="A406">
        <v>1013</v>
      </c>
      <c r="B406" s="14" t="s">
        <v>812</v>
      </c>
      <c r="C406">
        <v>27</v>
      </c>
      <c r="D406" s="14" t="s">
        <v>30</v>
      </c>
      <c r="E406" s="1">
        <v>46027</v>
      </c>
      <c r="F406" s="1">
        <v>45638</v>
      </c>
      <c r="G406" s="14" t="s">
        <v>813</v>
      </c>
      <c r="H406" s="14" t="s">
        <v>18</v>
      </c>
      <c r="I406">
        <v>379.39</v>
      </c>
      <c r="J406" s="14" t="s">
        <v>28</v>
      </c>
    </row>
    <row r="407" spans="1:10" x14ac:dyDescent="0.25">
      <c r="A407">
        <v>1027</v>
      </c>
      <c r="B407" s="14" t="s">
        <v>814</v>
      </c>
      <c r="C407">
        <v>75</v>
      </c>
      <c r="D407" s="14" t="s">
        <v>50</v>
      </c>
      <c r="E407" s="1">
        <v>45761</v>
      </c>
      <c r="F407" s="1">
        <v>45463</v>
      </c>
      <c r="G407" s="14" t="s">
        <v>815</v>
      </c>
      <c r="H407" s="14" t="s">
        <v>15</v>
      </c>
      <c r="I407">
        <v>442.41</v>
      </c>
      <c r="J407" s="14" t="s">
        <v>22</v>
      </c>
    </row>
    <row r="408" spans="1:10" x14ac:dyDescent="0.25">
      <c r="A408">
        <v>1070</v>
      </c>
      <c r="B408" s="14" t="s">
        <v>816</v>
      </c>
      <c r="C408">
        <v>58</v>
      </c>
      <c r="D408" s="14" t="s">
        <v>30</v>
      </c>
      <c r="E408" s="1">
        <v>45992</v>
      </c>
      <c r="F408" s="1">
        <v>45655</v>
      </c>
      <c r="G408" s="14" t="s">
        <v>817</v>
      </c>
      <c r="H408" s="14" t="s">
        <v>21</v>
      </c>
      <c r="I408">
        <v>358.98</v>
      </c>
      <c r="J408" s="14" t="s">
        <v>22</v>
      </c>
    </row>
    <row r="409" spans="1:10" x14ac:dyDescent="0.25">
      <c r="A409">
        <v>1050</v>
      </c>
      <c r="B409" s="14" t="s">
        <v>818</v>
      </c>
      <c r="C409">
        <v>61</v>
      </c>
      <c r="D409" s="14" t="s">
        <v>30</v>
      </c>
      <c r="E409" s="1">
        <v>45827</v>
      </c>
      <c r="F409" s="1">
        <v>45536</v>
      </c>
      <c r="G409" s="14" t="s">
        <v>819</v>
      </c>
      <c r="H409" s="14" t="s">
        <v>18</v>
      </c>
      <c r="I409">
        <v>235.74</v>
      </c>
      <c r="J409" s="14" t="s">
        <v>22</v>
      </c>
    </row>
    <row r="410" spans="1:10" x14ac:dyDescent="0.25">
      <c r="A410">
        <v>1010</v>
      </c>
      <c r="B410" s="14" t="s">
        <v>820</v>
      </c>
      <c r="C410">
        <v>68</v>
      </c>
      <c r="D410" s="14" t="s">
        <v>30</v>
      </c>
      <c r="E410" s="1">
        <v>45842</v>
      </c>
      <c r="F410" s="1">
        <v>45596</v>
      </c>
      <c r="G410" s="14" t="s">
        <v>821</v>
      </c>
      <c r="H410" s="14" t="s">
        <v>21</v>
      </c>
      <c r="I410">
        <v>400.6</v>
      </c>
      <c r="J410" s="14" t="s">
        <v>28</v>
      </c>
    </row>
    <row r="411" spans="1:10" x14ac:dyDescent="0.25">
      <c r="A411">
        <v>1017</v>
      </c>
      <c r="B411" s="14" t="s">
        <v>822</v>
      </c>
      <c r="C411">
        <v>43</v>
      </c>
      <c r="D411" s="14" t="s">
        <v>30</v>
      </c>
      <c r="E411" s="1">
        <v>45795</v>
      </c>
      <c r="F411" s="1">
        <v>45495</v>
      </c>
      <c r="G411" s="14" t="s">
        <v>823</v>
      </c>
      <c r="H411" s="14" t="s">
        <v>15</v>
      </c>
      <c r="I411">
        <v>305.19</v>
      </c>
      <c r="J411" s="14" t="s">
        <v>22</v>
      </c>
    </row>
    <row r="412" spans="1:10" x14ac:dyDescent="0.25">
      <c r="A412">
        <v>1085</v>
      </c>
      <c r="B412" s="14" t="s">
        <v>824</v>
      </c>
      <c r="C412">
        <v>62</v>
      </c>
      <c r="D412" s="14" t="s">
        <v>30</v>
      </c>
      <c r="E412" s="1">
        <v>45968</v>
      </c>
      <c r="F412" s="1">
        <v>45515</v>
      </c>
      <c r="G412" s="14" t="s">
        <v>825</v>
      </c>
      <c r="H412" s="14" t="s">
        <v>12</v>
      </c>
      <c r="I412">
        <v>357.15</v>
      </c>
      <c r="J412" s="14" t="s">
        <v>22</v>
      </c>
    </row>
    <row r="413" spans="1:10" x14ac:dyDescent="0.25">
      <c r="A413">
        <v>1023</v>
      </c>
      <c r="B413" s="14" t="s">
        <v>826</v>
      </c>
      <c r="C413">
        <v>45</v>
      </c>
      <c r="D413" s="14" t="s">
        <v>50</v>
      </c>
      <c r="E413" s="1">
        <v>45829</v>
      </c>
      <c r="F413" s="1">
        <v>45729</v>
      </c>
      <c r="G413" s="14" t="s">
        <v>827</v>
      </c>
      <c r="H413" s="14" t="s">
        <v>12</v>
      </c>
      <c r="I413">
        <v>245.21</v>
      </c>
      <c r="J413" s="14" t="s">
        <v>28</v>
      </c>
    </row>
    <row r="414" spans="1:10" x14ac:dyDescent="0.25">
      <c r="A414">
        <v>1066</v>
      </c>
      <c r="B414" s="14" t="s">
        <v>828</v>
      </c>
      <c r="C414">
        <v>85</v>
      </c>
      <c r="D414" s="14" t="s">
        <v>30</v>
      </c>
      <c r="E414" s="1">
        <v>46000</v>
      </c>
      <c r="F414" s="1">
        <v>45687</v>
      </c>
      <c r="G414" s="14" t="s">
        <v>829</v>
      </c>
      <c r="H414" s="14" t="s">
        <v>21</v>
      </c>
      <c r="I414">
        <v>498.26</v>
      </c>
      <c r="J414" s="14" t="s">
        <v>28</v>
      </c>
    </row>
    <row r="415" spans="1:10" x14ac:dyDescent="0.25">
      <c r="A415">
        <v>1038</v>
      </c>
      <c r="B415" s="14" t="s">
        <v>830</v>
      </c>
      <c r="C415">
        <v>72</v>
      </c>
      <c r="D415" s="14" t="s">
        <v>30</v>
      </c>
      <c r="E415" s="1">
        <v>45896</v>
      </c>
      <c r="F415" s="1">
        <v>45633</v>
      </c>
      <c r="G415" s="14" t="s">
        <v>831</v>
      </c>
      <c r="H415" s="14" t="s">
        <v>18</v>
      </c>
      <c r="I415">
        <v>499.72</v>
      </c>
      <c r="J415" s="14" t="s">
        <v>28</v>
      </c>
    </row>
    <row r="416" spans="1:10" x14ac:dyDescent="0.25">
      <c r="A416">
        <v>1048</v>
      </c>
      <c r="B416" s="14" t="s">
        <v>832</v>
      </c>
      <c r="C416">
        <v>63</v>
      </c>
      <c r="D416" s="14" t="s">
        <v>30</v>
      </c>
      <c r="E416" s="1">
        <v>45945</v>
      </c>
      <c r="F416" s="1">
        <v>45690</v>
      </c>
      <c r="G416" s="14" t="s">
        <v>833</v>
      </c>
      <c r="H416" s="14" t="s">
        <v>12</v>
      </c>
      <c r="I416">
        <v>315.70999999999998</v>
      </c>
      <c r="J416" s="14" t="s">
        <v>28</v>
      </c>
    </row>
    <row r="417" spans="1:10" x14ac:dyDescent="0.25">
      <c r="A417">
        <v>1082</v>
      </c>
      <c r="B417" s="14" t="s">
        <v>834</v>
      </c>
      <c r="C417">
        <v>67</v>
      </c>
      <c r="D417" s="14" t="s">
        <v>30</v>
      </c>
      <c r="E417" s="1">
        <v>45857</v>
      </c>
      <c r="F417" s="1">
        <v>45630</v>
      </c>
      <c r="G417" s="14" t="s">
        <v>835</v>
      </c>
      <c r="H417" s="14" t="s">
        <v>21</v>
      </c>
      <c r="I417">
        <v>149.33000000000001</v>
      </c>
      <c r="J417" s="14" t="s">
        <v>28</v>
      </c>
    </row>
    <row r="418" spans="1:10" x14ac:dyDescent="0.25">
      <c r="A418">
        <v>1085</v>
      </c>
      <c r="B418" s="14" t="s">
        <v>836</v>
      </c>
      <c r="C418">
        <v>69</v>
      </c>
      <c r="D418" s="14" t="s">
        <v>50</v>
      </c>
      <c r="E418" s="1">
        <v>46097</v>
      </c>
      <c r="F418" s="1">
        <v>45462</v>
      </c>
      <c r="G418" s="14" t="s">
        <v>837</v>
      </c>
      <c r="H418" s="14" t="s">
        <v>21</v>
      </c>
      <c r="I418">
        <v>412.82</v>
      </c>
      <c r="J418" s="14" t="s">
        <v>22</v>
      </c>
    </row>
    <row r="419" spans="1:10" x14ac:dyDescent="0.25">
      <c r="A419">
        <v>1046</v>
      </c>
      <c r="B419" s="14" t="s">
        <v>838</v>
      </c>
      <c r="C419">
        <v>24</v>
      </c>
      <c r="D419" s="14" t="s">
        <v>30</v>
      </c>
      <c r="E419" s="1">
        <v>45857</v>
      </c>
      <c r="F419" s="1">
        <v>45533</v>
      </c>
      <c r="G419" s="14" t="s">
        <v>839</v>
      </c>
      <c r="H419" s="14" t="s">
        <v>15</v>
      </c>
      <c r="I419">
        <v>372.5</v>
      </c>
      <c r="J419" s="14" t="s">
        <v>22</v>
      </c>
    </row>
    <row r="420" spans="1:10" x14ac:dyDescent="0.25">
      <c r="A420">
        <v>1093</v>
      </c>
      <c r="B420" s="14" t="s">
        <v>840</v>
      </c>
      <c r="C420">
        <v>87</v>
      </c>
      <c r="D420" s="14" t="s">
        <v>30</v>
      </c>
      <c r="E420" s="1">
        <v>46044</v>
      </c>
      <c r="F420" s="1">
        <v>45599</v>
      </c>
      <c r="G420" s="14" t="s">
        <v>841</v>
      </c>
      <c r="H420" s="14" t="s">
        <v>15</v>
      </c>
      <c r="I420">
        <v>60.76</v>
      </c>
      <c r="J420" s="14" t="s">
        <v>22</v>
      </c>
    </row>
    <row r="421" spans="1:10" x14ac:dyDescent="0.25">
      <c r="A421">
        <v>1072</v>
      </c>
      <c r="B421" s="14" t="s">
        <v>842</v>
      </c>
      <c r="C421">
        <v>68</v>
      </c>
      <c r="D421" s="14" t="s">
        <v>50</v>
      </c>
      <c r="E421" s="1">
        <v>46032</v>
      </c>
      <c r="F421" s="1">
        <v>45911</v>
      </c>
      <c r="G421" s="14" t="s">
        <v>843</v>
      </c>
      <c r="H421" s="14" t="s">
        <v>12</v>
      </c>
      <c r="I421">
        <v>290.52</v>
      </c>
      <c r="J421" s="14" t="s">
        <v>22</v>
      </c>
    </row>
    <row r="422" spans="1:10" x14ac:dyDescent="0.25">
      <c r="A422">
        <v>1089</v>
      </c>
      <c r="B422" s="14" t="s">
        <v>844</v>
      </c>
      <c r="C422">
        <v>80</v>
      </c>
      <c r="D422" s="14" t="s">
        <v>50</v>
      </c>
      <c r="E422" s="1">
        <v>46000</v>
      </c>
      <c r="F422" s="1">
        <v>45951</v>
      </c>
      <c r="G422" s="14" t="s">
        <v>845</v>
      </c>
      <c r="H422" s="14" t="s">
        <v>12</v>
      </c>
      <c r="I422">
        <v>451.66</v>
      </c>
      <c r="J422" s="14" t="s">
        <v>22</v>
      </c>
    </row>
    <row r="423" spans="1:10" x14ac:dyDescent="0.25">
      <c r="A423">
        <v>1007</v>
      </c>
      <c r="B423" s="14" t="s">
        <v>846</v>
      </c>
      <c r="C423">
        <v>39</v>
      </c>
      <c r="D423" s="14" t="s">
        <v>30</v>
      </c>
      <c r="E423" s="1">
        <v>46031</v>
      </c>
      <c r="F423" s="1">
        <v>45513</v>
      </c>
      <c r="G423" s="14" t="s">
        <v>847</v>
      </c>
      <c r="H423" s="14" t="s">
        <v>12</v>
      </c>
      <c r="I423">
        <v>260.91000000000003</v>
      </c>
      <c r="J423" s="14" t="s">
        <v>22</v>
      </c>
    </row>
    <row r="424" spans="1:10" x14ac:dyDescent="0.25">
      <c r="A424">
        <v>1030</v>
      </c>
      <c r="B424" s="14" t="s">
        <v>848</v>
      </c>
      <c r="C424">
        <v>18</v>
      </c>
      <c r="D424" s="14" t="s">
        <v>50</v>
      </c>
      <c r="E424" s="1">
        <v>46079</v>
      </c>
      <c r="F424" s="1">
        <v>45907</v>
      </c>
      <c r="G424" s="14" t="s">
        <v>849</v>
      </c>
      <c r="H424" s="14" t="s">
        <v>15</v>
      </c>
      <c r="I424">
        <v>117.12</v>
      </c>
      <c r="J424" s="14" t="s">
        <v>28</v>
      </c>
    </row>
    <row r="425" spans="1:10" x14ac:dyDescent="0.25">
      <c r="A425">
        <v>1088</v>
      </c>
      <c r="B425" s="14" t="s">
        <v>850</v>
      </c>
      <c r="C425">
        <v>80</v>
      </c>
      <c r="D425" s="14" t="s">
        <v>50</v>
      </c>
      <c r="E425" s="1">
        <v>46087</v>
      </c>
      <c r="F425" s="1">
        <v>45826</v>
      </c>
      <c r="G425" s="14" t="s">
        <v>851</v>
      </c>
      <c r="H425" s="14" t="s">
        <v>12</v>
      </c>
      <c r="I425">
        <v>460.11</v>
      </c>
      <c r="J425" s="14" t="s">
        <v>28</v>
      </c>
    </row>
    <row r="426" spans="1:10" x14ac:dyDescent="0.25">
      <c r="A426">
        <v>1077</v>
      </c>
      <c r="B426" s="14" t="s">
        <v>852</v>
      </c>
      <c r="C426">
        <v>30</v>
      </c>
      <c r="D426" s="14" t="s">
        <v>50</v>
      </c>
      <c r="E426" s="1">
        <v>45882</v>
      </c>
      <c r="F426" s="1">
        <v>45698</v>
      </c>
      <c r="G426" s="14" t="s">
        <v>853</v>
      </c>
      <c r="H426" s="14" t="s">
        <v>12</v>
      </c>
      <c r="I426">
        <v>91.94</v>
      </c>
      <c r="J426" s="14" t="s">
        <v>28</v>
      </c>
    </row>
    <row r="427" spans="1:10" x14ac:dyDescent="0.25">
      <c r="A427">
        <v>1019</v>
      </c>
      <c r="B427" s="14" t="s">
        <v>854</v>
      </c>
      <c r="C427">
        <v>33</v>
      </c>
      <c r="D427" s="14" t="s">
        <v>30</v>
      </c>
      <c r="E427" s="1">
        <v>45821</v>
      </c>
      <c r="F427" s="1">
        <v>45452</v>
      </c>
      <c r="G427" s="14" t="s">
        <v>855</v>
      </c>
      <c r="H427" s="14" t="s">
        <v>21</v>
      </c>
      <c r="J427" s="14" t="s">
        <v>22</v>
      </c>
    </row>
    <row r="428" spans="1:10" x14ac:dyDescent="0.25">
      <c r="A428">
        <v>1065</v>
      </c>
      <c r="B428" s="14" t="s">
        <v>856</v>
      </c>
      <c r="C428">
        <v>31</v>
      </c>
      <c r="D428" s="14" t="s">
        <v>50</v>
      </c>
      <c r="E428" s="1">
        <v>46085</v>
      </c>
      <c r="F428" s="1">
        <v>46050</v>
      </c>
      <c r="G428" s="14" t="s">
        <v>857</v>
      </c>
      <c r="H428" s="14" t="s">
        <v>15</v>
      </c>
      <c r="I428">
        <v>347.38</v>
      </c>
      <c r="J428" s="14" t="s">
        <v>28</v>
      </c>
    </row>
    <row r="429" spans="1:10" x14ac:dyDescent="0.25">
      <c r="A429">
        <v>1081</v>
      </c>
      <c r="B429" s="14" t="s">
        <v>858</v>
      </c>
      <c r="C429">
        <v>27</v>
      </c>
      <c r="D429" s="14" t="s">
        <v>30</v>
      </c>
      <c r="E429" s="1">
        <v>45854</v>
      </c>
      <c r="F429" s="1">
        <v>45821</v>
      </c>
      <c r="G429" s="14" t="s">
        <v>859</v>
      </c>
      <c r="H429" s="14" t="s">
        <v>15</v>
      </c>
      <c r="I429">
        <v>288.43</v>
      </c>
      <c r="J429" s="14" t="s">
        <v>28</v>
      </c>
    </row>
    <row r="430" spans="1:10" x14ac:dyDescent="0.25">
      <c r="A430">
        <v>1058</v>
      </c>
      <c r="B430" s="14" t="s">
        <v>860</v>
      </c>
      <c r="C430">
        <v>21</v>
      </c>
      <c r="D430" s="14" t="s">
        <v>30</v>
      </c>
      <c r="E430" s="1">
        <v>45916</v>
      </c>
      <c r="F430" s="1">
        <v>45739</v>
      </c>
      <c r="G430" s="14" t="s">
        <v>861</v>
      </c>
      <c r="H430" s="14" t="s">
        <v>12</v>
      </c>
      <c r="I430">
        <v>222.2</v>
      </c>
      <c r="J430" s="14" t="s">
        <v>22</v>
      </c>
    </row>
    <row r="431" spans="1:10" x14ac:dyDescent="0.25">
      <c r="A431">
        <v>1034</v>
      </c>
      <c r="B431" s="14" t="s">
        <v>862</v>
      </c>
      <c r="C431">
        <v>75</v>
      </c>
      <c r="D431" s="14" t="s">
        <v>30</v>
      </c>
      <c r="E431" s="1">
        <v>45813</v>
      </c>
      <c r="F431" s="1">
        <v>45677</v>
      </c>
      <c r="G431" s="14" t="s">
        <v>863</v>
      </c>
      <c r="H431" s="14" t="s">
        <v>12</v>
      </c>
      <c r="I431">
        <v>180.6</v>
      </c>
      <c r="J431" s="14" t="s">
        <v>28</v>
      </c>
    </row>
    <row r="432" spans="1:10" x14ac:dyDescent="0.25">
      <c r="A432">
        <v>1068</v>
      </c>
      <c r="B432" s="14" t="s">
        <v>864</v>
      </c>
      <c r="C432">
        <v>61</v>
      </c>
      <c r="D432" s="14" t="s">
        <v>30</v>
      </c>
      <c r="E432" s="1">
        <v>46006</v>
      </c>
      <c r="F432" s="1">
        <v>45483</v>
      </c>
      <c r="G432" s="14" t="s">
        <v>865</v>
      </c>
      <c r="H432" s="14" t="s">
        <v>18</v>
      </c>
      <c r="J432" s="14" t="s">
        <v>28</v>
      </c>
    </row>
    <row r="433" spans="1:10" x14ac:dyDescent="0.25">
      <c r="A433">
        <v>1030</v>
      </c>
      <c r="B433" s="14" t="s">
        <v>866</v>
      </c>
      <c r="C433">
        <v>80</v>
      </c>
      <c r="D433" s="14" t="s">
        <v>50</v>
      </c>
      <c r="E433" s="1">
        <v>46063</v>
      </c>
      <c r="F433" s="1">
        <v>45674</v>
      </c>
      <c r="G433" s="14" t="s">
        <v>867</v>
      </c>
      <c r="H433" s="14" t="s">
        <v>12</v>
      </c>
      <c r="I433">
        <v>485.31</v>
      </c>
      <c r="J433" s="14" t="s">
        <v>22</v>
      </c>
    </row>
    <row r="434" spans="1:10" x14ac:dyDescent="0.25">
      <c r="A434">
        <v>1013</v>
      </c>
      <c r="B434" s="14" t="s">
        <v>868</v>
      </c>
      <c r="C434">
        <v>86</v>
      </c>
      <c r="D434" s="14" t="s">
        <v>50</v>
      </c>
      <c r="E434" s="1">
        <v>45907</v>
      </c>
      <c r="F434" s="1">
        <v>45668</v>
      </c>
      <c r="G434" s="14" t="s">
        <v>869</v>
      </c>
      <c r="H434" s="14" t="s">
        <v>18</v>
      </c>
      <c r="I434">
        <v>255.9</v>
      </c>
      <c r="J434" s="14" t="s">
        <v>22</v>
      </c>
    </row>
    <row r="435" spans="1:10" x14ac:dyDescent="0.25">
      <c r="A435">
        <v>1092</v>
      </c>
      <c r="B435" s="14" t="s">
        <v>870</v>
      </c>
      <c r="C435">
        <v>42</v>
      </c>
      <c r="D435" s="14" t="s">
        <v>50</v>
      </c>
      <c r="E435" s="1">
        <v>45767</v>
      </c>
      <c r="F435" s="1">
        <v>45574</v>
      </c>
      <c r="G435" s="14" t="s">
        <v>871</v>
      </c>
      <c r="H435" s="14" t="s">
        <v>12</v>
      </c>
      <c r="I435">
        <v>443.13</v>
      </c>
      <c r="J435" s="14" t="s">
        <v>28</v>
      </c>
    </row>
    <row r="436" spans="1:10" x14ac:dyDescent="0.25">
      <c r="A436">
        <v>1027</v>
      </c>
      <c r="B436" s="14" t="s">
        <v>872</v>
      </c>
      <c r="C436">
        <v>63</v>
      </c>
      <c r="D436" s="14" t="s">
        <v>50</v>
      </c>
      <c r="E436" s="1">
        <v>45847</v>
      </c>
      <c r="F436" s="1">
        <v>45504</v>
      </c>
      <c r="G436" s="14" t="s">
        <v>873</v>
      </c>
      <c r="H436" s="14" t="s">
        <v>15</v>
      </c>
      <c r="I436">
        <v>318.88</v>
      </c>
      <c r="J436" s="14" t="s">
        <v>28</v>
      </c>
    </row>
    <row r="437" spans="1:10" x14ac:dyDescent="0.25">
      <c r="A437">
        <v>1067</v>
      </c>
      <c r="B437" s="14" t="s">
        <v>557</v>
      </c>
      <c r="C437">
        <v>54</v>
      </c>
      <c r="D437" s="14" t="s">
        <v>30</v>
      </c>
      <c r="E437" s="1">
        <v>45911</v>
      </c>
      <c r="F437" s="1">
        <v>45905</v>
      </c>
      <c r="G437" s="14" t="s">
        <v>874</v>
      </c>
      <c r="H437" s="14" t="s">
        <v>12</v>
      </c>
      <c r="I437">
        <v>108.91</v>
      </c>
      <c r="J437" s="14" t="s">
        <v>22</v>
      </c>
    </row>
    <row r="438" spans="1:10" x14ac:dyDescent="0.25">
      <c r="A438">
        <v>1059</v>
      </c>
      <c r="B438" s="14" t="s">
        <v>875</v>
      </c>
      <c r="C438">
        <v>34</v>
      </c>
      <c r="D438" s="14" t="s">
        <v>50</v>
      </c>
      <c r="E438" s="1">
        <v>45910</v>
      </c>
      <c r="F438" s="1">
        <v>45595</v>
      </c>
      <c r="G438" s="14" t="s">
        <v>876</v>
      </c>
      <c r="H438" s="14" t="s">
        <v>18</v>
      </c>
      <c r="I438">
        <v>167.18</v>
      </c>
      <c r="J438" s="14" t="s">
        <v>28</v>
      </c>
    </row>
    <row r="439" spans="1:10" x14ac:dyDescent="0.25">
      <c r="A439">
        <v>1040</v>
      </c>
      <c r="B439" s="14" t="s">
        <v>877</v>
      </c>
      <c r="C439">
        <v>22</v>
      </c>
      <c r="D439" s="14" t="s">
        <v>30</v>
      </c>
      <c r="E439" s="1">
        <v>46006</v>
      </c>
      <c r="F439" s="1">
        <v>45430</v>
      </c>
      <c r="G439" s="14" t="s">
        <v>878</v>
      </c>
      <c r="H439" s="14" t="s">
        <v>15</v>
      </c>
      <c r="I439">
        <v>444.67</v>
      </c>
      <c r="J439" s="14" t="s">
        <v>22</v>
      </c>
    </row>
    <row r="440" spans="1:10" x14ac:dyDescent="0.25">
      <c r="A440">
        <v>1058</v>
      </c>
      <c r="B440" s="14" t="s">
        <v>879</v>
      </c>
      <c r="C440">
        <v>84</v>
      </c>
      <c r="D440" s="14" t="s">
        <v>30</v>
      </c>
      <c r="E440" s="1">
        <v>45954</v>
      </c>
      <c r="F440" s="1">
        <v>45743</v>
      </c>
      <c r="G440" s="14" t="s">
        <v>880</v>
      </c>
      <c r="H440" s="14" t="s">
        <v>18</v>
      </c>
      <c r="I440">
        <v>396.57</v>
      </c>
      <c r="J440" s="14" t="s">
        <v>28</v>
      </c>
    </row>
    <row r="441" spans="1:10" x14ac:dyDescent="0.25">
      <c r="A441">
        <v>1080</v>
      </c>
      <c r="B441" s="14" t="s">
        <v>881</v>
      </c>
      <c r="C441">
        <v>45</v>
      </c>
      <c r="D441" s="14" t="s">
        <v>30</v>
      </c>
      <c r="E441" s="1">
        <v>45972</v>
      </c>
      <c r="F441" s="1">
        <v>45818</v>
      </c>
      <c r="G441" s="14" t="s">
        <v>882</v>
      </c>
      <c r="H441" s="14" t="s">
        <v>12</v>
      </c>
      <c r="I441">
        <v>185.29</v>
      </c>
      <c r="J441" s="14" t="s">
        <v>22</v>
      </c>
    </row>
    <row r="442" spans="1:10" x14ac:dyDescent="0.25">
      <c r="A442">
        <v>1026</v>
      </c>
      <c r="B442" s="14" t="s">
        <v>883</v>
      </c>
      <c r="C442">
        <v>47</v>
      </c>
      <c r="D442" s="14" t="s">
        <v>30</v>
      </c>
      <c r="E442" s="1">
        <v>46070</v>
      </c>
      <c r="F442" s="1">
        <v>45421</v>
      </c>
      <c r="G442" s="14" t="s">
        <v>884</v>
      </c>
      <c r="H442" s="14" t="s">
        <v>12</v>
      </c>
      <c r="I442">
        <v>215.89</v>
      </c>
      <c r="J442" s="14" t="s">
        <v>22</v>
      </c>
    </row>
    <row r="443" spans="1:10" x14ac:dyDescent="0.25">
      <c r="A443">
        <v>1058</v>
      </c>
      <c r="B443" s="14" t="s">
        <v>885</v>
      </c>
      <c r="C443">
        <v>88</v>
      </c>
      <c r="D443" s="14" t="s">
        <v>24</v>
      </c>
      <c r="E443" s="1">
        <v>45949</v>
      </c>
      <c r="F443" s="1">
        <v>45612</v>
      </c>
      <c r="G443" s="14" t="s">
        <v>886</v>
      </c>
      <c r="H443" s="14" t="s">
        <v>18</v>
      </c>
      <c r="I443">
        <v>438.81</v>
      </c>
      <c r="J443" s="14" t="s">
        <v>22</v>
      </c>
    </row>
    <row r="444" spans="1:10" x14ac:dyDescent="0.25">
      <c r="A444">
        <v>1065</v>
      </c>
      <c r="B444" s="14" t="s">
        <v>887</v>
      </c>
      <c r="C444">
        <v>28</v>
      </c>
      <c r="D444" s="14" t="s">
        <v>50</v>
      </c>
      <c r="E444" s="1">
        <v>45893</v>
      </c>
      <c r="F444" s="1">
        <v>45867</v>
      </c>
      <c r="G444" s="14" t="s">
        <v>888</v>
      </c>
      <c r="H444" s="14" t="s">
        <v>18</v>
      </c>
      <c r="I444">
        <v>231.7</v>
      </c>
      <c r="J444" s="14" t="s">
        <v>28</v>
      </c>
    </row>
    <row r="445" spans="1:10" x14ac:dyDescent="0.25">
      <c r="A445">
        <v>1016</v>
      </c>
      <c r="B445" s="14" t="s">
        <v>889</v>
      </c>
      <c r="C445">
        <v>42</v>
      </c>
      <c r="D445" s="14" t="s">
        <v>50</v>
      </c>
      <c r="E445" s="1">
        <v>45966</v>
      </c>
      <c r="F445" s="1">
        <v>45507</v>
      </c>
      <c r="G445" s="14" t="s">
        <v>890</v>
      </c>
      <c r="H445" s="14" t="s">
        <v>21</v>
      </c>
      <c r="J445" s="14" t="s">
        <v>28</v>
      </c>
    </row>
    <row r="446" spans="1:10" x14ac:dyDescent="0.25">
      <c r="A446">
        <v>1064</v>
      </c>
      <c r="B446" s="14" t="s">
        <v>891</v>
      </c>
      <c r="C446">
        <v>27</v>
      </c>
      <c r="D446" s="14" t="s">
        <v>30</v>
      </c>
      <c r="E446" s="1">
        <v>46073</v>
      </c>
      <c r="F446" s="1">
        <v>45844</v>
      </c>
      <c r="G446" s="14" t="s">
        <v>892</v>
      </c>
      <c r="H446" s="14" t="s">
        <v>21</v>
      </c>
      <c r="I446">
        <v>173.85</v>
      </c>
      <c r="J446" s="14" t="s">
        <v>28</v>
      </c>
    </row>
    <row r="447" spans="1:10" x14ac:dyDescent="0.25">
      <c r="A447">
        <v>1036</v>
      </c>
      <c r="B447" s="14" t="s">
        <v>893</v>
      </c>
      <c r="C447">
        <v>59</v>
      </c>
      <c r="D447" s="14" t="s">
        <v>50</v>
      </c>
      <c r="E447" s="1">
        <v>45946</v>
      </c>
      <c r="F447" s="1">
        <v>45411</v>
      </c>
      <c r="G447" s="14" t="s">
        <v>894</v>
      </c>
      <c r="H447" s="14" t="s">
        <v>12</v>
      </c>
      <c r="I447">
        <v>285.44</v>
      </c>
      <c r="J447" s="14" t="s">
        <v>28</v>
      </c>
    </row>
    <row r="448" spans="1:10" x14ac:dyDescent="0.25">
      <c r="A448">
        <v>1017</v>
      </c>
      <c r="B448" s="14" t="s">
        <v>895</v>
      </c>
      <c r="C448">
        <v>34</v>
      </c>
      <c r="D448" s="14" t="s">
        <v>30</v>
      </c>
      <c r="E448" s="1">
        <v>45858</v>
      </c>
      <c r="F448" s="1">
        <v>45791</v>
      </c>
      <c r="G448" s="14" t="s">
        <v>896</v>
      </c>
      <c r="H448" s="14" t="s">
        <v>21</v>
      </c>
      <c r="I448">
        <v>202.92</v>
      </c>
      <c r="J448" s="14" t="s">
        <v>22</v>
      </c>
    </row>
    <row r="449" spans="1:10" x14ac:dyDescent="0.25">
      <c r="A449">
        <v>1005</v>
      </c>
      <c r="B449" s="14" t="s">
        <v>897</v>
      </c>
      <c r="C449">
        <v>69</v>
      </c>
      <c r="D449" s="14" t="s">
        <v>50</v>
      </c>
      <c r="E449" s="1">
        <v>45936</v>
      </c>
      <c r="F449" s="1">
        <v>45625</v>
      </c>
      <c r="G449" s="14" t="s">
        <v>898</v>
      </c>
      <c r="H449" s="14" t="s">
        <v>18</v>
      </c>
      <c r="I449">
        <v>383.47</v>
      </c>
      <c r="J449" s="14" t="s">
        <v>28</v>
      </c>
    </row>
    <row r="450" spans="1:10" x14ac:dyDescent="0.25">
      <c r="A450">
        <v>1086</v>
      </c>
      <c r="B450" s="14" t="s">
        <v>899</v>
      </c>
      <c r="C450">
        <v>84</v>
      </c>
      <c r="D450" s="14" t="s">
        <v>50</v>
      </c>
      <c r="E450" s="1">
        <v>46015</v>
      </c>
      <c r="F450" s="1">
        <v>45534</v>
      </c>
      <c r="G450" s="14" t="s">
        <v>900</v>
      </c>
      <c r="H450" s="14" t="s">
        <v>21</v>
      </c>
      <c r="I450">
        <v>302.66000000000003</v>
      </c>
      <c r="J450" s="14" t="s">
        <v>28</v>
      </c>
    </row>
    <row r="451" spans="1:10" x14ac:dyDescent="0.25">
      <c r="A451">
        <v>1095</v>
      </c>
      <c r="B451" s="14" t="s">
        <v>901</v>
      </c>
      <c r="C451">
        <v>37</v>
      </c>
      <c r="D451" s="14" t="s">
        <v>50</v>
      </c>
      <c r="E451" s="1">
        <v>45914</v>
      </c>
      <c r="F451" s="1">
        <v>45432</v>
      </c>
      <c r="G451" s="14" t="s">
        <v>902</v>
      </c>
      <c r="H451" s="14" t="s">
        <v>15</v>
      </c>
      <c r="I451">
        <v>472.57</v>
      </c>
      <c r="J451" s="14" t="s">
        <v>28</v>
      </c>
    </row>
    <row r="452" spans="1:10" x14ac:dyDescent="0.25">
      <c r="A452">
        <v>1030</v>
      </c>
      <c r="B452" s="14" t="s">
        <v>903</v>
      </c>
      <c r="C452">
        <v>25</v>
      </c>
      <c r="D452" s="14" t="s">
        <v>30</v>
      </c>
      <c r="E452" s="1">
        <v>45771</v>
      </c>
      <c r="F452" s="1">
        <v>45396</v>
      </c>
      <c r="G452" s="14" t="s">
        <v>904</v>
      </c>
      <c r="H452" s="14" t="s">
        <v>15</v>
      </c>
      <c r="I452">
        <v>417.21</v>
      </c>
      <c r="J452" s="14" t="s">
        <v>22</v>
      </c>
    </row>
    <row r="453" spans="1:10" x14ac:dyDescent="0.25">
      <c r="A453">
        <v>1059</v>
      </c>
      <c r="B453" s="14" t="s">
        <v>905</v>
      </c>
      <c r="C453">
        <v>84</v>
      </c>
      <c r="D453" s="14" t="s">
        <v>30</v>
      </c>
      <c r="E453" s="1">
        <v>46097</v>
      </c>
      <c r="F453" s="1">
        <v>45630</v>
      </c>
      <c r="G453" s="14" t="s">
        <v>906</v>
      </c>
      <c r="H453" s="14" t="s">
        <v>18</v>
      </c>
      <c r="I453">
        <v>244.68</v>
      </c>
      <c r="J453" s="14" t="s">
        <v>28</v>
      </c>
    </row>
    <row r="454" spans="1:10" x14ac:dyDescent="0.25">
      <c r="A454">
        <v>1012</v>
      </c>
      <c r="B454" s="14" t="s">
        <v>907</v>
      </c>
      <c r="C454">
        <v>30</v>
      </c>
      <c r="D454" s="14" t="s">
        <v>30</v>
      </c>
      <c r="E454" s="1">
        <v>46030</v>
      </c>
      <c r="F454" s="1">
        <v>45888</v>
      </c>
      <c r="G454" s="14" t="s">
        <v>908</v>
      </c>
      <c r="H454" s="14" t="s">
        <v>12</v>
      </c>
      <c r="I454">
        <v>70.7</v>
      </c>
      <c r="J454" s="14" t="s">
        <v>28</v>
      </c>
    </row>
    <row r="455" spans="1:10" x14ac:dyDescent="0.25">
      <c r="A455">
        <v>1074</v>
      </c>
      <c r="B455" s="14" t="s">
        <v>909</v>
      </c>
      <c r="C455">
        <v>64</v>
      </c>
      <c r="D455" s="14" t="s">
        <v>50</v>
      </c>
      <c r="E455" s="1">
        <v>45832</v>
      </c>
      <c r="F455" s="1">
        <v>45571</v>
      </c>
      <c r="G455" s="14" t="s">
        <v>910</v>
      </c>
      <c r="H455" s="14" t="s">
        <v>21</v>
      </c>
      <c r="I455">
        <v>386.37</v>
      </c>
      <c r="J455" s="14" t="s">
        <v>22</v>
      </c>
    </row>
    <row r="456" spans="1:10" x14ac:dyDescent="0.25">
      <c r="A456">
        <v>1082</v>
      </c>
      <c r="B456" s="14" t="s">
        <v>911</v>
      </c>
      <c r="C456">
        <v>33</v>
      </c>
      <c r="D456" s="14" t="s">
        <v>50</v>
      </c>
      <c r="E456" s="1">
        <v>45819</v>
      </c>
      <c r="F456" s="1">
        <v>45707</v>
      </c>
      <c r="G456" s="14" t="s">
        <v>912</v>
      </c>
      <c r="H456" s="14" t="s">
        <v>18</v>
      </c>
      <c r="I456">
        <v>387.75</v>
      </c>
      <c r="J456" s="14" t="s">
        <v>28</v>
      </c>
    </row>
    <row r="457" spans="1:10" x14ac:dyDescent="0.25">
      <c r="A457">
        <v>1009</v>
      </c>
      <c r="B457" s="14" t="s">
        <v>913</v>
      </c>
      <c r="C457">
        <v>63</v>
      </c>
      <c r="D457" s="14" t="s">
        <v>50</v>
      </c>
      <c r="E457" s="1">
        <v>46070</v>
      </c>
      <c r="F457" s="1">
        <v>46033</v>
      </c>
      <c r="G457" s="14" t="s">
        <v>914</v>
      </c>
      <c r="H457" s="14" t="s">
        <v>12</v>
      </c>
      <c r="I457">
        <v>176.68</v>
      </c>
      <c r="J457" s="14" t="s">
        <v>22</v>
      </c>
    </row>
    <row r="458" spans="1:10" x14ac:dyDescent="0.25">
      <c r="A458">
        <v>1091</v>
      </c>
      <c r="B458" s="14" t="s">
        <v>915</v>
      </c>
      <c r="C458">
        <v>86</v>
      </c>
      <c r="D458" s="14" t="s">
        <v>50</v>
      </c>
      <c r="E458" s="1">
        <v>46014</v>
      </c>
      <c r="F458" s="1">
        <v>45620</v>
      </c>
      <c r="G458" s="14" t="s">
        <v>916</v>
      </c>
      <c r="H458" s="14" t="s">
        <v>21</v>
      </c>
      <c r="I458">
        <v>491.64</v>
      </c>
      <c r="J458" s="14" t="s">
        <v>22</v>
      </c>
    </row>
    <row r="459" spans="1:10" x14ac:dyDescent="0.25">
      <c r="A459">
        <v>1038</v>
      </c>
      <c r="B459" s="14" t="s">
        <v>917</v>
      </c>
      <c r="C459">
        <v>54</v>
      </c>
      <c r="D459" s="14" t="s">
        <v>30</v>
      </c>
      <c r="E459" s="1">
        <v>45824</v>
      </c>
      <c r="F459" s="1">
        <v>45771</v>
      </c>
      <c r="G459" s="14" t="s">
        <v>918</v>
      </c>
      <c r="H459" s="14" t="s">
        <v>21</v>
      </c>
      <c r="I459">
        <v>325.91000000000003</v>
      </c>
      <c r="J459" s="14" t="s">
        <v>22</v>
      </c>
    </row>
    <row r="460" spans="1:10" x14ac:dyDescent="0.25">
      <c r="A460">
        <v>1037</v>
      </c>
      <c r="B460" s="14" t="s">
        <v>919</v>
      </c>
      <c r="C460">
        <v>52</v>
      </c>
      <c r="D460" s="14" t="s">
        <v>50</v>
      </c>
      <c r="E460" s="1">
        <v>45997</v>
      </c>
      <c r="F460" s="1">
        <v>45676</v>
      </c>
      <c r="G460" s="14" t="s">
        <v>920</v>
      </c>
      <c r="H460" s="14" t="s">
        <v>21</v>
      </c>
      <c r="J460" s="14" t="s">
        <v>22</v>
      </c>
    </row>
    <row r="461" spans="1:10" x14ac:dyDescent="0.25">
      <c r="A461">
        <v>1053</v>
      </c>
      <c r="B461" s="14" t="s">
        <v>698</v>
      </c>
      <c r="C461">
        <v>30</v>
      </c>
      <c r="D461" s="14" t="s">
        <v>30</v>
      </c>
      <c r="E461" s="1">
        <v>46022</v>
      </c>
      <c r="F461" s="1">
        <v>45975</v>
      </c>
      <c r="G461" s="14" t="s">
        <v>921</v>
      </c>
      <c r="H461" s="14" t="s">
        <v>12</v>
      </c>
      <c r="I461">
        <v>280.20999999999998</v>
      </c>
      <c r="J461" s="14" t="s">
        <v>28</v>
      </c>
    </row>
    <row r="462" spans="1:10" x14ac:dyDescent="0.25">
      <c r="A462">
        <v>1043</v>
      </c>
      <c r="B462" s="14" t="s">
        <v>922</v>
      </c>
      <c r="C462">
        <v>28</v>
      </c>
      <c r="D462" s="14" t="s">
        <v>30</v>
      </c>
      <c r="E462" s="1">
        <v>45927</v>
      </c>
      <c r="F462" s="1">
        <v>45827</v>
      </c>
      <c r="G462" s="14" t="s">
        <v>923</v>
      </c>
      <c r="H462" s="14" t="s">
        <v>21</v>
      </c>
      <c r="I462">
        <v>88.29</v>
      </c>
      <c r="J462" s="14" t="s">
        <v>22</v>
      </c>
    </row>
    <row r="463" spans="1:10" x14ac:dyDescent="0.25">
      <c r="A463">
        <v>1021</v>
      </c>
      <c r="B463" s="14" t="s">
        <v>924</v>
      </c>
      <c r="C463">
        <v>53</v>
      </c>
      <c r="D463" s="14" t="s">
        <v>50</v>
      </c>
      <c r="E463" s="1">
        <v>46069</v>
      </c>
      <c r="F463" s="1">
        <v>45751</v>
      </c>
      <c r="G463" s="14" t="s">
        <v>925</v>
      </c>
      <c r="H463" s="14" t="s">
        <v>18</v>
      </c>
      <c r="I463">
        <v>443.75</v>
      </c>
      <c r="J463" s="14" t="s">
        <v>28</v>
      </c>
    </row>
    <row r="464" spans="1:10" x14ac:dyDescent="0.25">
      <c r="A464">
        <v>1059</v>
      </c>
      <c r="B464" s="14" t="s">
        <v>926</v>
      </c>
      <c r="C464">
        <v>57</v>
      </c>
      <c r="D464" s="14" t="s">
        <v>50</v>
      </c>
      <c r="E464" s="1">
        <v>45896</v>
      </c>
      <c r="F464" s="1">
        <v>45387</v>
      </c>
      <c r="G464" s="14" t="s">
        <v>927</v>
      </c>
      <c r="H464" s="14" t="s">
        <v>12</v>
      </c>
      <c r="I464">
        <v>385.61</v>
      </c>
      <c r="J464" s="14" t="s">
        <v>28</v>
      </c>
    </row>
    <row r="465" spans="1:10" x14ac:dyDescent="0.25">
      <c r="A465">
        <v>1038</v>
      </c>
      <c r="B465" s="14" t="s">
        <v>928</v>
      </c>
      <c r="C465">
        <v>19</v>
      </c>
      <c r="D465" s="14" t="s">
        <v>30</v>
      </c>
      <c r="E465" s="1">
        <v>45790</v>
      </c>
      <c r="F465" s="1">
        <v>45491</v>
      </c>
      <c r="G465" s="14" t="s">
        <v>929</v>
      </c>
      <c r="H465" s="14" t="s">
        <v>12</v>
      </c>
      <c r="I465">
        <v>350.5</v>
      </c>
      <c r="J465" s="14" t="s">
        <v>28</v>
      </c>
    </row>
    <row r="466" spans="1:10" x14ac:dyDescent="0.25">
      <c r="A466">
        <v>1065</v>
      </c>
      <c r="B466" s="14" t="s">
        <v>930</v>
      </c>
      <c r="C466">
        <v>75</v>
      </c>
      <c r="D466" s="14" t="s">
        <v>50</v>
      </c>
      <c r="E466" s="1">
        <v>46005</v>
      </c>
      <c r="F466" s="1">
        <v>45442</v>
      </c>
      <c r="G466" s="14" t="s">
        <v>931</v>
      </c>
      <c r="H466" s="14" t="s">
        <v>15</v>
      </c>
      <c r="I466">
        <v>255.56</v>
      </c>
      <c r="J466" s="14" t="s">
        <v>28</v>
      </c>
    </row>
    <row r="467" spans="1:10" x14ac:dyDescent="0.25">
      <c r="A467">
        <v>1031</v>
      </c>
      <c r="B467" s="14" t="s">
        <v>932</v>
      </c>
      <c r="C467">
        <v>33</v>
      </c>
      <c r="D467" s="14" t="s">
        <v>50</v>
      </c>
      <c r="E467" s="1">
        <v>45913</v>
      </c>
      <c r="F467" s="1">
        <v>45475</v>
      </c>
      <c r="G467" s="14" t="s">
        <v>933</v>
      </c>
      <c r="H467" s="14" t="s">
        <v>15</v>
      </c>
      <c r="I467">
        <v>458.83</v>
      </c>
      <c r="J467" s="14" t="s">
        <v>28</v>
      </c>
    </row>
    <row r="468" spans="1:10" x14ac:dyDescent="0.25">
      <c r="A468">
        <v>1018</v>
      </c>
      <c r="B468" s="14" t="s">
        <v>934</v>
      </c>
      <c r="C468">
        <v>20</v>
      </c>
      <c r="D468" s="14" t="s">
        <v>30</v>
      </c>
      <c r="E468" s="1">
        <v>45861</v>
      </c>
      <c r="F468" s="1">
        <v>45830</v>
      </c>
      <c r="G468" s="14" t="s">
        <v>935</v>
      </c>
      <c r="H468" s="14" t="s">
        <v>18</v>
      </c>
      <c r="I468">
        <v>138.29</v>
      </c>
      <c r="J468" s="14" t="s">
        <v>22</v>
      </c>
    </row>
    <row r="469" spans="1:10" x14ac:dyDescent="0.25">
      <c r="A469">
        <v>1081</v>
      </c>
      <c r="B469" s="14" t="s">
        <v>936</v>
      </c>
      <c r="C469">
        <v>42</v>
      </c>
      <c r="D469" s="14" t="s">
        <v>30</v>
      </c>
      <c r="E469" s="1">
        <v>46096</v>
      </c>
      <c r="F469" s="1">
        <v>45435</v>
      </c>
      <c r="G469" s="14" t="s">
        <v>937</v>
      </c>
      <c r="H469" s="14" t="s">
        <v>12</v>
      </c>
      <c r="I469">
        <v>189.02</v>
      </c>
      <c r="J469" s="14" t="s">
        <v>28</v>
      </c>
    </row>
    <row r="470" spans="1:10" x14ac:dyDescent="0.25">
      <c r="A470">
        <v>1098</v>
      </c>
      <c r="B470" s="14" t="s">
        <v>938</v>
      </c>
      <c r="C470">
        <v>27</v>
      </c>
      <c r="D470" s="14" t="s">
        <v>30</v>
      </c>
      <c r="E470" s="1">
        <v>45883</v>
      </c>
      <c r="F470" s="1">
        <v>45628</v>
      </c>
      <c r="G470" s="14" t="s">
        <v>939</v>
      </c>
      <c r="H470" s="14" t="s">
        <v>15</v>
      </c>
      <c r="I470">
        <v>272.47000000000003</v>
      </c>
      <c r="J470" s="14" t="s">
        <v>22</v>
      </c>
    </row>
    <row r="471" spans="1:10" x14ac:dyDescent="0.25">
      <c r="A471">
        <v>1070</v>
      </c>
      <c r="B471" s="14" t="s">
        <v>940</v>
      </c>
      <c r="C471">
        <v>56</v>
      </c>
      <c r="D471" s="14" t="s">
        <v>50</v>
      </c>
      <c r="E471" s="1">
        <v>45919</v>
      </c>
      <c r="F471" s="1">
        <v>45563</v>
      </c>
      <c r="G471" s="14" t="s">
        <v>941</v>
      </c>
      <c r="H471" s="14" t="s">
        <v>12</v>
      </c>
      <c r="I471">
        <v>450.37</v>
      </c>
      <c r="J471" s="14" t="s">
        <v>28</v>
      </c>
    </row>
    <row r="472" spans="1:10" x14ac:dyDescent="0.25">
      <c r="A472">
        <v>1093</v>
      </c>
      <c r="B472" s="14" t="s">
        <v>942</v>
      </c>
      <c r="C472">
        <v>81</v>
      </c>
      <c r="D472" s="14" t="s">
        <v>30</v>
      </c>
      <c r="E472" s="1">
        <v>46060</v>
      </c>
      <c r="F472" s="1">
        <v>45470</v>
      </c>
      <c r="G472" s="14" t="s">
        <v>943</v>
      </c>
      <c r="H472" s="14" t="s">
        <v>21</v>
      </c>
      <c r="I472">
        <v>490.67</v>
      </c>
      <c r="J472" s="14" t="s">
        <v>28</v>
      </c>
    </row>
    <row r="473" spans="1:10" x14ac:dyDescent="0.25">
      <c r="A473">
        <v>1032</v>
      </c>
      <c r="B473" s="14" t="s">
        <v>944</v>
      </c>
      <c r="C473">
        <v>56</v>
      </c>
      <c r="D473" s="14" t="s">
        <v>50</v>
      </c>
      <c r="E473" s="1">
        <v>45927</v>
      </c>
      <c r="F473" s="1">
        <v>45693</v>
      </c>
      <c r="G473" s="14" t="s">
        <v>945</v>
      </c>
      <c r="H473" s="14" t="s">
        <v>12</v>
      </c>
      <c r="I473">
        <v>99.17</v>
      </c>
      <c r="J473" s="14" t="s">
        <v>22</v>
      </c>
    </row>
    <row r="474" spans="1:10" x14ac:dyDescent="0.25">
      <c r="A474">
        <v>1071</v>
      </c>
      <c r="B474" s="14" t="s">
        <v>946</v>
      </c>
      <c r="C474">
        <v>80</v>
      </c>
      <c r="D474" s="14" t="s">
        <v>30</v>
      </c>
      <c r="E474" s="1">
        <v>45867</v>
      </c>
      <c r="F474" s="1">
        <v>45396</v>
      </c>
      <c r="G474" s="14" t="s">
        <v>947</v>
      </c>
      <c r="H474" s="14" t="s">
        <v>18</v>
      </c>
      <c r="I474">
        <v>105.64</v>
      </c>
      <c r="J474" s="14" t="s">
        <v>22</v>
      </c>
    </row>
    <row r="475" spans="1:10" x14ac:dyDescent="0.25">
      <c r="A475">
        <v>1067</v>
      </c>
      <c r="B475" s="14" t="s">
        <v>948</v>
      </c>
      <c r="C475">
        <v>72</v>
      </c>
      <c r="D475" s="14" t="s">
        <v>30</v>
      </c>
      <c r="E475" s="1">
        <v>46101</v>
      </c>
      <c r="F475" s="1">
        <v>45486</v>
      </c>
      <c r="G475" s="14" t="s">
        <v>949</v>
      </c>
      <c r="H475" s="14" t="s">
        <v>15</v>
      </c>
      <c r="I475">
        <v>437.18</v>
      </c>
      <c r="J475" s="14" t="s">
        <v>22</v>
      </c>
    </row>
    <row r="476" spans="1:10" x14ac:dyDescent="0.25">
      <c r="A476">
        <v>1090</v>
      </c>
      <c r="B476" s="14" t="s">
        <v>950</v>
      </c>
      <c r="C476">
        <v>37</v>
      </c>
      <c r="D476" s="14" t="s">
        <v>50</v>
      </c>
      <c r="E476" s="1">
        <v>46081</v>
      </c>
      <c r="F476" s="1">
        <v>45400</v>
      </c>
      <c r="G476" s="14" t="s">
        <v>951</v>
      </c>
      <c r="H476" s="14" t="s">
        <v>21</v>
      </c>
      <c r="I476">
        <v>77.2</v>
      </c>
      <c r="J476" s="14" t="s">
        <v>22</v>
      </c>
    </row>
    <row r="477" spans="1:10" x14ac:dyDescent="0.25">
      <c r="A477">
        <v>1027</v>
      </c>
      <c r="B477" s="14" t="s">
        <v>952</v>
      </c>
      <c r="C477">
        <v>81</v>
      </c>
      <c r="D477" s="14" t="s">
        <v>30</v>
      </c>
      <c r="E477" s="1">
        <v>46021</v>
      </c>
      <c r="F477" s="1">
        <v>45666</v>
      </c>
      <c r="G477" s="14" t="s">
        <v>953</v>
      </c>
      <c r="H477" s="14" t="s">
        <v>21</v>
      </c>
      <c r="I477">
        <v>118.72</v>
      </c>
      <c r="J477" s="14" t="s">
        <v>22</v>
      </c>
    </row>
    <row r="478" spans="1:10" x14ac:dyDescent="0.25">
      <c r="A478">
        <v>1073</v>
      </c>
      <c r="B478" s="14" t="s">
        <v>954</v>
      </c>
      <c r="C478">
        <v>52</v>
      </c>
      <c r="D478" s="14" t="s">
        <v>50</v>
      </c>
      <c r="E478" s="1">
        <v>46098</v>
      </c>
      <c r="F478" s="1">
        <v>45950</v>
      </c>
      <c r="G478" s="14" t="s">
        <v>955</v>
      </c>
      <c r="H478" s="14" t="s">
        <v>18</v>
      </c>
      <c r="I478">
        <v>155.69</v>
      </c>
      <c r="J478" s="14" t="s">
        <v>28</v>
      </c>
    </row>
    <row r="479" spans="1:10" x14ac:dyDescent="0.25">
      <c r="A479">
        <v>1092</v>
      </c>
      <c r="B479" s="14" t="s">
        <v>956</v>
      </c>
      <c r="C479">
        <v>79</v>
      </c>
      <c r="D479" s="14" t="s">
        <v>50</v>
      </c>
      <c r="E479" s="1">
        <v>45909</v>
      </c>
      <c r="F479" s="1">
        <v>45690</v>
      </c>
      <c r="G479" s="14" t="s">
        <v>957</v>
      </c>
      <c r="H479" s="14" t="s">
        <v>18</v>
      </c>
      <c r="I479">
        <v>487.57</v>
      </c>
      <c r="J479" s="14" t="s">
        <v>22</v>
      </c>
    </row>
    <row r="480" spans="1:10" x14ac:dyDescent="0.25">
      <c r="A480">
        <v>1083</v>
      </c>
      <c r="B480" s="14" t="s">
        <v>958</v>
      </c>
      <c r="C480">
        <v>56</v>
      </c>
      <c r="D480" s="14" t="s">
        <v>30</v>
      </c>
      <c r="E480" s="1">
        <v>45979</v>
      </c>
      <c r="F480" s="1">
        <v>45695</v>
      </c>
      <c r="G480" s="14" t="s">
        <v>959</v>
      </c>
      <c r="H480" s="14" t="s">
        <v>12</v>
      </c>
      <c r="I480">
        <v>412.44</v>
      </c>
      <c r="J480" s="14" t="s">
        <v>22</v>
      </c>
    </row>
    <row r="481" spans="1:10" x14ac:dyDescent="0.25">
      <c r="A481">
        <v>1091</v>
      </c>
      <c r="B481" s="14" t="s">
        <v>960</v>
      </c>
      <c r="C481">
        <v>74</v>
      </c>
      <c r="D481" s="14" t="s">
        <v>50</v>
      </c>
      <c r="E481" s="1">
        <v>46002</v>
      </c>
      <c r="F481" s="1">
        <v>45770</v>
      </c>
      <c r="G481" s="14" t="s">
        <v>961</v>
      </c>
      <c r="H481" s="14" t="s">
        <v>12</v>
      </c>
      <c r="I481">
        <v>297.5</v>
      </c>
      <c r="J481" s="14" t="s">
        <v>28</v>
      </c>
    </row>
    <row r="482" spans="1:10" x14ac:dyDescent="0.25">
      <c r="A482">
        <v>1057</v>
      </c>
      <c r="B482" s="14" t="s">
        <v>962</v>
      </c>
      <c r="C482">
        <v>60</v>
      </c>
      <c r="D482" s="14" t="s">
        <v>30</v>
      </c>
      <c r="E482" s="1">
        <v>46048</v>
      </c>
      <c r="F482" s="1">
        <v>45565</v>
      </c>
      <c r="G482" s="14" t="s">
        <v>963</v>
      </c>
      <c r="H482" s="14" t="s">
        <v>21</v>
      </c>
      <c r="I482">
        <v>481.4</v>
      </c>
      <c r="J482" s="14" t="s">
        <v>28</v>
      </c>
    </row>
    <row r="483" spans="1:10" x14ac:dyDescent="0.25">
      <c r="A483">
        <v>1018</v>
      </c>
      <c r="B483" s="14" t="s">
        <v>964</v>
      </c>
      <c r="C483">
        <v>54</v>
      </c>
      <c r="D483" s="14" t="s">
        <v>50</v>
      </c>
      <c r="E483" s="1">
        <v>45951</v>
      </c>
      <c r="F483" s="1">
        <v>45758</v>
      </c>
      <c r="G483" s="14" t="s">
        <v>965</v>
      </c>
      <c r="H483" s="14" t="s">
        <v>21</v>
      </c>
      <c r="I483">
        <v>252.53</v>
      </c>
      <c r="J483" s="14" t="s">
        <v>28</v>
      </c>
    </row>
    <row r="484" spans="1:10" x14ac:dyDescent="0.25">
      <c r="A484">
        <v>1002</v>
      </c>
      <c r="B484" s="14" t="s">
        <v>966</v>
      </c>
      <c r="C484">
        <v>89</v>
      </c>
      <c r="D484" s="14" t="s">
        <v>30</v>
      </c>
      <c r="E484" s="1">
        <v>45847</v>
      </c>
      <c r="F484" s="1">
        <v>45660</v>
      </c>
      <c r="G484" s="14" t="s">
        <v>967</v>
      </c>
      <c r="H484" s="14" t="s">
        <v>18</v>
      </c>
      <c r="I484">
        <v>167.8</v>
      </c>
      <c r="J484" s="14" t="s">
        <v>28</v>
      </c>
    </row>
    <row r="485" spans="1:10" x14ac:dyDescent="0.25">
      <c r="A485">
        <v>1084</v>
      </c>
      <c r="B485" s="14" t="s">
        <v>968</v>
      </c>
      <c r="C485">
        <v>84</v>
      </c>
      <c r="D485" s="14" t="s">
        <v>30</v>
      </c>
      <c r="E485" s="1">
        <v>45801</v>
      </c>
      <c r="F485" s="1">
        <v>45422</v>
      </c>
      <c r="G485" s="14" t="s">
        <v>969</v>
      </c>
      <c r="H485" s="14" t="s">
        <v>21</v>
      </c>
      <c r="I485">
        <v>347.94</v>
      </c>
      <c r="J485" s="14" t="s">
        <v>28</v>
      </c>
    </row>
    <row r="486" spans="1:10" x14ac:dyDescent="0.25">
      <c r="A486">
        <v>1005</v>
      </c>
      <c r="B486" s="14" t="s">
        <v>970</v>
      </c>
      <c r="C486">
        <v>80</v>
      </c>
      <c r="D486" s="14" t="s">
        <v>30</v>
      </c>
      <c r="E486" s="1">
        <v>45793</v>
      </c>
      <c r="F486" s="1">
        <v>45609</v>
      </c>
      <c r="G486" s="14" t="s">
        <v>971</v>
      </c>
      <c r="H486" s="14" t="s">
        <v>18</v>
      </c>
      <c r="I486">
        <v>305.02</v>
      </c>
      <c r="J486" s="14" t="s">
        <v>28</v>
      </c>
    </row>
    <row r="487" spans="1:10" x14ac:dyDescent="0.25">
      <c r="A487">
        <v>1094</v>
      </c>
      <c r="B487" s="14" t="s">
        <v>972</v>
      </c>
      <c r="C487">
        <v>59</v>
      </c>
      <c r="D487" s="14" t="s">
        <v>30</v>
      </c>
      <c r="E487" s="1">
        <v>46079</v>
      </c>
      <c r="F487" s="1">
        <v>45529</v>
      </c>
      <c r="G487" s="14" t="s">
        <v>973</v>
      </c>
      <c r="H487" s="14" t="s">
        <v>18</v>
      </c>
      <c r="I487">
        <v>83.61</v>
      </c>
      <c r="J487" s="14" t="s">
        <v>22</v>
      </c>
    </row>
    <row r="488" spans="1:10" x14ac:dyDescent="0.25">
      <c r="A488">
        <v>1084</v>
      </c>
      <c r="B488" s="14" t="s">
        <v>974</v>
      </c>
      <c r="C488">
        <v>55</v>
      </c>
      <c r="D488" s="14" t="s">
        <v>30</v>
      </c>
      <c r="E488" s="1">
        <v>45776</v>
      </c>
      <c r="F488" s="1">
        <v>45632</v>
      </c>
      <c r="G488" s="14" t="s">
        <v>975</v>
      </c>
      <c r="H488" s="14" t="s">
        <v>18</v>
      </c>
      <c r="I488">
        <v>360.39</v>
      </c>
      <c r="J488" s="14" t="s">
        <v>22</v>
      </c>
    </row>
    <row r="489" spans="1:10" x14ac:dyDescent="0.25">
      <c r="A489">
        <v>1044</v>
      </c>
      <c r="B489" s="14" t="s">
        <v>976</v>
      </c>
      <c r="C489">
        <v>68</v>
      </c>
      <c r="D489" s="14" t="s">
        <v>50</v>
      </c>
      <c r="E489" s="1">
        <v>45888</v>
      </c>
      <c r="F489" s="1">
        <v>45688</v>
      </c>
      <c r="G489" s="14" t="s">
        <v>977</v>
      </c>
      <c r="H489" s="14" t="s">
        <v>15</v>
      </c>
      <c r="I489">
        <v>402.4</v>
      </c>
      <c r="J489" s="14" t="s">
        <v>28</v>
      </c>
    </row>
    <row r="490" spans="1:10" x14ac:dyDescent="0.25">
      <c r="A490">
        <v>1067</v>
      </c>
      <c r="B490" s="14" t="s">
        <v>978</v>
      </c>
      <c r="C490">
        <v>60</v>
      </c>
      <c r="D490" s="14" t="s">
        <v>50</v>
      </c>
      <c r="E490" s="1">
        <v>45969</v>
      </c>
      <c r="F490" s="1">
        <v>45746</v>
      </c>
      <c r="G490" s="14" t="s">
        <v>979</v>
      </c>
      <c r="H490" s="14" t="s">
        <v>12</v>
      </c>
      <c r="I490">
        <v>234.26</v>
      </c>
      <c r="J490" s="14" t="s">
        <v>22</v>
      </c>
    </row>
    <row r="491" spans="1:10" x14ac:dyDescent="0.25">
      <c r="A491">
        <v>1083</v>
      </c>
      <c r="B491" s="14" t="s">
        <v>980</v>
      </c>
      <c r="C491">
        <v>59</v>
      </c>
      <c r="D491" s="14" t="s">
        <v>50</v>
      </c>
      <c r="E491" s="1">
        <v>45918</v>
      </c>
      <c r="F491" s="1">
        <v>45458</v>
      </c>
      <c r="G491" s="14" t="s">
        <v>981</v>
      </c>
      <c r="H491" s="14" t="s">
        <v>18</v>
      </c>
      <c r="I491">
        <v>219.5</v>
      </c>
      <c r="J491" s="14" t="s">
        <v>28</v>
      </c>
    </row>
    <row r="492" spans="1:10" x14ac:dyDescent="0.25">
      <c r="A492">
        <v>1017</v>
      </c>
      <c r="B492" s="14" t="s">
        <v>982</v>
      </c>
      <c r="C492">
        <v>84</v>
      </c>
      <c r="D492" s="14" t="s">
        <v>30</v>
      </c>
      <c r="E492" s="1">
        <v>46058</v>
      </c>
      <c r="F492" s="1">
        <v>45440</v>
      </c>
      <c r="G492" s="14" t="s">
        <v>983</v>
      </c>
      <c r="H492" s="14" t="s">
        <v>15</v>
      </c>
      <c r="I492">
        <v>191.19</v>
      </c>
      <c r="J492" s="14" t="s">
        <v>22</v>
      </c>
    </row>
    <row r="493" spans="1:10" x14ac:dyDescent="0.25">
      <c r="A493">
        <v>1080</v>
      </c>
      <c r="B493" s="14" t="s">
        <v>984</v>
      </c>
      <c r="C493">
        <v>38</v>
      </c>
      <c r="D493" s="14" t="s">
        <v>50</v>
      </c>
      <c r="E493" s="1">
        <v>45808</v>
      </c>
      <c r="F493" s="1">
        <v>45438</v>
      </c>
      <c r="G493" s="14" t="s">
        <v>985</v>
      </c>
      <c r="H493" s="14" t="s">
        <v>15</v>
      </c>
      <c r="I493">
        <v>318.14999999999998</v>
      </c>
      <c r="J493" s="14" t="s">
        <v>28</v>
      </c>
    </row>
    <row r="494" spans="1:10" x14ac:dyDescent="0.25">
      <c r="A494">
        <v>1089</v>
      </c>
      <c r="B494" s="14" t="s">
        <v>986</v>
      </c>
      <c r="C494">
        <v>23</v>
      </c>
      <c r="D494" s="14" t="s">
        <v>30</v>
      </c>
      <c r="E494" s="1">
        <v>45879</v>
      </c>
      <c r="F494" s="1">
        <v>45769</v>
      </c>
      <c r="G494" s="14" t="s">
        <v>987</v>
      </c>
      <c r="H494" s="14" t="s">
        <v>21</v>
      </c>
      <c r="I494">
        <v>350</v>
      </c>
      <c r="J494" s="14" t="s">
        <v>22</v>
      </c>
    </row>
    <row r="495" spans="1:10" x14ac:dyDescent="0.25">
      <c r="A495">
        <v>1070</v>
      </c>
      <c r="B495" s="14" t="s">
        <v>988</v>
      </c>
      <c r="C495">
        <v>62</v>
      </c>
      <c r="D495" s="14" t="s">
        <v>30</v>
      </c>
      <c r="E495" s="1">
        <v>45909</v>
      </c>
      <c r="F495" s="1">
        <v>45621</v>
      </c>
      <c r="G495" s="14" t="s">
        <v>989</v>
      </c>
      <c r="H495" s="14" t="s">
        <v>12</v>
      </c>
      <c r="I495">
        <v>178.28</v>
      </c>
      <c r="J495" s="14" t="s">
        <v>28</v>
      </c>
    </row>
    <row r="496" spans="1:10" x14ac:dyDescent="0.25">
      <c r="A496">
        <v>1093</v>
      </c>
      <c r="B496" s="14" t="s">
        <v>990</v>
      </c>
      <c r="C496">
        <v>34</v>
      </c>
      <c r="D496" s="14" t="s">
        <v>30</v>
      </c>
      <c r="E496" s="1">
        <v>46085</v>
      </c>
      <c r="F496" s="1">
        <v>45546</v>
      </c>
      <c r="G496" s="14" t="s">
        <v>991</v>
      </c>
      <c r="H496" s="14" t="s">
        <v>15</v>
      </c>
      <c r="I496">
        <v>248.31</v>
      </c>
      <c r="J496" s="14" t="s">
        <v>28</v>
      </c>
    </row>
    <row r="497" spans="1:10" x14ac:dyDescent="0.25">
      <c r="A497">
        <v>1088</v>
      </c>
      <c r="B497" s="14" t="s">
        <v>992</v>
      </c>
      <c r="C497">
        <v>35</v>
      </c>
      <c r="D497" s="14" t="s">
        <v>50</v>
      </c>
      <c r="E497" s="1">
        <v>45957</v>
      </c>
      <c r="F497" s="1">
        <v>45849</v>
      </c>
      <c r="G497" s="14" t="s">
        <v>993</v>
      </c>
      <c r="H497" s="14" t="s">
        <v>12</v>
      </c>
      <c r="I497">
        <v>352.72</v>
      </c>
      <c r="J497" s="14" t="s">
        <v>28</v>
      </c>
    </row>
    <row r="498" spans="1:10" x14ac:dyDescent="0.25">
      <c r="A498">
        <v>1086</v>
      </c>
      <c r="B498" s="14" t="s">
        <v>994</v>
      </c>
      <c r="C498">
        <v>36</v>
      </c>
      <c r="D498" s="14" t="s">
        <v>50</v>
      </c>
      <c r="E498" s="1">
        <v>46098</v>
      </c>
      <c r="F498" s="1">
        <v>45529</v>
      </c>
      <c r="G498" s="14" t="s">
        <v>995</v>
      </c>
      <c r="H498" s="14" t="s">
        <v>15</v>
      </c>
      <c r="I498">
        <v>208.03</v>
      </c>
      <c r="J498" s="14" t="s">
        <v>22</v>
      </c>
    </row>
    <row r="499" spans="1:10" x14ac:dyDescent="0.25">
      <c r="A499">
        <v>1033</v>
      </c>
      <c r="B499" s="14" t="s">
        <v>996</v>
      </c>
      <c r="C499">
        <v>47</v>
      </c>
      <c r="D499" s="14" t="s">
        <v>30</v>
      </c>
      <c r="E499" s="1">
        <v>45994</v>
      </c>
      <c r="F499" s="1">
        <v>45893</v>
      </c>
      <c r="G499" s="14" t="s">
        <v>997</v>
      </c>
      <c r="H499" s="14" t="s">
        <v>12</v>
      </c>
      <c r="I499">
        <v>116.75</v>
      </c>
      <c r="J499" s="14" t="s">
        <v>22</v>
      </c>
    </row>
    <row r="500" spans="1:10" x14ac:dyDescent="0.25">
      <c r="A500">
        <v>1023</v>
      </c>
      <c r="B500" s="14" t="s">
        <v>998</v>
      </c>
      <c r="C500">
        <v>36</v>
      </c>
      <c r="D500" s="14" t="s">
        <v>50</v>
      </c>
      <c r="E500" s="1">
        <v>45943</v>
      </c>
      <c r="F500" s="1">
        <v>45665</v>
      </c>
      <c r="G500" s="14" t="s">
        <v>999</v>
      </c>
      <c r="H500" s="14" t="s">
        <v>12</v>
      </c>
      <c r="I500">
        <v>91.29</v>
      </c>
      <c r="J500" s="14" t="s">
        <v>22</v>
      </c>
    </row>
    <row r="501" spans="1:10" x14ac:dyDescent="0.25">
      <c r="A501">
        <v>1053</v>
      </c>
      <c r="B501" s="14" t="s">
        <v>1000</v>
      </c>
      <c r="C501">
        <v>57</v>
      </c>
      <c r="D501" s="14" t="s">
        <v>30</v>
      </c>
      <c r="E501" s="1">
        <v>45836</v>
      </c>
      <c r="F501" s="1">
        <v>45598</v>
      </c>
      <c r="G501" s="14" t="s">
        <v>1001</v>
      </c>
      <c r="H501" s="14" t="s">
        <v>12</v>
      </c>
      <c r="I501">
        <v>198.61</v>
      </c>
      <c r="J501" s="14" t="s">
        <v>28</v>
      </c>
    </row>
    <row r="502" spans="1:10" x14ac:dyDescent="0.25">
      <c r="A502">
        <v>1040</v>
      </c>
      <c r="B502" s="14" t="s">
        <v>1002</v>
      </c>
      <c r="C502">
        <v>20</v>
      </c>
      <c r="D502" s="14" t="s">
        <v>30</v>
      </c>
      <c r="E502" s="1">
        <v>45983</v>
      </c>
      <c r="F502" s="1">
        <v>45753</v>
      </c>
      <c r="G502" s="14" t="s">
        <v>1003</v>
      </c>
      <c r="H502" s="14" t="s">
        <v>12</v>
      </c>
      <c r="I502">
        <v>257.17</v>
      </c>
      <c r="J502" s="14" t="s">
        <v>22</v>
      </c>
    </row>
    <row r="503" spans="1:10" x14ac:dyDescent="0.25">
      <c r="A503">
        <v>1073</v>
      </c>
      <c r="B503" s="14" t="s">
        <v>1004</v>
      </c>
      <c r="C503">
        <v>50</v>
      </c>
      <c r="D503" s="14" t="s">
        <v>30</v>
      </c>
      <c r="E503" s="1">
        <v>45911</v>
      </c>
      <c r="F503" s="1">
        <v>45730</v>
      </c>
      <c r="G503" s="14" t="s">
        <v>1005</v>
      </c>
      <c r="H503" s="14" t="s">
        <v>18</v>
      </c>
      <c r="I503">
        <v>343.79</v>
      </c>
      <c r="J503" s="14" t="s">
        <v>28</v>
      </c>
    </row>
    <row r="504" spans="1:10" x14ac:dyDescent="0.25">
      <c r="A504">
        <v>1031</v>
      </c>
      <c r="B504" s="14" t="s">
        <v>1006</v>
      </c>
      <c r="C504">
        <v>50</v>
      </c>
      <c r="D504" s="14" t="s">
        <v>30</v>
      </c>
      <c r="E504" s="1">
        <v>45980</v>
      </c>
      <c r="F504" s="1">
        <v>45672</v>
      </c>
      <c r="G504" s="14" t="s">
        <v>1007</v>
      </c>
      <c r="H504" s="14" t="s">
        <v>15</v>
      </c>
      <c r="I504">
        <v>431.21</v>
      </c>
      <c r="J504" s="14" t="s">
        <v>28</v>
      </c>
    </row>
    <row r="505" spans="1:10" x14ac:dyDescent="0.25">
      <c r="A505">
        <v>1093</v>
      </c>
      <c r="B505" s="14" t="s">
        <v>1008</v>
      </c>
      <c r="C505">
        <v>66</v>
      </c>
      <c r="D505" s="14" t="s">
        <v>30</v>
      </c>
      <c r="E505" s="1">
        <v>46055</v>
      </c>
      <c r="F505" s="1">
        <v>45702</v>
      </c>
      <c r="G505" s="14" t="s">
        <v>1009</v>
      </c>
      <c r="H505" s="14" t="s">
        <v>18</v>
      </c>
      <c r="I505">
        <v>241.91</v>
      </c>
      <c r="J505" s="14" t="s">
        <v>28</v>
      </c>
    </row>
    <row r="506" spans="1:10" x14ac:dyDescent="0.25">
      <c r="A506">
        <v>1029</v>
      </c>
      <c r="B506" s="14" t="s">
        <v>1010</v>
      </c>
      <c r="C506">
        <v>24</v>
      </c>
      <c r="D506" s="14" t="s">
        <v>50</v>
      </c>
      <c r="E506" s="1">
        <v>45865</v>
      </c>
      <c r="F506" s="1">
        <v>45857</v>
      </c>
      <c r="G506" s="14" t="s">
        <v>1011</v>
      </c>
      <c r="H506" s="14" t="s">
        <v>15</v>
      </c>
      <c r="I506">
        <v>95.25</v>
      </c>
      <c r="J506" s="14" t="s">
        <v>28</v>
      </c>
    </row>
    <row r="507" spans="1:10" x14ac:dyDescent="0.25">
      <c r="A507">
        <v>1082</v>
      </c>
      <c r="B507" s="14" t="s">
        <v>1012</v>
      </c>
      <c r="C507">
        <v>72</v>
      </c>
      <c r="D507" s="14" t="s">
        <v>50</v>
      </c>
      <c r="E507" s="1">
        <v>46002</v>
      </c>
      <c r="F507" s="1">
        <v>45681</v>
      </c>
      <c r="G507" s="14" t="s">
        <v>1013</v>
      </c>
      <c r="H507" s="14" t="s">
        <v>12</v>
      </c>
      <c r="I507">
        <v>167.07</v>
      </c>
      <c r="J507" s="14" t="s">
        <v>22</v>
      </c>
    </row>
    <row r="508" spans="1:10" x14ac:dyDescent="0.25">
      <c r="A508">
        <v>1099</v>
      </c>
      <c r="B508" s="14" t="s">
        <v>1014</v>
      </c>
      <c r="C508">
        <v>85</v>
      </c>
      <c r="D508" s="14" t="s">
        <v>50</v>
      </c>
      <c r="E508" s="1">
        <v>45950</v>
      </c>
      <c r="F508" s="1">
        <v>45879</v>
      </c>
      <c r="G508" s="14" t="s">
        <v>450</v>
      </c>
      <c r="H508" s="14" t="s">
        <v>18</v>
      </c>
      <c r="I508">
        <v>426.64</v>
      </c>
      <c r="J508" s="14" t="s">
        <v>28</v>
      </c>
    </row>
    <row r="509" spans="1:10" x14ac:dyDescent="0.25">
      <c r="A509">
        <v>1065</v>
      </c>
      <c r="B509" s="14" t="s">
        <v>1015</v>
      </c>
      <c r="C509">
        <v>38</v>
      </c>
      <c r="D509" s="14" t="s">
        <v>50</v>
      </c>
      <c r="E509" s="1">
        <v>45806</v>
      </c>
      <c r="F509" s="1">
        <v>45790</v>
      </c>
      <c r="G509" s="14" t="s">
        <v>1016</v>
      </c>
      <c r="H509" s="14" t="s">
        <v>12</v>
      </c>
      <c r="I509">
        <v>106.8</v>
      </c>
      <c r="J509" s="14" t="s">
        <v>22</v>
      </c>
    </row>
    <row r="510" spans="1:10" x14ac:dyDescent="0.25">
      <c r="A510">
        <v>1041</v>
      </c>
      <c r="B510" s="14" t="s">
        <v>1017</v>
      </c>
      <c r="C510">
        <v>67</v>
      </c>
      <c r="D510" s="14" t="s">
        <v>30</v>
      </c>
      <c r="E510" s="1">
        <v>45764</v>
      </c>
      <c r="F510" s="1">
        <v>45550</v>
      </c>
      <c r="G510" s="14" t="s">
        <v>1018</v>
      </c>
      <c r="H510" s="14" t="s">
        <v>15</v>
      </c>
      <c r="I510">
        <v>478.18</v>
      </c>
      <c r="J510" s="14" t="s">
        <v>22</v>
      </c>
    </row>
    <row r="511" spans="1:10" x14ac:dyDescent="0.25">
      <c r="A511">
        <v>1003</v>
      </c>
      <c r="B511" s="14" t="s">
        <v>1019</v>
      </c>
      <c r="C511">
        <v>27</v>
      </c>
      <c r="D511" s="14" t="s">
        <v>30</v>
      </c>
      <c r="E511" s="1">
        <v>45813</v>
      </c>
      <c r="F511" s="1">
        <v>45729</v>
      </c>
      <c r="G511" s="14" t="s">
        <v>1020</v>
      </c>
      <c r="H511" s="14" t="s">
        <v>15</v>
      </c>
      <c r="I511">
        <v>435.1</v>
      </c>
      <c r="J511" s="14" t="s">
        <v>28</v>
      </c>
    </row>
    <row r="512" spans="1:10" x14ac:dyDescent="0.25">
      <c r="A512">
        <v>1038</v>
      </c>
      <c r="B512" s="14" t="s">
        <v>1021</v>
      </c>
      <c r="C512">
        <v>45</v>
      </c>
      <c r="D512" s="14" t="s">
        <v>30</v>
      </c>
      <c r="E512" s="1">
        <v>46079</v>
      </c>
      <c r="F512" s="1">
        <v>45811</v>
      </c>
      <c r="G512" s="14" t="s">
        <v>1022</v>
      </c>
      <c r="H512" s="14" t="s">
        <v>21</v>
      </c>
      <c r="I512">
        <v>403.22</v>
      </c>
      <c r="J512" s="14" t="s">
        <v>28</v>
      </c>
    </row>
    <row r="513" spans="1:10" x14ac:dyDescent="0.25">
      <c r="A513">
        <v>1061</v>
      </c>
      <c r="B513" s="14" t="s">
        <v>1023</v>
      </c>
      <c r="C513">
        <v>37</v>
      </c>
      <c r="D513" s="14" t="s">
        <v>30</v>
      </c>
      <c r="E513" s="1">
        <v>45947</v>
      </c>
      <c r="F513" s="1">
        <v>45754</v>
      </c>
      <c r="G513" s="14" t="s">
        <v>1024</v>
      </c>
      <c r="H513" s="14" t="s">
        <v>15</v>
      </c>
      <c r="I513">
        <v>390.81</v>
      </c>
      <c r="J513" s="14" t="s">
        <v>22</v>
      </c>
    </row>
    <row r="514" spans="1:10" x14ac:dyDescent="0.25">
      <c r="A514">
        <v>1024</v>
      </c>
      <c r="B514" s="14" t="s">
        <v>1025</v>
      </c>
      <c r="C514">
        <v>26</v>
      </c>
      <c r="D514" s="14" t="s">
        <v>50</v>
      </c>
      <c r="E514" s="1">
        <v>45950</v>
      </c>
      <c r="F514" s="1">
        <v>45544</v>
      </c>
      <c r="G514" s="14" t="s">
        <v>1026</v>
      </c>
      <c r="H514" s="14" t="s">
        <v>15</v>
      </c>
      <c r="I514">
        <v>310.42</v>
      </c>
      <c r="J514" s="14" t="s">
        <v>22</v>
      </c>
    </row>
    <row r="515" spans="1:10" x14ac:dyDescent="0.25">
      <c r="A515">
        <v>1017</v>
      </c>
      <c r="B515" s="14" t="s">
        <v>1027</v>
      </c>
      <c r="C515">
        <v>86</v>
      </c>
      <c r="D515" s="14" t="s">
        <v>30</v>
      </c>
      <c r="E515" s="1">
        <v>46062</v>
      </c>
      <c r="F515" s="1">
        <v>46043</v>
      </c>
      <c r="G515" s="14" t="s">
        <v>1028</v>
      </c>
      <c r="H515" s="14" t="s">
        <v>18</v>
      </c>
      <c r="I515">
        <v>469.3</v>
      </c>
      <c r="J515" s="14" t="s">
        <v>22</v>
      </c>
    </row>
    <row r="516" spans="1:10" x14ac:dyDescent="0.25">
      <c r="A516">
        <v>1010</v>
      </c>
      <c r="B516" s="14" t="s">
        <v>1029</v>
      </c>
      <c r="C516">
        <v>82</v>
      </c>
      <c r="D516" s="14" t="s">
        <v>50</v>
      </c>
      <c r="E516" s="1">
        <v>45853</v>
      </c>
      <c r="F516" s="1">
        <v>45796</v>
      </c>
      <c r="G516" s="14" t="s">
        <v>1030</v>
      </c>
      <c r="H516" s="14" t="s">
        <v>15</v>
      </c>
      <c r="I516">
        <v>495.94</v>
      </c>
      <c r="J516" s="14" t="s">
        <v>28</v>
      </c>
    </row>
    <row r="517" spans="1:10" x14ac:dyDescent="0.25">
      <c r="A517">
        <v>1096</v>
      </c>
      <c r="B517" s="14" t="s">
        <v>1031</v>
      </c>
      <c r="C517">
        <v>82</v>
      </c>
      <c r="D517" s="14" t="s">
        <v>50</v>
      </c>
      <c r="E517" s="1">
        <v>45792</v>
      </c>
      <c r="F517" s="1">
        <v>45790</v>
      </c>
      <c r="G517" s="14" t="s">
        <v>1032</v>
      </c>
      <c r="H517" s="14" t="s">
        <v>21</v>
      </c>
      <c r="I517">
        <v>403.87</v>
      </c>
      <c r="J517" s="14" t="s">
        <v>22</v>
      </c>
    </row>
    <row r="518" spans="1:10" x14ac:dyDescent="0.25">
      <c r="A518">
        <v>1024</v>
      </c>
      <c r="B518" s="14" t="s">
        <v>1033</v>
      </c>
      <c r="C518">
        <v>18</v>
      </c>
      <c r="D518" s="14" t="s">
        <v>50</v>
      </c>
      <c r="E518" s="1">
        <v>45936</v>
      </c>
      <c r="F518" s="1">
        <v>45624</v>
      </c>
      <c r="G518" s="14" t="s">
        <v>1034</v>
      </c>
      <c r="H518" s="14" t="s">
        <v>15</v>
      </c>
      <c r="I518">
        <v>466.56</v>
      </c>
      <c r="J518" s="14" t="s">
        <v>22</v>
      </c>
    </row>
    <row r="519" spans="1:10" x14ac:dyDescent="0.25">
      <c r="A519">
        <v>1058</v>
      </c>
      <c r="B519" s="14" t="s">
        <v>1035</v>
      </c>
      <c r="C519">
        <v>59</v>
      </c>
      <c r="D519" s="14" t="s">
        <v>30</v>
      </c>
      <c r="E519" s="1">
        <v>46096</v>
      </c>
      <c r="F519" s="1">
        <v>45663</v>
      </c>
      <c r="G519" s="14" t="s">
        <v>1036</v>
      </c>
      <c r="H519" s="14" t="s">
        <v>15</v>
      </c>
      <c r="I519">
        <v>163.52000000000001</v>
      </c>
      <c r="J519" s="14" t="s">
        <v>22</v>
      </c>
    </row>
    <row r="520" spans="1:10" x14ac:dyDescent="0.25">
      <c r="A520">
        <v>1068</v>
      </c>
      <c r="B520" s="14" t="s">
        <v>1037</v>
      </c>
      <c r="C520">
        <v>37</v>
      </c>
      <c r="D520" s="14" t="s">
        <v>50</v>
      </c>
      <c r="E520" s="1">
        <v>45979</v>
      </c>
      <c r="F520" s="1">
        <v>45614</v>
      </c>
      <c r="G520" s="14" t="s">
        <v>1038</v>
      </c>
      <c r="H520" s="14" t="s">
        <v>12</v>
      </c>
      <c r="I520">
        <v>356.13</v>
      </c>
      <c r="J520" s="14" t="s">
        <v>28</v>
      </c>
    </row>
    <row r="521" spans="1:10" x14ac:dyDescent="0.25">
      <c r="A521">
        <v>1013</v>
      </c>
      <c r="B521" s="14" t="s">
        <v>1039</v>
      </c>
      <c r="C521">
        <v>71</v>
      </c>
      <c r="D521" s="14" t="s">
        <v>30</v>
      </c>
      <c r="E521" s="1">
        <v>45874</v>
      </c>
      <c r="F521" s="1">
        <v>45845</v>
      </c>
      <c r="G521" s="14" t="s">
        <v>1040</v>
      </c>
      <c r="H521" s="14" t="s">
        <v>15</v>
      </c>
      <c r="I521">
        <v>400.62</v>
      </c>
      <c r="J521" s="14" t="s">
        <v>22</v>
      </c>
    </row>
    <row r="522" spans="1:10" x14ac:dyDescent="0.25">
      <c r="A522">
        <v>1009</v>
      </c>
      <c r="B522" s="14" t="s">
        <v>1041</v>
      </c>
      <c r="C522">
        <v>49</v>
      </c>
      <c r="D522" s="14" t="s">
        <v>30</v>
      </c>
      <c r="E522" s="1">
        <v>46070</v>
      </c>
      <c r="F522" s="1">
        <v>46038</v>
      </c>
      <c r="G522" s="14" t="s">
        <v>1042</v>
      </c>
      <c r="H522" s="14" t="s">
        <v>12</v>
      </c>
      <c r="I522">
        <v>177.93</v>
      </c>
      <c r="J522" s="14" t="s">
        <v>22</v>
      </c>
    </row>
    <row r="523" spans="1:10" x14ac:dyDescent="0.25">
      <c r="A523">
        <v>1031</v>
      </c>
      <c r="B523" s="14" t="s">
        <v>1043</v>
      </c>
      <c r="C523">
        <v>35</v>
      </c>
      <c r="D523" s="14" t="s">
        <v>50</v>
      </c>
      <c r="E523" s="1">
        <v>45844</v>
      </c>
      <c r="F523" s="1">
        <v>45721</v>
      </c>
      <c r="G523" s="14" t="s">
        <v>1044</v>
      </c>
      <c r="H523" s="14" t="s">
        <v>21</v>
      </c>
      <c r="I523">
        <v>313.04000000000002</v>
      </c>
      <c r="J523" s="14" t="s">
        <v>28</v>
      </c>
    </row>
    <row r="524" spans="1:10" x14ac:dyDescent="0.25">
      <c r="A524">
        <v>1043</v>
      </c>
      <c r="B524" s="14" t="s">
        <v>1045</v>
      </c>
      <c r="C524">
        <v>38</v>
      </c>
      <c r="D524" s="14" t="s">
        <v>50</v>
      </c>
      <c r="E524" s="1">
        <v>46050</v>
      </c>
      <c r="F524" s="1">
        <v>45809</v>
      </c>
      <c r="G524" s="14" t="s">
        <v>1046</v>
      </c>
      <c r="H524" s="14" t="s">
        <v>18</v>
      </c>
      <c r="I524">
        <v>424.5</v>
      </c>
      <c r="J524" s="14" t="s">
        <v>22</v>
      </c>
    </row>
    <row r="525" spans="1:10" x14ac:dyDescent="0.25">
      <c r="A525">
        <v>1072</v>
      </c>
      <c r="B525" s="14" t="s">
        <v>1047</v>
      </c>
      <c r="C525">
        <v>30</v>
      </c>
      <c r="D525" s="14" t="s">
        <v>30</v>
      </c>
      <c r="E525" s="1">
        <v>46047</v>
      </c>
      <c r="F525" s="1">
        <v>45931</v>
      </c>
      <c r="G525" s="14" t="s">
        <v>1048</v>
      </c>
      <c r="H525" s="14" t="s">
        <v>21</v>
      </c>
      <c r="I525">
        <v>222.37</v>
      </c>
      <c r="J525" s="14" t="s">
        <v>28</v>
      </c>
    </row>
    <row r="526" spans="1:10" x14ac:dyDescent="0.25">
      <c r="A526">
        <v>1055</v>
      </c>
      <c r="B526" s="14" t="s">
        <v>1049</v>
      </c>
      <c r="C526">
        <v>80</v>
      </c>
      <c r="D526" s="14" t="s">
        <v>30</v>
      </c>
      <c r="E526" s="1">
        <v>45775</v>
      </c>
      <c r="F526" s="1">
        <v>45381</v>
      </c>
      <c r="G526" s="14" t="s">
        <v>1050</v>
      </c>
      <c r="H526" s="14" t="s">
        <v>18</v>
      </c>
      <c r="I526">
        <v>349.49</v>
      </c>
      <c r="J526" s="14" t="s">
        <v>22</v>
      </c>
    </row>
    <row r="527" spans="1:10" x14ac:dyDescent="0.25">
      <c r="A527">
        <v>1098</v>
      </c>
      <c r="B527" s="14" t="s">
        <v>1051</v>
      </c>
      <c r="C527">
        <v>75</v>
      </c>
      <c r="D527" s="14" t="s">
        <v>30</v>
      </c>
      <c r="E527" s="1">
        <v>46019</v>
      </c>
      <c r="F527" s="1">
        <v>45642</v>
      </c>
      <c r="G527" s="14" t="s">
        <v>1052</v>
      </c>
      <c r="H527" s="14" t="s">
        <v>18</v>
      </c>
      <c r="I527">
        <v>482.2</v>
      </c>
      <c r="J527" s="14" t="s">
        <v>28</v>
      </c>
    </row>
    <row r="528" spans="1:10" x14ac:dyDescent="0.25">
      <c r="A528">
        <v>1072</v>
      </c>
      <c r="B528" s="14" t="s">
        <v>1053</v>
      </c>
      <c r="C528">
        <v>49</v>
      </c>
      <c r="D528" s="14" t="s">
        <v>30</v>
      </c>
      <c r="E528" s="1">
        <v>45742</v>
      </c>
      <c r="F528" s="1">
        <v>45659</v>
      </c>
      <c r="G528" s="14" t="s">
        <v>1054</v>
      </c>
      <c r="H528" s="14" t="s">
        <v>12</v>
      </c>
      <c r="I528">
        <v>92.08</v>
      </c>
      <c r="J528" s="14" t="s">
        <v>22</v>
      </c>
    </row>
    <row r="529" spans="1:10" x14ac:dyDescent="0.25">
      <c r="A529">
        <v>1070</v>
      </c>
      <c r="B529" s="14" t="s">
        <v>1055</v>
      </c>
      <c r="C529">
        <v>24</v>
      </c>
      <c r="D529" s="14" t="s">
        <v>50</v>
      </c>
      <c r="E529" s="1">
        <v>46052</v>
      </c>
      <c r="F529" s="1">
        <v>45642</v>
      </c>
      <c r="G529" s="14" t="s">
        <v>1056</v>
      </c>
      <c r="H529" s="14" t="s">
        <v>21</v>
      </c>
      <c r="I529">
        <v>439.56</v>
      </c>
      <c r="J529" s="14" t="s">
        <v>22</v>
      </c>
    </row>
    <row r="530" spans="1:10" x14ac:dyDescent="0.25">
      <c r="A530">
        <v>1061</v>
      </c>
      <c r="B530" s="14" t="s">
        <v>1057</v>
      </c>
      <c r="C530">
        <v>74</v>
      </c>
      <c r="D530" s="14" t="s">
        <v>30</v>
      </c>
      <c r="E530" s="1">
        <v>45901</v>
      </c>
      <c r="F530" s="1">
        <v>45803</v>
      </c>
      <c r="G530" s="14" t="s">
        <v>1058</v>
      </c>
      <c r="H530" s="14" t="s">
        <v>21</v>
      </c>
      <c r="I530">
        <v>473.48</v>
      </c>
      <c r="J530" s="14" t="s">
        <v>28</v>
      </c>
    </row>
    <row r="531" spans="1:10" x14ac:dyDescent="0.25">
      <c r="A531">
        <v>1059</v>
      </c>
      <c r="B531" s="14" t="s">
        <v>1059</v>
      </c>
      <c r="C531">
        <v>35</v>
      </c>
      <c r="D531" s="14" t="s">
        <v>50</v>
      </c>
      <c r="E531" s="1">
        <v>45972</v>
      </c>
      <c r="F531" s="1">
        <v>45491</v>
      </c>
      <c r="G531" s="14" t="s">
        <v>1060</v>
      </c>
      <c r="H531" s="14" t="s">
        <v>15</v>
      </c>
      <c r="J531" s="14" t="s">
        <v>22</v>
      </c>
    </row>
    <row r="532" spans="1:10" x14ac:dyDescent="0.25">
      <c r="A532">
        <v>1091</v>
      </c>
      <c r="B532" s="14" t="s">
        <v>1061</v>
      </c>
      <c r="C532">
        <v>85</v>
      </c>
      <c r="D532" s="14" t="s">
        <v>50</v>
      </c>
      <c r="E532" s="1">
        <v>45745</v>
      </c>
      <c r="F532" s="1">
        <v>45723</v>
      </c>
      <c r="G532" s="14" t="s">
        <v>1062</v>
      </c>
      <c r="H532" s="14" t="s">
        <v>12</v>
      </c>
      <c r="I532">
        <v>151.02000000000001</v>
      </c>
      <c r="J532" s="14" t="s">
        <v>22</v>
      </c>
    </row>
    <row r="533" spans="1:10" x14ac:dyDescent="0.25">
      <c r="A533">
        <v>1003</v>
      </c>
      <c r="B533" s="14" t="s">
        <v>1063</v>
      </c>
      <c r="C533">
        <v>64</v>
      </c>
      <c r="D533" s="14" t="s">
        <v>30</v>
      </c>
      <c r="E533" s="1">
        <v>46046</v>
      </c>
      <c r="F533" s="1">
        <v>45696</v>
      </c>
      <c r="G533" s="14" t="s">
        <v>1064</v>
      </c>
      <c r="H533" s="14" t="s">
        <v>12</v>
      </c>
      <c r="I533">
        <v>79.59</v>
      </c>
      <c r="J533" s="14" t="s">
        <v>22</v>
      </c>
    </row>
    <row r="534" spans="1:10" x14ac:dyDescent="0.25">
      <c r="A534">
        <v>1087</v>
      </c>
      <c r="B534" s="14" t="s">
        <v>1065</v>
      </c>
      <c r="C534">
        <v>70</v>
      </c>
      <c r="D534" s="14" t="s">
        <v>30</v>
      </c>
      <c r="E534" s="1">
        <v>45912</v>
      </c>
      <c r="F534" s="1">
        <v>45446</v>
      </c>
      <c r="G534" s="14" t="s">
        <v>1066</v>
      </c>
      <c r="H534" s="14" t="s">
        <v>18</v>
      </c>
      <c r="I534">
        <v>167.31</v>
      </c>
      <c r="J534" s="14" t="s">
        <v>28</v>
      </c>
    </row>
    <row r="535" spans="1:10" x14ac:dyDescent="0.25">
      <c r="A535">
        <v>1049</v>
      </c>
      <c r="B535" s="14" t="s">
        <v>1067</v>
      </c>
      <c r="C535">
        <v>37</v>
      </c>
      <c r="D535" s="14" t="s">
        <v>24</v>
      </c>
      <c r="E535" s="1">
        <v>45787</v>
      </c>
      <c r="F535" s="1">
        <v>45530</v>
      </c>
      <c r="G535" s="14" t="s">
        <v>1068</v>
      </c>
      <c r="H535" s="14" t="s">
        <v>18</v>
      </c>
      <c r="I535">
        <v>194.81</v>
      </c>
      <c r="J535" s="14" t="s">
        <v>22</v>
      </c>
    </row>
    <row r="536" spans="1:10" x14ac:dyDescent="0.25">
      <c r="A536">
        <v>1056</v>
      </c>
      <c r="B536" s="14" t="s">
        <v>1069</v>
      </c>
      <c r="C536">
        <v>24</v>
      </c>
      <c r="D536" s="14" t="s">
        <v>50</v>
      </c>
      <c r="E536" s="1">
        <v>45958</v>
      </c>
      <c r="F536" s="1">
        <v>45672</v>
      </c>
      <c r="G536" s="14" t="s">
        <v>1070</v>
      </c>
      <c r="H536" s="14" t="s">
        <v>12</v>
      </c>
      <c r="I536">
        <v>97.67</v>
      </c>
      <c r="J536" s="14" t="s">
        <v>28</v>
      </c>
    </row>
    <row r="537" spans="1:10" x14ac:dyDescent="0.25">
      <c r="A537">
        <v>1057</v>
      </c>
      <c r="B537" s="14" t="s">
        <v>1071</v>
      </c>
      <c r="C537">
        <v>86</v>
      </c>
      <c r="D537" s="14" t="s">
        <v>30</v>
      </c>
      <c r="E537" s="1">
        <v>45819</v>
      </c>
      <c r="F537" s="1">
        <v>45563</v>
      </c>
      <c r="G537" s="14" t="s">
        <v>1072</v>
      </c>
      <c r="H537" s="14" t="s">
        <v>15</v>
      </c>
      <c r="I537">
        <v>254.91</v>
      </c>
      <c r="J537" s="14" t="s">
        <v>22</v>
      </c>
    </row>
    <row r="538" spans="1:10" x14ac:dyDescent="0.25">
      <c r="A538">
        <v>1054</v>
      </c>
      <c r="B538" s="14" t="s">
        <v>1073</v>
      </c>
      <c r="C538">
        <v>57</v>
      </c>
      <c r="D538" s="14" t="s">
        <v>50</v>
      </c>
      <c r="E538" s="1">
        <v>45939</v>
      </c>
      <c r="F538" s="1">
        <v>45733</v>
      </c>
      <c r="G538" s="14" t="s">
        <v>1074</v>
      </c>
      <c r="H538" s="14" t="s">
        <v>18</v>
      </c>
      <c r="I538">
        <v>169.09</v>
      </c>
      <c r="J538" s="14" t="s">
        <v>22</v>
      </c>
    </row>
    <row r="539" spans="1:10" x14ac:dyDescent="0.25">
      <c r="A539">
        <v>1040</v>
      </c>
      <c r="B539" s="14" t="s">
        <v>1075</v>
      </c>
      <c r="C539">
        <v>20</v>
      </c>
      <c r="D539" s="14" t="s">
        <v>50</v>
      </c>
      <c r="E539" s="1">
        <v>45890</v>
      </c>
      <c r="F539" s="1">
        <v>45397</v>
      </c>
      <c r="G539" s="14" t="s">
        <v>1076</v>
      </c>
      <c r="H539" s="14" t="s">
        <v>12</v>
      </c>
      <c r="J539" s="14" t="s">
        <v>22</v>
      </c>
    </row>
    <row r="540" spans="1:10" x14ac:dyDescent="0.25">
      <c r="A540">
        <v>1059</v>
      </c>
      <c r="B540" s="14" t="s">
        <v>1077</v>
      </c>
      <c r="C540">
        <v>88</v>
      </c>
      <c r="D540" s="14" t="s">
        <v>50</v>
      </c>
      <c r="E540" s="1">
        <v>45868</v>
      </c>
      <c r="F540" s="1">
        <v>45838</v>
      </c>
      <c r="G540" s="14" t="s">
        <v>1078</v>
      </c>
      <c r="H540" s="14" t="s">
        <v>21</v>
      </c>
      <c r="I540">
        <v>94.19</v>
      </c>
      <c r="J540" s="14" t="s">
        <v>28</v>
      </c>
    </row>
    <row r="541" spans="1:10" x14ac:dyDescent="0.25">
      <c r="A541">
        <v>1035</v>
      </c>
      <c r="B541" s="14" t="s">
        <v>1079</v>
      </c>
      <c r="C541">
        <v>84</v>
      </c>
      <c r="D541" s="14" t="s">
        <v>30</v>
      </c>
      <c r="E541" s="1">
        <v>45939</v>
      </c>
      <c r="F541" s="1">
        <v>45787</v>
      </c>
      <c r="G541" s="14" t="s">
        <v>1080</v>
      </c>
      <c r="H541" s="14" t="s">
        <v>15</v>
      </c>
      <c r="I541">
        <v>84.87</v>
      </c>
      <c r="J541" s="14" t="s">
        <v>22</v>
      </c>
    </row>
    <row r="542" spans="1:10" x14ac:dyDescent="0.25">
      <c r="A542">
        <v>1086</v>
      </c>
      <c r="B542" s="14" t="s">
        <v>1081</v>
      </c>
      <c r="C542">
        <v>86</v>
      </c>
      <c r="D542" s="14" t="s">
        <v>30</v>
      </c>
      <c r="E542" s="1">
        <v>45872</v>
      </c>
      <c r="F542" s="1">
        <v>45707</v>
      </c>
      <c r="G542" s="14" t="s">
        <v>1082</v>
      </c>
      <c r="H542" s="14" t="s">
        <v>15</v>
      </c>
      <c r="I542">
        <v>338.43</v>
      </c>
      <c r="J542" s="14" t="s">
        <v>28</v>
      </c>
    </row>
    <row r="543" spans="1:10" x14ac:dyDescent="0.25">
      <c r="A543">
        <v>1050</v>
      </c>
      <c r="B543" s="14" t="s">
        <v>1083</v>
      </c>
      <c r="C543">
        <v>60</v>
      </c>
      <c r="D543" s="14" t="s">
        <v>30</v>
      </c>
      <c r="E543" s="1">
        <v>45783</v>
      </c>
      <c r="F543" s="1">
        <v>45576</v>
      </c>
      <c r="G543" s="14" t="s">
        <v>1084</v>
      </c>
      <c r="H543" s="14" t="s">
        <v>21</v>
      </c>
      <c r="I543">
        <v>453.66</v>
      </c>
      <c r="J543" s="14" t="s">
        <v>28</v>
      </c>
    </row>
    <row r="544" spans="1:10" x14ac:dyDescent="0.25">
      <c r="A544">
        <v>1024</v>
      </c>
      <c r="B544" s="14" t="s">
        <v>1085</v>
      </c>
      <c r="C544">
        <v>72</v>
      </c>
      <c r="D544" s="14" t="s">
        <v>24</v>
      </c>
      <c r="E544" s="1">
        <v>45872</v>
      </c>
      <c r="F544" s="1">
        <v>45758</v>
      </c>
      <c r="G544" s="14" t="s">
        <v>1086</v>
      </c>
      <c r="H544" s="14" t="s">
        <v>15</v>
      </c>
      <c r="J544" s="14" t="s">
        <v>28</v>
      </c>
    </row>
    <row r="545" spans="1:10" x14ac:dyDescent="0.25">
      <c r="A545">
        <v>1046</v>
      </c>
      <c r="B545" s="14" t="s">
        <v>1087</v>
      </c>
      <c r="C545">
        <v>76</v>
      </c>
      <c r="D545" s="14" t="s">
        <v>50</v>
      </c>
      <c r="E545" s="1">
        <v>46028</v>
      </c>
      <c r="F545" s="1">
        <v>45732</v>
      </c>
      <c r="G545" s="14" t="s">
        <v>1088</v>
      </c>
      <c r="H545" s="14" t="s">
        <v>12</v>
      </c>
      <c r="I545">
        <v>328.88</v>
      </c>
      <c r="J545" s="14" t="s">
        <v>28</v>
      </c>
    </row>
    <row r="546" spans="1:10" x14ac:dyDescent="0.25">
      <c r="A546">
        <v>1051</v>
      </c>
      <c r="B546" s="14" t="s">
        <v>1089</v>
      </c>
      <c r="C546">
        <v>81</v>
      </c>
      <c r="D546" s="14" t="s">
        <v>50</v>
      </c>
      <c r="E546" s="1">
        <v>46056</v>
      </c>
      <c r="F546" s="1">
        <v>45929</v>
      </c>
      <c r="G546" s="14" t="s">
        <v>1090</v>
      </c>
      <c r="H546" s="14" t="s">
        <v>18</v>
      </c>
      <c r="I546">
        <v>51.93</v>
      </c>
      <c r="J546" s="14" t="s">
        <v>22</v>
      </c>
    </row>
    <row r="547" spans="1:10" x14ac:dyDescent="0.25">
      <c r="A547">
        <v>1014</v>
      </c>
      <c r="B547" s="14" t="s">
        <v>1091</v>
      </c>
      <c r="C547">
        <v>81</v>
      </c>
      <c r="D547" s="14" t="s">
        <v>30</v>
      </c>
      <c r="E547" s="1">
        <v>45806</v>
      </c>
      <c r="F547" s="1">
        <v>45454</v>
      </c>
      <c r="G547" s="14" t="s">
        <v>1092</v>
      </c>
      <c r="H547" s="14" t="s">
        <v>15</v>
      </c>
      <c r="I547">
        <v>201.8</v>
      </c>
      <c r="J547" s="14" t="s">
        <v>28</v>
      </c>
    </row>
    <row r="548" spans="1:10" x14ac:dyDescent="0.25">
      <c r="A548">
        <v>1059</v>
      </c>
      <c r="B548" s="14" t="s">
        <v>1093</v>
      </c>
      <c r="C548">
        <v>75</v>
      </c>
      <c r="D548" s="14" t="s">
        <v>30</v>
      </c>
      <c r="E548" s="1">
        <v>45762</v>
      </c>
      <c r="F548" s="1">
        <v>45444</v>
      </c>
      <c r="G548" s="14" t="s">
        <v>1094</v>
      </c>
      <c r="H548" s="14" t="s">
        <v>12</v>
      </c>
      <c r="I548">
        <v>129.1</v>
      </c>
      <c r="J548" s="14" t="s">
        <v>28</v>
      </c>
    </row>
    <row r="549" spans="1:10" x14ac:dyDescent="0.25">
      <c r="A549">
        <v>1040</v>
      </c>
      <c r="B549" s="14" t="s">
        <v>1095</v>
      </c>
      <c r="C549">
        <v>77</v>
      </c>
      <c r="D549" s="14" t="s">
        <v>50</v>
      </c>
      <c r="E549" s="1">
        <v>46006</v>
      </c>
      <c r="F549" s="1">
        <v>45523</v>
      </c>
      <c r="G549" s="14" t="s">
        <v>1096</v>
      </c>
      <c r="H549" s="14" t="s">
        <v>12</v>
      </c>
      <c r="J549" s="14" t="s">
        <v>22</v>
      </c>
    </row>
    <row r="550" spans="1:10" x14ac:dyDescent="0.25">
      <c r="A550">
        <v>1092</v>
      </c>
      <c r="B550" s="14" t="s">
        <v>1097</v>
      </c>
      <c r="C550">
        <v>74</v>
      </c>
      <c r="D550" s="14" t="s">
        <v>30</v>
      </c>
      <c r="E550" s="1">
        <v>45862</v>
      </c>
      <c r="F550" s="1">
        <v>45771</v>
      </c>
      <c r="G550" s="14" t="s">
        <v>1098</v>
      </c>
      <c r="H550" s="14" t="s">
        <v>21</v>
      </c>
      <c r="I550">
        <v>153.53</v>
      </c>
      <c r="J550" s="14" t="s">
        <v>28</v>
      </c>
    </row>
    <row r="551" spans="1:10" x14ac:dyDescent="0.25">
      <c r="A551">
        <v>1010</v>
      </c>
      <c r="B551" s="14" t="s">
        <v>1099</v>
      </c>
      <c r="C551">
        <v>60</v>
      </c>
      <c r="D551" s="14" t="s">
        <v>50</v>
      </c>
      <c r="E551" s="1">
        <v>46048</v>
      </c>
      <c r="F551" s="1">
        <v>45421</v>
      </c>
      <c r="G551" s="14" t="s">
        <v>1100</v>
      </c>
      <c r="H551" s="14" t="s">
        <v>12</v>
      </c>
      <c r="I551">
        <v>222.33</v>
      </c>
      <c r="J551" s="14" t="s">
        <v>28</v>
      </c>
    </row>
    <row r="552" spans="1:10" x14ac:dyDescent="0.25">
      <c r="A552">
        <v>1032</v>
      </c>
      <c r="B552" s="14" t="s">
        <v>1101</v>
      </c>
      <c r="C552">
        <v>28</v>
      </c>
      <c r="D552" s="14" t="s">
        <v>50</v>
      </c>
      <c r="E552" s="1">
        <v>45852</v>
      </c>
      <c r="F552" s="1">
        <v>45520</v>
      </c>
      <c r="G552" s="14" t="s">
        <v>1102</v>
      </c>
      <c r="H552" s="14" t="s">
        <v>18</v>
      </c>
      <c r="I552">
        <v>403.78</v>
      </c>
      <c r="J552" s="14" t="s">
        <v>28</v>
      </c>
    </row>
    <row r="553" spans="1:10" x14ac:dyDescent="0.25">
      <c r="A553">
        <v>1020</v>
      </c>
      <c r="B553" s="14" t="s">
        <v>1998</v>
      </c>
      <c r="C553">
        <v>45</v>
      </c>
      <c r="D553" s="14" t="s">
        <v>30</v>
      </c>
      <c r="E553" s="1">
        <v>45990</v>
      </c>
      <c r="F553" s="1">
        <v>45900</v>
      </c>
      <c r="G553" s="14" t="s">
        <v>1103</v>
      </c>
      <c r="H553" s="14" t="s">
        <v>21</v>
      </c>
      <c r="I553">
        <v>343.21</v>
      </c>
      <c r="J553" s="14" t="s">
        <v>22</v>
      </c>
    </row>
    <row r="554" spans="1:10" x14ac:dyDescent="0.25">
      <c r="A554">
        <v>1020</v>
      </c>
      <c r="B554" s="14" t="s">
        <v>1104</v>
      </c>
      <c r="C554">
        <v>50</v>
      </c>
      <c r="D554" s="14" t="s">
        <v>50</v>
      </c>
      <c r="E554" s="1">
        <v>45887</v>
      </c>
      <c r="F554" s="1">
        <v>45794</v>
      </c>
      <c r="G554" s="14" t="s">
        <v>1105</v>
      </c>
      <c r="H554" s="14" t="s">
        <v>18</v>
      </c>
      <c r="I554">
        <v>67.97</v>
      </c>
      <c r="J554" s="14" t="s">
        <v>28</v>
      </c>
    </row>
    <row r="555" spans="1:10" x14ac:dyDescent="0.25">
      <c r="A555">
        <v>1017</v>
      </c>
      <c r="B555" s="14" t="s">
        <v>1106</v>
      </c>
      <c r="C555">
        <v>55</v>
      </c>
      <c r="D555" s="14" t="s">
        <v>50</v>
      </c>
      <c r="E555" s="1">
        <v>45856</v>
      </c>
      <c r="F555" s="1">
        <v>45479</v>
      </c>
      <c r="G555" s="14" t="s">
        <v>1107</v>
      </c>
      <c r="H555" s="14" t="s">
        <v>21</v>
      </c>
      <c r="I555">
        <v>365.21</v>
      </c>
      <c r="J555" s="14" t="s">
        <v>22</v>
      </c>
    </row>
    <row r="556" spans="1:10" x14ac:dyDescent="0.25">
      <c r="A556">
        <v>1007</v>
      </c>
      <c r="B556" s="14" t="s">
        <v>1108</v>
      </c>
      <c r="C556">
        <v>25</v>
      </c>
      <c r="D556" s="14" t="s">
        <v>30</v>
      </c>
      <c r="E556" s="1">
        <v>45996</v>
      </c>
      <c r="F556" s="1">
        <v>45563</v>
      </c>
      <c r="G556" s="14" t="s">
        <v>1109</v>
      </c>
      <c r="H556" s="14" t="s">
        <v>18</v>
      </c>
      <c r="I556">
        <v>269.52999999999997</v>
      </c>
      <c r="J556" s="14" t="s">
        <v>28</v>
      </c>
    </row>
    <row r="557" spans="1:10" x14ac:dyDescent="0.25">
      <c r="A557">
        <v>1084</v>
      </c>
      <c r="B557" s="14" t="s">
        <v>1110</v>
      </c>
      <c r="C557">
        <v>69</v>
      </c>
      <c r="D557" s="14" t="s">
        <v>50</v>
      </c>
      <c r="E557" s="1">
        <v>45743</v>
      </c>
      <c r="F557" s="1">
        <v>45508</v>
      </c>
      <c r="G557" s="14" t="s">
        <v>1111</v>
      </c>
      <c r="H557" s="14" t="s">
        <v>21</v>
      </c>
      <c r="I557">
        <v>163.58000000000001</v>
      </c>
      <c r="J557" s="14" t="s">
        <v>22</v>
      </c>
    </row>
    <row r="558" spans="1:10" x14ac:dyDescent="0.25">
      <c r="A558">
        <v>1005</v>
      </c>
      <c r="B558" s="14" t="s">
        <v>1112</v>
      </c>
      <c r="C558">
        <v>84</v>
      </c>
      <c r="D558" s="14" t="s">
        <v>30</v>
      </c>
      <c r="E558" s="1">
        <v>46027</v>
      </c>
      <c r="F558" s="1">
        <v>45849</v>
      </c>
      <c r="G558" s="14" t="s">
        <v>1113</v>
      </c>
      <c r="H558" s="14" t="s">
        <v>12</v>
      </c>
      <c r="I558">
        <v>499.36</v>
      </c>
      <c r="J558" s="14" t="s">
        <v>22</v>
      </c>
    </row>
    <row r="559" spans="1:10" x14ac:dyDescent="0.25">
      <c r="A559">
        <v>1011</v>
      </c>
      <c r="B559" s="14" t="s">
        <v>1114</v>
      </c>
      <c r="C559">
        <v>50</v>
      </c>
      <c r="D559" s="14" t="s">
        <v>30</v>
      </c>
      <c r="E559" s="1">
        <v>45975</v>
      </c>
      <c r="F559" s="1">
        <v>45914</v>
      </c>
      <c r="G559" s="14" t="s">
        <v>1115</v>
      </c>
      <c r="H559" s="14" t="s">
        <v>12</v>
      </c>
      <c r="I559">
        <v>101.37</v>
      </c>
      <c r="J559" s="14" t="s">
        <v>22</v>
      </c>
    </row>
    <row r="560" spans="1:10" x14ac:dyDescent="0.25">
      <c r="A560">
        <v>1085</v>
      </c>
      <c r="B560" s="14" t="s">
        <v>1116</v>
      </c>
      <c r="C560">
        <v>28</v>
      </c>
      <c r="D560" s="14" t="s">
        <v>30</v>
      </c>
      <c r="E560" s="1">
        <v>46089</v>
      </c>
      <c r="F560" s="1">
        <v>45634</v>
      </c>
      <c r="G560" s="14" t="s">
        <v>1117</v>
      </c>
      <c r="H560" s="14" t="s">
        <v>15</v>
      </c>
      <c r="J560" s="14" t="s">
        <v>22</v>
      </c>
    </row>
    <row r="561" spans="1:10" x14ac:dyDescent="0.25">
      <c r="A561">
        <v>1005</v>
      </c>
      <c r="B561" s="14" t="s">
        <v>1118</v>
      </c>
      <c r="C561">
        <v>24</v>
      </c>
      <c r="D561" s="14" t="s">
        <v>30</v>
      </c>
      <c r="E561" s="1">
        <v>45821</v>
      </c>
      <c r="F561" s="1">
        <v>45449</v>
      </c>
      <c r="G561" s="14" t="s">
        <v>1119</v>
      </c>
      <c r="H561" s="14" t="s">
        <v>12</v>
      </c>
      <c r="I561">
        <v>442.72</v>
      </c>
      <c r="J561" s="14" t="s">
        <v>22</v>
      </c>
    </row>
    <row r="562" spans="1:10" x14ac:dyDescent="0.25">
      <c r="A562">
        <v>1079</v>
      </c>
      <c r="B562" s="14" t="s">
        <v>1120</v>
      </c>
      <c r="C562">
        <v>52</v>
      </c>
      <c r="D562" s="14" t="s">
        <v>50</v>
      </c>
      <c r="E562" s="1">
        <v>45977</v>
      </c>
      <c r="F562" s="1">
        <v>45740</v>
      </c>
      <c r="G562" s="14" t="s">
        <v>1121</v>
      </c>
      <c r="H562" s="14" t="s">
        <v>12</v>
      </c>
      <c r="I562">
        <v>224.89</v>
      </c>
      <c r="J562" s="14" t="s">
        <v>22</v>
      </c>
    </row>
    <row r="563" spans="1:10" x14ac:dyDescent="0.25">
      <c r="A563">
        <v>1090</v>
      </c>
      <c r="B563" s="14" t="s">
        <v>1122</v>
      </c>
      <c r="C563">
        <v>53</v>
      </c>
      <c r="D563" s="14" t="s">
        <v>50</v>
      </c>
      <c r="E563" s="1">
        <v>46068</v>
      </c>
      <c r="F563" s="1">
        <v>45774</v>
      </c>
      <c r="G563" s="14" t="s">
        <v>1123</v>
      </c>
      <c r="H563" s="14" t="s">
        <v>15</v>
      </c>
      <c r="I563">
        <v>163.4</v>
      </c>
      <c r="J563" s="14" t="s">
        <v>28</v>
      </c>
    </row>
    <row r="564" spans="1:10" x14ac:dyDescent="0.25">
      <c r="A564">
        <v>1068</v>
      </c>
      <c r="B564" s="14" t="s">
        <v>1124</v>
      </c>
      <c r="C564">
        <v>59</v>
      </c>
      <c r="D564" s="14" t="s">
        <v>50</v>
      </c>
      <c r="E564" s="1">
        <v>45866</v>
      </c>
      <c r="F564" s="1">
        <v>45492</v>
      </c>
      <c r="G564" s="14" t="s">
        <v>1125</v>
      </c>
      <c r="H564" s="14" t="s">
        <v>12</v>
      </c>
      <c r="I564">
        <v>202.98</v>
      </c>
      <c r="J564" s="14" t="s">
        <v>22</v>
      </c>
    </row>
    <row r="565" spans="1:10" x14ac:dyDescent="0.25">
      <c r="A565">
        <v>1047</v>
      </c>
      <c r="B565" s="14" t="s">
        <v>1126</v>
      </c>
      <c r="C565">
        <v>31</v>
      </c>
      <c r="D565" s="14" t="s">
        <v>30</v>
      </c>
      <c r="E565" s="1">
        <v>45752</v>
      </c>
      <c r="F565" s="1">
        <v>45420</v>
      </c>
      <c r="G565" s="14" t="s">
        <v>1127</v>
      </c>
      <c r="H565" s="14" t="s">
        <v>12</v>
      </c>
      <c r="I565">
        <v>257.10000000000002</v>
      </c>
      <c r="J565" s="14" t="s">
        <v>22</v>
      </c>
    </row>
    <row r="566" spans="1:10" x14ac:dyDescent="0.25">
      <c r="A566">
        <v>1009</v>
      </c>
      <c r="B566" s="14" t="s">
        <v>1128</v>
      </c>
      <c r="C566">
        <v>74</v>
      </c>
      <c r="D566" s="14" t="s">
        <v>50</v>
      </c>
      <c r="E566" s="1">
        <v>46100</v>
      </c>
      <c r="F566" s="1">
        <v>45987</v>
      </c>
      <c r="G566" s="14" t="s">
        <v>1129</v>
      </c>
      <c r="H566" s="14" t="s">
        <v>12</v>
      </c>
      <c r="I566">
        <v>466.87</v>
      </c>
      <c r="J566" s="14" t="s">
        <v>22</v>
      </c>
    </row>
    <row r="567" spans="1:10" x14ac:dyDescent="0.25">
      <c r="A567">
        <v>1084</v>
      </c>
      <c r="B567" s="14" t="s">
        <v>1130</v>
      </c>
      <c r="C567">
        <v>83</v>
      </c>
      <c r="D567" s="14" t="s">
        <v>50</v>
      </c>
      <c r="E567" s="1">
        <v>46055</v>
      </c>
      <c r="F567" s="1">
        <v>45867</v>
      </c>
      <c r="G567" s="14" t="s">
        <v>1131</v>
      </c>
      <c r="H567" s="14" t="s">
        <v>21</v>
      </c>
      <c r="J567" s="14" t="s">
        <v>22</v>
      </c>
    </row>
    <row r="568" spans="1:10" x14ac:dyDescent="0.25">
      <c r="A568">
        <v>1016</v>
      </c>
      <c r="B568" s="14" t="s">
        <v>1132</v>
      </c>
      <c r="C568">
        <v>31</v>
      </c>
      <c r="D568" s="14" t="s">
        <v>50</v>
      </c>
      <c r="E568" s="1">
        <v>45957</v>
      </c>
      <c r="F568" s="1">
        <v>45728</v>
      </c>
      <c r="G568" s="14" t="s">
        <v>1133</v>
      </c>
      <c r="H568" s="14" t="s">
        <v>15</v>
      </c>
      <c r="I568">
        <v>490.78</v>
      </c>
      <c r="J568" s="14" t="s">
        <v>28</v>
      </c>
    </row>
    <row r="569" spans="1:10" x14ac:dyDescent="0.25">
      <c r="A569">
        <v>1068</v>
      </c>
      <c r="B569" s="14" t="s">
        <v>1134</v>
      </c>
      <c r="C569">
        <v>63</v>
      </c>
      <c r="D569" s="14" t="s">
        <v>50</v>
      </c>
      <c r="E569" s="1">
        <v>45932</v>
      </c>
      <c r="F569" s="1">
        <v>45449</v>
      </c>
      <c r="G569" s="14" t="s">
        <v>1135</v>
      </c>
      <c r="H569" s="14" t="s">
        <v>21</v>
      </c>
      <c r="I569">
        <v>217.86</v>
      </c>
      <c r="J569" s="14" t="s">
        <v>22</v>
      </c>
    </row>
    <row r="570" spans="1:10" x14ac:dyDescent="0.25">
      <c r="A570">
        <v>1048</v>
      </c>
      <c r="B570" s="14" t="s">
        <v>1136</v>
      </c>
      <c r="C570">
        <v>47</v>
      </c>
      <c r="D570" s="14" t="s">
        <v>30</v>
      </c>
      <c r="E570" s="1">
        <v>45875</v>
      </c>
      <c r="F570" s="1">
        <v>45859</v>
      </c>
      <c r="G570" s="14" t="s">
        <v>1137</v>
      </c>
      <c r="H570" s="14" t="s">
        <v>18</v>
      </c>
      <c r="I570">
        <v>174.04</v>
      </c>
      <c r="J570" s="14" t="s">
        <v>28</v>
      </c>
    </row>
    <row r="571" spans="1:10" x14ac:dyDescent="0.25">
      <c r="A571">
        <v>1080</v>
      </c>
      <c r="B571" s="14" t="s">
        <v>1138</v>
      </c>
      <c r="C571">
        <v>52</v>
      </c>
      <c r="D571" s="14" t="s">
        <v>50</v>
      </c>
      <c r="E571" s="1">
        <v>45881</v>
      </c>
      <c r="F571" s="1">
        <v>45679</v>
      </c>
      <c r="G571" s="14" t="s">
        <v>1139</v>
      </c>
      <c r="H571" s="14" t="s">
        <v>15</v>
      </c>
      <c r="I571">
        <v>196.21</v>
      </c>
      <c r="J571" s="14" t="s">
        <v>22</v>
      </c>
    </row>
    <row r="572" spans="1:10" x14ac:dyDescent="0.25">
      <c r="A572">
        <v>1030</v>
      </c>
      <c r="B572" s="14" t="s">
        <v>1140</v>
      </c>
      <c r="C572">
        <v>66</v>
      </c>
      <c r="D572" s="14" t="s">
        <v>30</v>
      </c>
      <c r="E572" s="1">
        <v>45953</v>
      </c>
      <c r="F572" s="1">
        <v>45437</v>
      </c>
      <c r="G572" s="14" t="s">
        <v>1141</v>
      </c>
      <c r="H572" s="14" t="s">
        <v>12</v>
      </c>
      <c r="I572">
        <v>490.08</v>
      </c>
      <c r="J572" s="14" t="s">
        <v>28</v>
      </c>
    </row>
    <row r="573" spans="1:10" x14ac:dyDescent="0.25">
      <c r="A573">
        <v>1003</v>
      </c>
      <c r="B573" s="14" t="s">
        <v>1142</v>
      </c>
      <c r="C573">
        <v>48</v>
      </c>
      <c r="D573" s="14" t="s">
        <v>50</v>
      </c>
      <c r="E573" s="1">
        <v>45863</v>
      </c>
      <c r="F573" s="1">
        <v>45671</v>
      </c>
      <c r="G573" s="14" t="s">
        <v>1143</v>
      </c>
      <c r="H573" s="14" t="s">
        <v>15</v>
      </c>
      <c r="I573">
        <v>91.94</v>
      </c>
      <c r="J573" s="14" t="s">
        <v>22</v>
      </c>
    </row>
    <row r="574" spans="1:10" x14ac:dyDescent="0.25">
      <c r="A574">
        <v>1047</v>
      </c>
      <c r="B574" s="14" t="s">
        <v>1144</v>
      </c>
      <c r="C574">
        <v>74</v>
      </c>
      <c r="D574" s="14" t="s">
        <v>30</v>
      </c>
      <c r="E574" s="1">
        <v>45949</v>
      </c>
      <c r="F574" s="1">
        <v>45511</v>
      </c>
      <c r="G574" s="14" t="s">
        <v>1145</v>
      </c>
      <c r="H574" s="14" t="s">
        <v>15</v>
      </c>
      <c r="I574">
        <v>484.82</v>
      </c>
      <c r="J574" s="14" t="s">
        <v>28</v>
      </c>
    </row>
    <row r="575" spans="1:10" x14ac:dyDescent="0.25">
      <c r="A575">
        <v>1075</v>
      </c>
      <c r="B575" s="14" t="s">
        <v>1146</v>
      </c>
      <c r="C575">
        <v>72</v>
      </c>
      <c r="D575" s="14" t="s">
        <v>50</v>
      </c>
      <c r="E575" s="1">
        <v>45824</v>
      </c>
      <c r="F575" s="1">
        <v>45527</v>
      </c>
      <c r="G575" s="14" t="s">
        <v>1147</v>
      </c>
      <c r="H575" s="14" t="s">
        <v>18</v>
      </c>
      <c r="I575">
        <v>175.26</v>
      </c>
      <c r="J575" s="14" t="s">
        <v>28</v>
      </c>
    </row>
    <row r="576" spans="1:10" x14ac:dyDescent="0.25">
      <c r="A576">
        <v>1072</v>
      </c>
      <c r="B576" s="14" t="s">
        <v>1148</v>
      </c>
      <c r="C576">
        <v>49</v>
      </c>
      <c r="D576" s="14" t="s">
        <v>30</v>
      </c>
      <c r="E576" s="1">
        <v>45760</v>
      </c>
      <c r="F576" s="1">
        <v>45570</v>
      </c>
      <c r="G576" s="14" t="s">
        <v>1149</v>
      </c>
      <c r="H576" s="14" t="s">
        <v>15</v>
      </c>
      <c r="I576">
        <v>484.93</v>
      </c>
      <c r="J576" s="14" t="s">
        <v>22</v>
      </c>
    </row>
    <row r="577" spans="1:10" x14ac:dyDescent="0.25">
      <c r="A577">
        <v>1001</v>
      </c>
      <c r="B577" s="14" t="s">
        <v>1150</v>
      </c>
      <c r="C577">
        <v>33</v>
      </c>
      <c r="D577" s="14" t="s">
        <v>30</v>
      </c>
      <c r="E577" s="1">
        <v>45975</v>
      </c>
      <c r="F577" s="1">
        <v>45906</v>
      </c>
      <c r="G577" s="14" t="s">
        <v>1151</v>
      </c>
      <c r="H577" s="14" t="s">
        <v>18</v>
      </c>
      <c r="I577">
        <v>381.93</v>
      </c>
      <c r="J577" s="14" t="s">
        <v>22</v>
      </c>
    </row>
    <row r="578" spans="1:10" x14ac:dyDescent="0.25">
      <c r="A578">
        <v>1009</v>
      </c>
      <c r="B578" s="14" t="s">
        <v>1152</v>
      </c>
      <c r="C578">
        <v>61</v>
      </c>
      <c r="D578" s="14" t="s">
        <v>50</v>
      </c>
      <c r="E578" s="1">
        <v>46023</v>
      </c>
      <c r="F578" s="1">
        <v>45883</v>
      </c>
      <c r="G578" s="14" t="s">
        <v>1153</v>
      </c>
      <c r="H578" s="14" t="s">
        <v>21</v>
      </c>
      <c r="I578">
        <v>402.6</v>
      </c>
      <c r="J578" s="14" t="s">
        <v>22</v>
      </c>
    </row>
    <row r="579" spans="1:10" x14ac:dyDescent="0.25">
      <c r="A579">
        <v>1016</v>
      </c>
      <c r="B579" s="14" t="s">
        <v>1154</v>
      </c>
      <c r="C579">
        <v>29</v>
      </c>
      <c r="D579" s="14" t="s">
        <v>50</v>
      </c>
      <c r="E579" s="1">
        <v>45971</v>
      </c>
      <c r="F579" s="1">
        <v>45794</v>
      </c>
      <c r="G579" s="14" t="s">
        <v>1155</v>
      </c>
      <c r="H579" s="14" t="s">
        <v>12</v>
      </c>
      <c r="I579">
        <v>241.81</v>
      </c>
      <c r="J579" s="14" t="s">
        <v>28</v>
      </c>
    </row>
    <row r="580" spans="1:10" x14ac:dyDescent="0.25">
      <c r="A580">
        <v>1092</v>
      </c>
      <c r="B580" s="14" t="s">
        <v>1156</v>
      </c>
      <c r="C580">
        <v>54</v>
      </c>
      <c r="D580" s="14" t="s">
        <v>50</v>
      </c>
      <c r="E580" s="1">
        <v>45870</v>
      </c>
      <c r="F580" s="1">
        <v>45419</v>
      </c>
      <c r="G580" s="14" t="s">
        <v>1157</v>
      </c>
      <c r="H580" s="14" t="s">
        <v>21</v>
      </c>
      <c r="I580">
        <v>467.2</v>
      </c>
      <c r="J580" s="14" t="s">
        <v>28</v>
      </c>
    </row>
    <row r="581" spans="1:10" x14ac:dyDescent="0.25">
      <c r="A581">
        <v>1001</v>
      </c>
      <c r="B581" s="14" t="s">
        <v>1158</v>
      </c>
      <c r="C581">
        <v>70</v>
      </c>
      <c r="D581" s="14" t="s">
        <v>50</v>
      </c>
      <c r="E581" s="1">
        <v>46041</v>
      </c>
      <c r="F581" s="1">
        <v>45674</v>
      </c>
      <c r="G581" s="14" t="s">
        <v>1159</v>
      </c>
      <c r="H581" s="14" t="s">
        <v>21</v>
      </c>
      <c r="I581">
        <v>148.74</v>
      </c>
      <c r="J581" s="14" t="s">
        <v>28</v>
      </c>
    </row>
    <row r="582" spans="1:10" x14ac:dyDescent="0.25">
      <c r="A582">
        <v>1063</v>
      </c>
      <c r="B582" s="14" t="s">
        <v>1160</v>
      </c>
      <c r="C582">
        <v>48</v>
      </c>
      <c r="D582" s="14" t="s">
        <v>50</v>
      </c>
      <c r="E582" s="1">
        <v>45898</v>
      </c>
      <c r="F582" s="1">
        <v>45397</v>
      </c>
      <c r="G582" s="14" t="s">
        <v>1161</v>
      </c>
      <c r="H582" s="14" t="s">
        <v>18</v>
      </c>
      <c r="I582">
        <v>109.72</v>
      </c>
      <c r="J582" s="14" t="s">
        <v>22</v>
      </c>
    </row>
    <row r="583" spans="1:10" x14ac:dyDescent="0.25">
      <c r="A583">
        <v>1061</v>
      </c>
      <c r="B583" s="14" t="s">
        <v>1162</v>
      </c>
      <c r="C583">
        <v>67</v>
      </c>
      <c r="D583" s="14" t="s">
        <v>50</v>
      </c>
      <c r="E583" s="1">
        <v>45977</v>
      </c>
      <c r="F583" s="1">
        <v>45657</v>
      </c>
      <c r="G583" s="14" t="s">
        <v>1163</v>
      </c>
      <c r="H583" s="14" t="s">
        <v>21</v>
      </c>
      <c r="I583">
        <v>477.53</v>
      </c>
      <c r="J583" s="14" t="s">
        <v>28</v>
      </c>
    </row>
    <row r="584" spans="1:10" x14ac:dyDescent="0.25">
      <c r="A584">
        <v>1036</v>
      </c>
      <c r="B584" s="14" t="s">
        <v>1164</v>
      </c>
      <c r="C584">
        <v>41</v>
      </c>
      <c r="D584" s="14" t="s">
        <v>50</v>
      </c>
      <c r="E584" s="1">
        <v>45837</v>
      </c>
      <c r="F584" s="1">
        <v>45556</v>
      </c>
      <c r="G584" s="14" t="s">
        <v>1165</v>
      </c>
      <c r="H584" s="14" t="s">
        <v>12</v>
      </c>
      <c r="I584">
        <v>286.70999999999998</v>
      </c>
      <c r="J584" s="14" t="s">
        <v>22</v>
      </c>
    </row>
    <row r="585" spans="1:10" x14ac:dyDescent="0.25">
      <c r="A585">
        <v>1015</v>
      </c>
      <c r="B585" s="14" t="s">
        <v>1166</v>
      </c>
      <c r="C585">
        <v>87</v>
      </c>
      <c r="D585" s="14" t="s">
        <v>24</v>
      </c>
      <c r="E585" s="1">
        <v>45787</v>
      </c>
      <c r="F585" s="1">
        <v>45694</v>
      </c>
      <c r="G585" s="14" t="s">
        <v>1167</v>
      </c>
      <c r="H585" s="14" t="s">
        <v>12</v>
      </c>
      <c r="I585">
        <v>316.89</v>
      </c>
      <c r="J585" s="14" t="s">
        <v>28</v>
      </c>
    </row>
    <row r="586" spans="1:10" x14ac:dyDescent="0.25">
      <c r="A586">
        <v>1069</v>
      </c>
      <c r="B586" s="14" t="s">
        <v>1168</v>
      </c>
      <c r="C586">
        <v>40</v>
      </c>
      <c r="D586" s="14" t="s">
        <v>30</v>
      </c>
      <c r="E586" s="1">
        <v>46000</v>
      </c>
      <c r="F586" s="1">
        <v>45941</v>
      </c>
      <c r="G586" s="14" t="s">
        <v>1169</v>
      </c>
      <c r="H586" s="14" t="s">
        <v>21</v>
      </c>
      <c r="I586">
        <v>266.74</v>
      </c>
      <c r="J586" s="14" t="s">
        <v>28</v>
      </c>
    </row>
    <row r="587" spans="1:10" x14ac:dyDescent="0.25">
      <c r="A587">
        <v>1029</v>
      </c>
      <c r="B587" s="14" t="s">
        <v>1170</v>
      </c>
      <c r="C587">
        <v>55</v>
      </c>
      <c r="D587" s="14" t="s">
        <v>50</v>
      </c>
      <c r="E587" s="1">
        <v>45945</v>
      </c>
      <c r="F587" s="1">
        <v>45805</v>
      </c>
      <c r="G587" s="14" t="s">
        <v>1171</v>
      </c>
      <c r="H587" s="14" t="s">
        <v>15</v>
      </c>
      <c r="I587">
        <v>175.09</v>
      </c>
      <c r="J587" s="14" t="s">
        <v>22</v>
      </c>
    </row>
    <row r="588" spans="1:10" x14ac:dyDescent="0.25">
      <c r="A588">
        <v>1037</v>
      </c>
      <c r="B588" s="14" t="s">
        <v>1172</v>
      </c>
      <c r="C588">
        <v>90</v>
      </c>
      <c r="D588" s="14" t="s">
        <v>50</v>
      </c>
      <c r="E588" s="1">
        <v>45999</v>
      </c>
      <c r="F588" s="1">
        <v>45510</v>
      </c>
      <c r="G588" s="14" t="s">
        <v>1173</v>
      </c>
      <c r="H588" s="14" t="s">
        <v>12</v>
      </c>
      <c r="I588">
        <v>96.2</v>
      </c>
      <c r="J588" s="14" t="s">
        <v>22</v>
      </c>
    </row>
    <row r="589" spans="1:10" x14ac:dyDescent="0.25">
      <c r="A589">
        <v>1071</v>
      </c>
      <c r="B589" s="14" t="s">
        <v>1174</v>
      </c>
      <c r="C589">
        <v>25</v>
      </c>
      <c r="D589" s="14" t="s">
        <v>30</v>
      </c>
      <c r="E589" s="1">
        <v>46077</v>
      </c>
      <c r="F589" s="1">
        <v>45982</v>
      </c>
      <c r="G589" s="14" t="s">
        <v>1175</v>
      </c>
      <c r="H589" s="14" t="s">
        <v>21</v>
      </c>
      <c r="I589">
        <v>443.12</v>
      </c>
      <c r="J589" s="14" t="s">
        <v>22</v>
      </c>
    </row>
    <row r="590" spans="1:10" x14ac:dyDescent="0.25">
      <c r="A590">
        <v>1023</v>
      </c>
      <c r="B590" s="14" t="s">
        <v>1176</v>
      </c>
      <c r="C590">
        <v>46</v>
      </c>
      <c r="D590" s="14" t="s">
        <v>30</v>
      </c>
      <c r="E590" s="1">
        <v>46060</v>
      </c>
      <c r="F590" s="1">
        <v>45645</v>
      </c>
      <c r="G590" s="14" t="s">
        <v>1177</v>
      </c>
      <c r="H590" s="14" t="s">
        <v>18</v>
      </c>
      <c r="I590">
        <v>351.94</v>
      </c>
      <c r="J590" s="14" t="s">
        <v>28</v>
      </c>
    </row>
    <row r="591" spans="1:10" x14ac:dyDescent="0.25">
      <c r="A591">
        <v>1074</v>
      </c>
      <c r="B591" s="14" t="s">
        <v>1178</v>
      </c>
      <c r="C591">
        <v>75</v>
      </c>
      <c r="D591" s="14" t="s">
        <v>50</v>
      </c>
      <c r="E591" s="1">
        <v>45884</v>
      </c>
      <c r="F591" s="1">
        <v>45459</v>
      </c>
      <c r="G591" s="14" t="s">
        <v>1179</v>
      </c>
      <c r="H591" s="14" t="s">
        <v>18</v>
      </c>
      <c r="I591">
        <v>59.55</v>
      </c>
      <c r="J591" s="14" t="s">
        <v>28</v>
      </c>
    </row>
    <row r="592" spans="1:10" x14ac:dyDescent="0.25">
      <c r="A592">
        <v>1039</v>
      </c>
      <c r="B592" s="14" t="s">
        <v>1180</v>
      </c>
      <c r="C592">
        <v>68</v>
      </c>
      <c r="D592" s="14" t="s">
        <v>50</v>
      </c>
      <c r="E592" s="1">
        <v>45779</v>
      </c>
      <c r="F592" s="1">
        <v>45703</v>
      </c>
      <c r="G592" s="14" t="s">
        <v>1070</v>
      </c>
      <c r="H592" s="14" t="s">
        <v>15</v>
      </c>
      <c r="I592">
        <v>339.57</v>
      </c>
      <c r="J592" s="14" t="s">
        <v>22</v>
      </c>
    </row>
    <row r="593" spans="1:10" x14ac:dyDescent="0.25">
      <c r="A593">
        <v>1071</v>
      </c>
      <c r="B593" s="14" t="s">
        <v>1181</v>
      </c>
      <c r="C593">
        <v>88</v>
      </c>
      <c r="D593" s="14" t="s">
        <v>50</v>
      </c>
      <c r="E593" s="1">
        <v>45996</v>
      </c>
      <c r="F593" s="1">
        <v>45506</v>
      </c>
      <c r="G593" s="14" t="s">
        <v>1182</v>
      </c>
      <c r="H593" s="14" t="s">
        <v>18</v>
      </c>
      <c r="I593">
        <v>344.57</v>
      </c>
      <c r="J593" s="14" t="s">
        <v>28</v>
      </c>
    </row>
    <row r="594" spans="1:10" x14ac:dyDescent="0.25">
      <c r="A594">
        <v>1039</v>
      </c>
      <c r="B594" s="14" t="s">
        <v>1183</v>
      </c>
      <c r="C594">
        <v>47</v>
      </c>
      <c r="D594" s="14" t="s">
        <v>30</v>
      </c>
      <c r="E594" s="1">
        <v>45827</v>
      </c>
      <c r="F594" s="1">
        <v>45419</v>
      </c>
      <c r="G594" s="14" t="s">
        <v>1184</v>
      </c>
      <c r="H594" s="14" t="s">
        <v>15</v>
      </c>
      <c r="I594">
        <v>197.72</v>
      </c>
      <c r="J594" s="14" t="s">
        <v>28</v>
      </c>
    </row>
    <row r="595" spans="1:10" x14ac:dyDescent="0.25">
      <c r="A595">
        <v>1082</v>
      </c>
      <c r="B595" s="14" t="s">
        <v>1185</v>
      </c>
      <c r="C595">
        <v>57</v>
      </c>
      <c r="D595" s="14" t="s">
        <v>30</v>
      </c>
      <c r="E595" s="1">
        <v>45965</v>
      </c>
      <c r="F595" s="1">
        <v>45737</v>
      </c>
      <c r="G595" s="14" t="s">
        <v>1186</v>
      </c>
      <c r="H595" s="14" t="s">
        <v>12</v>
      </c>
      <c r="I595">
        <v>202.68</v>
      </c>
      <c r="J595" s="14" t="s">
        <v>22</v>
      </c>
    </row>
    <row r="596" spans="1:10" x14ac:dyDescent="0.25">
      <c r="A596">
        <v>1084</v>
      </c>
      <c r="B596" s="14" t="s">
        <v>1187</v>
      </c>
      <c r="C596">
        <v>71</v>
      </c>
      <c r="D596" s="14" t="s">
        <v>50</v>
      </c>
      <c r="E596" s="1">
        <v>45767</v>
      </c>
      <c r="F596" s="1">
        <v>45504</v>
      </c>
      <c r="G596" s="14" t="s">
        <v>1188</v>
      </c>
      <c r="H596" s="14" t="s">
        <v>12</v>
      </c>
      <c r="I596">
        <v>95.4</v>
      </c>
      <c r="J596" s="14" t="s">
        <v>22</v>
      </c>
    </row>
    <row r="597" spans="1:10" x14ac:dyDescent="0.25">
      <c r="A597">
        <v>1089</v>
      </c>
      <c r="B597" s="14" t="s">
        <v>1189</v>
      </c>
      <c r="C597">
        <v>68</v>
      </c>
      <c r="D597" s="14" t="s">
        <v>30</v>
      </c>
      <c r="E597" s="1">
        <v>45750</v>
      </c>
      <c r="F597" s="1">
        <v>45510</v>
      </c>
      <c r="G597" s="14" t="s">
        <v>1190</v>
      </c>
      <c r="H597" s="14" t="s">
        <v>15</v>
      </c>
      <c r="I597">
        <v>245.84</v>
      </c>
      <c r="J597" s="14" t="s">
        <v>22</v>
      </c>
    </row>
    <row r="598" spans="1:10" x14ac:dyDescent="0.25">
      <c r="A598">
        <v>1031</v>
      </c>
      <c r="B598" s="14" t="s">
        <v>467</v>
      </c>
      <c r="C598">
        <v>44</v>
      </c>
      <c r="D598" s="14" t="s">
        <v>50</v>
      </c>
      <c r="E598" s="1">
        <v>46041</v>
      </c>
      <c r="F598" s="1">
        <v>45457</v>
      </c>
      <c r="G598" s="14" t="s">
        <v>1191</v>
      </c>
      <c r="H598" s="14" t="s">
        <v>15</v>
      </c>
      <c r="I598">
        <v>284.66000000000003</v>
      </c>
      <c r="J598" s="14" t="s">
        <v>22</v>
      </c>
    </row>
    <row r="599" spans="1:10" x14ac:dyDescent="0.25">
      <c r="A599">
        <v>1053</v>
      </c>
      <c r="B599" s="14" t="s">
        <v>1192</v>
      </c>
      <c r="C599">
        <v>70</v>
      </c>
      <c r="D599" s="14" t="s">
        <v>50</v>
      </c>
      <c r="E599" s="1">
        <v>46012</v>
      </c>
      <c r="F599" s="1">
        <v>45876</v>
      </c>
      <c r="G599" s="14" t="s">
        <v>1193</v>
      </c>
      <c r="H599" s="14" t="s">
        <v>18</v>
      </c>
      <c r="I599">
        <v>389.49</v>
      </c>
      <c r="J599" s="14" t="s">
        <v>22</v>
      </c>
    </row>
    <row r="600" spans="1:10" x14ac:dyDescent="0.25">
      <c r="A600">
        <v>1048</v>
      </c>
      <c r="B600" s="14" t="s">
        <v>1194</v>
      </c>
      <c r="C600">
        <v>67</v>
      </c>
      <c r="D600" s="14" t="s">
        <v>50</v>
      </c>
      <c r="E600" s="1">
        <v>45841</v>
      </c>
      <c r="F600" s="1">
        <v>45503</v>
      </c>
      <c r="G600" s="14" t="s">
        <v>1195</v>
      </c>
      <c r="H600" s="14" t="s">
        <v>18</v>
      </c>
      <c r="J600" s="14" t="s">
        <v>28</v>
      </c>
    </row>
    <row r="601" spans="1:10" x14ac:dyDescent="0.25">
      <c r="A601">
        <v>1075</v>
      </c>
      <c r="B601" s="14" t="s">
        <v>1196</v>
      </c>
      <c r="C601">
        <v>67</v>
      </c>
      <c r="D601" s="14" t="s">
        <v>30</v>
      </c>
      <c r="E601" s="1">
        <v>45820</v>
      </c>
      <c r="F601" s="1">
        <v>45795</v>
      </c>
      <c r="G601" s="14" t="s">
        <v>1197</v>
      </c>
      <c r="H601" s="14" t="s">
        <v>18</v>
      </c>
      <c r="I601">
        <v>161.5</v>
      </c>
      <c r="J601" s="14" t="s">
        <v>22</v>
      </c>
    </row>
    <row r="602" spans="1:10" x14ac:dyDescent="0.25">
      <c r="A602">
        <v>1033</v>
      </c>
      <c r="B602" s="14" t="s">
        <v>1198</v>
      </c>
      <c r="C602">
        <v>38</v>
      </c>
      <c r="D602" s="14" t="s">
        <v>30</v>
      </c>
      <c r="E602" s="1">
        <v>45796</v>
      </c>
      <c r="F602" s="1">
        <v>45493</v>
      </c>
      <c r="G602" s="14" t="s">
        <v>1199</v>
      </c>
      <c r="H602" s="14" t="s">
        <v>15</v>
      </c>
      <c r="I602">
        <v>68.36</v>
      </c>
      <c r="J602" s="14" t="s">
        <v>22</v>
      </c>
    </row>
    <row r="603" spans="1:10" x14ac:dyDescent="0.25">
      <c r="A603">
        <v>1054</v>
      </c>
      <c r="B603" s="14" t="s">
        <v>1200</v>
      </c>
      <c r="C603">
        <v>82</v>
      </c>
      <c r="D603" s="14" t="s">
        <v>50</v>
      </c>
      <c r="E603" s="1">
        <v>45824</v>
      </c>
      <c r="F603" s="1">
        <v>45383</v>
      </c>
      <c r="G603" s="14" t="s">
        <v>1201</v>
      </c>
      <c r="H603" s="14" t="s">
        <v>21</v>
      </c>
      <c r="I603">
        <v>332.15</v>
      </c>
      <c r="J603" s="14" t="s">
        <v>28</v>
      </c>
    </row>
    <row r="604" spans="1:10" x14ac:dyDescent="0.25">
      <c r="A604">
        <v>1020</v>
      </c>
      <c r="B604" s="14" t="s">
        <v>1202</v>
      </c>
      <c r="C604">
        <v>53</v>
      </c>
      <c r="D604" s="14" t="s">
        <v>50</v>
      </c>
      <c r="E604" s="1">
        <v>45862</v>
      </c>
      <c r="F604" s="1">
        <v>45691</v>
      </c>
      <c r="G604" s="14" t="s">
        <v>1203</v>
      </c>
      <c r="H604" s="14" t="s">
        <v>18</v>
      </c>
      <c r="I604">
        <v>294.14</v>
      </c>
      <c r="J604" s="14" t="s">
        <v>28</v>
      </c>
    </row>
    <row r="605" spans="1:10" x14ac:dyDescent="0.25">
      <c r="A605">
        <v>1006</v>
      </c>
      <c r="B605" s="14" t="s">
        <v>1204</v>
      </c>
      <c r="C605">
        <v>33</v>
      </c>
      <c r="D605" s="14" t="s">
        <v>30</v>
      </c>
      <c r="E605" s="1">
        <v>45780</v>
      </c>
      <c r="F605" s="1">
        <v>45619</v>
      </c>
      <c r="G605" s="14" t="s">
        <v>1205</v>
      </c>
      <c r="H605" s="14" t="s">
        <v>15</v>
      </c>
      <c r="I605">
        <v>202.54</v>
      </c>
      <c r="J605" s="14" t="s">
        <v>22</v>
      </c>
    </row>
    <row r="606" spans="1:10" x14ac:dyDescent="0.25">
      <c r="A606">
        <v>1100</v>
      </c>
      <c r="B606" s="14" t="s">
        <v>1206</v>
      </c>
      <c r="C606">
        <v>60</v>
      </c>
      <c r="D606" s="14" t="s">
        <v>50</v>
      </c>
      <c r="E606" s="1">
        <v>46068</v>
      </c>
      <c r="F606" s="1">
        <v>45396</v>
      </c>
      <c r="G606" s="14" t="s">
        <v>1207</v>
      </c>
      <c r="H606" s="14" t="s">
        <v>18</v>
      </c>
      <c r="I606">
        <v>455.57</v>
      </c>
      <c r="J606" s="14" t="s">
        <v>28</v>
      </c>
    </row>
    <row r="607" spans="1:10" x14ac:dyDescent="0.25">
      <c r="A607">
        <v>1061</v>
      </c>
      <c r="B607" s="14" t="s">
        <v>1208</v>
      </c>
      <c r="C607">
        <v>65</v>
      </c>
      <c r="D607" s="14" t="s">
        <v>50</v>
      </c>
      <c r="E607" s="1">
        <v>45970</v>
      </c>
      <c r="F607" s="1">
        <v>45612</v>
      </c>
      <c r="G607" s="14" t="s">
        <v>1209</v>
      </c>
      <c r="H607" s="14" t="s">
        <v>18</v>
      </c>
      <c r="I607">
        <v>378.58</v>
      </c>
      <c r="J607" s="14" t="s">
        <v>22</v>
      </c>
    </row>
    <row r="608" spans="1:10" x14ac:dyDescent="0.25">
      <c r="A608">
        <v>1040</v>
      </c>
      <c r="B608" s="14" t="s">
        <v>1064</v>
      </c>
      <c r="C608">
        <v>49</v>
      </c>
      <c r="D608" s="14" t="s">
        <v>30</v>
      </c>
      <c r="E608" s="1">
        <v>45829</v>
      </c>
      <c r="F608" s="1">
        <v>45573</v>
      </c>
      <c r="G608" s="14" t="s">
        <v>1210</v>
      </c>
      <c r="H608" s="14" t="s">
        <v>21</v>
      </c>
      <c r="I608">
        <v>110.44</v>
      </c>
      <c r="J608" s="14" t="s">
        <v>22</v>
      </c>
    </row>
    <row r="609" spans="1:10" x14ac:dyDescent="0.25">
      <c r="A609">
        <v>1010</v>
      </c>
      <c r="B609" s="14" t="s">
        <v>1211</v>
      </c>
      <c r="C609">
        <v>23</v>
      </c>
      <c r="D609" s="14" t="s">
        <v>30</v>
      </c>
      <c r="E609" s="1">
        <v>45759</v>
      </c>
      <c r="F609" s="1">
        <v>45548</v>
      </c>
      <c r="G609" s="14" t="s">
        <v>1212</v>
      </c>
      <c r="H609" s="14" t="s">
        <v>12</v>
      </c>
      <c r="I609">
        <v>274.12</v>
      </c>
      <c r="J609" s="14" t="s">
        <v>22</v>
      </c>
    </row>
    <row r="610" spans="1:10" x14ac:dyDescent="0.25">
      <c r="A610">
        <v>1030</v>
      </c>
      <c r="B610" s="14" t="s">
        <v>1213</v>
      </c>
      <c r="C610">
        <v>69</v>
      </c>
      <c r="D610" s="14" t="s">
        <v>50</v>
      </c>
      <c r="E610" s="1">
        <v>46024</v>
      </c>
      <c r="F610" s="1">
        <v>45558</v>
      </c>
      <c r="G610" s="14" t="s">
        <v>1214</v>
      </c>
      <c r="H610" s="14" t="s">
        <v>18</v>
      </c>
      <c r="I610">
        <v>224.83</v>
      </c>
      <c r="J610" s="14" t="s">
        <v>28</v>
      </c>
    </row>
    <row r="611" spans="1:10" x14ac:dyDescent="0.25">
      <c r="A611">
        <v>1093</v>
      </c>
      <c r="B611" s="14" t="s">
        <v>1215</v>
      </c>
      <c r="C611">
        <v>72</v>
      </c>
      <c r="D611" s="14" t="s">
        <v>50</v>
      </c>
      <c r="E611" s="1">
        <v>45828</v>
      </c>
      <c r="F611" s="1">
        <v>45553</v>
      </c>
      <c r="G611" s="14" t="s">
        <v>1216</v>
      </c>
      <c r="H611" s="14" t="s">
        <v>21</v>
      </c>
      <c r="I611">
        <v>194.55</v>
      </c>
      <c r="J611" s="14" t="s">
        <v>28</v>
      </c>
    </row>
    <row r="612" spans="1:10" x14ac:dyDescent="0.25">
      <c r="A612">
        <v>1008</v>
      </c>
      <c r="B612" s="14" t="s">
        <v>1217</v>
      </c>
      <c r="C612">
        <v>82</v>
      </c>
      <c r="D612" s="14" t="s">
        <v>50</v>
      </c>
      <c r="E612" s="1">
        <v>46084</v>
      </c>
      <c r="F612" s="1">
        <v>45599</v>
      </c>
      <c r="G612" s="14" t="s">
        <v>1218</v>
      </c>
      <c r="H612" s="14" t="s">
        <v>12</v>
      </c>
      <c r="I612">
        <v>207.23</v>
      </c>
      <c r="J612" s="14" t="s">
        <v>22</v>
      </c>
    </row>
    <row r="613" spans="1:10" x14ac:dyDescent="0.25">
      <c r="A613">
        <v>1087</v>
      </c>
      <c r="B613" s="14" t="s">
        <v>1219</v>
      </c>
      <c r="C613">
        <v>69</v>
      </c>
      <c r="D613" s="14" t="s">
        <v>30</v>
      </c>
      <c r="E613" s="1">
        <v>45932</v>
      </c>
      <c r="F613" s="1">
        <v>45711</v>
      </c>
      <c r="G613" s="14" t="s">
        <v>1220</v>
      </c>
      <c r="H613" s="14" t="s">
        <v>12</v>
      </c>
      <c r="I613">
        <v>464.96</v>
      </c>
      <c r="J613" s="14" t="s">
        <v>28</v>
      </c>
    </row>
    <row r="614" spans="1:10" x14ac:dyDescent="0.25">
      <c r="A614">
        <v>1008</v>
      </c>
      <c r="B614" s="14" t="s">
        <v>1221</v>
      </c>
      <c r="C614">
        <v>30</v>
      </c>
      <c r="D614" s="14" t="s">
        <v>50</v>
      </c>
      <c r="E614" s="1">
        <v>46074</v>
      </c>
      <c r="F614" s="1">
        <v>45800</v>
      </c>
      <c r="G614" s="14" t="s">
        <v>1222</v>
      </c>
      <c r="H614" s="14" t="s">
        <v>12</v>
      </c>
      <c r="I614">
        <v>316.64</v>
      </c>
      <c r="J614" s="14" t="s">
        <v>28</v>
      </c>
    </row>
    <row r="615" spans="1:10" x14ac:dyDescent="0.25">
      <c r="A615">
        <v>1090</v>
      </c>
      <c r="B615" s="14" t="s">
        <v>1223</v>
      </c>
      <c r="C615">
        <v>30</v>
      </c>
      <c r="D615" s="14" t="s">
        <v>30</v>
      </c>
      <c r="E615" s="1">
        <v>45801</v>
      </c>
      <c r="F615" s="1">
        <v>45478</v>
      </c>
      <c r="G615" s="14" t="s">
        <v>1224</v>
      </c>
      <c r="H615" s="14" t="s">
        <v>18</v>
      </c>
      <c r="I615">
        <v>139.49</v>
      </c>
      <c r="J615" s="14" t="s">
        <v>28</v>
      </c>
    </row>
    <row r="616" spans="1:10" x14ac:dyDescent="0.25">
      <c r="A616">
        <v>1047</v>
      </c>
      <c r="B616" s="14" t="s">
        <v>1225</v>
      </c>
      <c r="C616">
        <v>39</v>
      </c>
      <c r="D616" s="14" t="s">
        <v>50</v>
      </c>
      <c r="E616" s="1">
        <v>46107</v>
      </c>
      <c r="F616" s="1">
        <v>45893</v>
      </c>
      <c r="G616" s="14" t="s">
        <v>1226</v>
      </c>
      <c r="H616" s="14" t="s">
        <v>18</v>
      </c>
      <c r="I616">
        <v>447.23</v>
      </c>
      <c r="J616" s="14" t="s">
        <v>22</v>
      </c>
    </row>
    <row r="617" spans="1:10" x14ac:dyDescent="0.25">
      <c r="A617">
        <v>1077</v>
      </c>
      <c r="B617" s="14" t="s">
        <v>1227</v>
      </c>
      <c r="C617">
        <v>78</v>
      </c>
      <c r="D617" s="14" t="s">
        <v>30</v>
      </c>
      <c r="E617" s="1">
        <v>46010</v>
      </c>
      <c r="F617" s="1">
        <v>45915</v>
      </c>
      <c r="G617" s="14" t="s">
        <v>1228</v>
      </c>
      <c r="H617" s="14" t="s">
        <v>15</v>
      </c>
      <c r="I617">
        <v>320.38</v>
      </c>
      <c r="J617" s="14" t="s">
        <v>28</v>
      </c>
    </row>
    <row r="618" spans="1:10" x14ac:dyDescent="0.25">
      <c r="A618">
        <v>1055</v>
      </c>
      <c r="B618" s="14" t="s">
        <v>1229</v>
      </c>
      <c r="C618">
        <v>70</v>
      </c>
      <c r="D618" s="14" t="s">
        <v>30</v>
      </c>
      <c r="E618" s="1">
        <v>45895</v>
      </c>
      <c r="F618" s="1">
        <v>45645</v>
      </c>
      <c r="G618" s="14" t="s">
        <v>1230</v>
      </c>
      <c r="H618" s="14" t="s">
        <v>15</v>
      </c>
      <c r="I618">
        <v>212.66</v>
      </c>
      <c r="J618" s="14" t="s">
        <v>22</v>
      </c>
    </row>
    <row r="619" spans="1:10" x14ac:dyDescent="0.25">
      <c r="A619">
        <v>1073</v>
      </c>
      <c r="B619" s="14" t="s">
        <v>1231</v>
      </c>
      <c r="C619">
        <v>50</v>
      </c>
      <c r="D619" s="14" t="s">
        <v>24</v>
      </c>
      <c r="E619" s="1">
        <v>46041</v>
      </c>
      <c r="F619" s="1">
        <v>45383</v>
      </c>
      <c r="G619" s="14" t="s">
        <v>1232</v>
      </c>
      <c r="H619" s="14" t="s">
        <v>18</v>
      </c>
      <c r="I619">
        <v>390.86</v>
      </c>
      <c r="J619" s="14" t="s">
        <v>22</v>
      </c>
    </row>
    <row r="620" spans="1:10" x14ac:dyDescent="0.25">
      <c r="A620">
        <v>1016</v>
      </c>
      <c r="B620" s="14" t="s">
        <v>1233</v>
      </c>
      <c r="C620">
        <v>40</v>
      </c>
      <c r="D620" s="14" t="s">
        <v>24</v>
      </c>
      <c r="E620" s="1">
        <v>45807</v>
      </c>
      <c r="F620" s="1">
        <v>45800</v>
      </c>
      <c r="G620" s="14" t="s">
        <v>1234</v>
      </c>
      <c r="H620" s="14" t="s">
        <v>15</v>
      </c>
      <c r="I620">
        <v>136.22999999999999</v>
      </c>
      <c r="J620" s="14" t="s">
        <v>28</v>
      </c>
    </row>
    <row r="621" spans="1:10" x14ac:dyDescent="0.25">
      <c r="A621">
        <v>1018</v>
      </c>
      <c r="B621" s="14" t="s">
        <v>1235</v>
      </c>
      <c r="C621">
        <v>56</v>
      </c>
      <c r="D621" s="14" t="s">
        <v>30</v>
      </c>
      <c r="E621" s="1">
        <v>46081</v>
      </c>
      <c r="F621" s="1">
        <v>45696</v>
      </c>
      <c r="G621" s="14" t="s">
        <v>1236</v>
      </c>
      <c r="H621" s="14" t="s">
        <v>12</v>
      </c>
      <c r="I621">
        <v>68.8</v>
      </c>
      <c r="J621" s="14" t="s">
        <v>28</v>
      </c>
    </row>
    <row r="622" spans="1:10" x14ac:dyDescent="0.25">
      <c r="A622">
        <v>1035</v>
      </c>
      <c r="B622" s="14" t="s">
        <v>1237</v>
      </c>
      <c r="C622">
        <v>90</v>
      </c>
      <c r="D622" s="14" t="s">
        <v>30</v>
      </c>
      <c r="E622" s="1">
        <v>45876</v>
      </c>
      <c r="F622" s="1">
        <v>45649</v>
      </c>
      <c r="G622" s="14" t="s">
        <v>1238</v>
      </c>
      <c r="H622" s="14" t="s">
        <v>18</v>
      </c>
      <c r="I622">
        <v>79.41</v>
      </c>
      <c r="J622" s="14" t="s">
        <v>22</v>
      </c>
    </row>
    <row r="623" spans="1:10" x14ac:dyDescent="0.25">
      <c r="A623">
        <v>1032</v>
      </c>
      <c r="B623" s="14" t="s">
        <v>1239</v>
      </c>
      <c r="C623">
        <v>89</v>
      </c>
      <c r="D623" s="14" t="s">
        <v>50</v>
      </c>
      <c r="E623" s="1">
        <v>46071</v>
      </c>
      <c r="F623" s="1">
        <v>45599</v>
      </c>
      <c r="G623" s="14" t="s">
        <v>1240</v>
      </c>
      <c r="H623" s="14" t="s">
        <v>15</v>
      </c>
      <c r="I623">
        <v>224.61</v>
      </c>
      <c r="J623" s="14" t="s">
        <v>22</v>
      </c>
    </row>
    <row r="624" spans="1:10" x14ac:dyDescent="0.25">
      <c r="A624">
        <v>1024</v>
      </c>
      <c r="B624" s="14" t="s">
        <v>1241</v>
      </c>
      <c r="C624">
        <v>20</v>
      </c>
      <c r="D624" s="14" t="s">
        <v>50</v>
      </c>
      <c r="E624" s="1">
        <v>45977</v>
      </c>
      <c r="F624" s="1">
        <v>45615</v>
      </c>
      <c r="G624" s="14" t="s">
        <v>1242</v>
      </c>
      <c r="H624" s="14" t="s">
        <v>21</v>
      </c>
      <c r="I624">
        <v>190.44</v>
      </c>
      <c r="J624" s="14" t="s">
        <v>22</v>
      </c>
    </row>
    <row r="625" spans="1:10" x14ac:dyDescent="0.25">
      <c r="A625">
        <v>1044</v>
      </c>
      <c r="B625" s="14" t="s">
        <v>1243</v>
      </c>
      <c r="C625">
        <v>25</v>
      </c>
      <c r="D625" s="14" t="s">
        <v>30</v>
      </c>
      <c r="E625" s="1">
        <v>46089</v>
      </c>
      <c r="F625" s="1">
        <v>45972</v>
      </c>
      <c r="G625" s="14" t="s">
        <v>1244</v>
      </c>
      <c r="H625" s="14" t="s">
        <v>21</v>
      </c>
      <c r="I625">
        <v>316.64</v>
      </c>
      <c r="J625" s="14" t="s">
        <v>28</v>
      </c>
    </row>
    <row r="626" spans="1:10" x14ac:dyDescent="0.25">
      <c r="A626">
        <v>1085</v>
      </c>
      <c r="B626" s="14" t="s">
        <v>1245</v>
      </c>
      <c r="C626">
        <v>67</v>
      </c>
      <c r="D626" s="14" t="s">
        <v>30</v>
      </c>
      <c r="E626" s="1">
        <v>45797</v>
      </c>
      <c r="F626" s="1">
        <v>45736</v>
      </c>
      <c r="G626" s="14" t="s">
        <v>1246</v>
      </c>
      <c r="H626" s="14" t="s">
        <v>15</v>
      </c>
      <c r="I626">
        <v>308.58999999999997</v>
      </c>
      <c r="J626" s="14" t="s">
        <v>22</v>
      </c>
    </row>
    <row r="627" spans="1:10" x14ac:dyDescent="0.25">
      <c r="A627">
        <v>1089</v>
      </c>
      <c r="B627" s="14" t="s">
        <v>1247</v>
      </c>
      <c r="C627">
        <v>75</v>
      </c>
      <c r="D627" s="14" t="s">
        <v>30</v>
      </c>
      <c r="E627" s="1">
        <v>45991</v>
      </c>
      <c r="F627" s="1">
        <v>45813</v>
      </c>
      <c r="G627" s="14" t="s">
        <v>1248</v>
      </c>
      <c r="H627" s="14" t="s">
        <v>12</v>
      </c>
      <c r="I627">
        <v>414.58</v>
      </c>
      <c r="J627" s="14" t="s">
        <v>28</v>
      </c>
    </row>
    <row r="628" spans="1:10" x14ac:dyDescent="0.25">
      <c r="A628">
        <v>1064</v>
      </c>
      <c r="B628" s="14" t="s">
        <v>1249</v>
      </c>
      <c r="C628">
        <v>54</v>
      </c>
      <c r="D628" s="14" t="s">
        <v>50</v>
      </c>
      <c r="E628" s="1">
        <v>45849</v>
      </c>
      <c r="F628" s="1">
        <v>45468</v>
      </c>
      <c r="G628" s="14" t="s">
        <v>1250</v>
      </c>
      <c r="H628" s="14" t="s">
        <v>12</v>
      </c>
      <c r="I628">
        <v>338.24</v>
      </c>
      <c r="J628" s="14" t="s">
        <v>28</v>
      </c>
    </row>
    <row r="629" spans="1:10" x14ac:dyDescent="0.25">
      <c r="A629">
        <v>1077</v>
      </c>
      <c r="B629" s="14" t="s">
        <v>1251</v>
      </c>
      <c r="C629">
        <v>57</v>
      </c>
      <c r="D629" s="14" t="s">
        <v>30</v>
      </c>
      <c r="E629" s="1">
        <v>45995</v>
      </c>
      <c r="F629" s="1">
        <v>45577</v>
      </c>
      <c r="G629" s="14" t="s">
        <v>1252</v>
      </c>
      <c r="H629" s="14" t="s">
        <v>18</v>
      </c>
      <c r="I629">
        <v>53.35</v>
      </c>
      <c r="J629" s="14" t="s">
        <v>22</v>
      </c>
    </row>
    <row r="630" spans="1:10" x14ac:dyDescent="0.25">
      <c r="A630">
        <v>1092</v>
      </c>
      <c r="B630" s="14" t="s">
        <v>1253</v>
      </c>
      <c r="C630">
        <v>89</v>
      </c>
      <c r="D630" s="14" t="s">
        <v>30</v>
      </c>
      <c r="E630" s="1">
        <v>45840</v>
      </c>
      <c r="F630" s="1">
        <v>45755</v>
      </c>
      <c r="G630" s="14" t="s">
        <v>1254</v>
      </c>
      <c r="H630" s="14" t="s">
        <v>21</v>
      </c>
      <c r="I630">
        <v>186.43</v>
      </c>
      <c r="J630" s="14" t="s">
        <v>22</v>
      </c>
    </row>
    <row r="631" spans="1:10" x14ac:dyDescent="0.25">
      <c r="A631">
        <v>1084</v>
      </c>
      <c r="B631" s="14" t="s">
        <v>1255</v>
      </c>
      <c r="C631">
        <v>42</v>
      </c>
      <c r="D631" s="14" t="s">
        <v>30</v>
      </c>
      <c r="E631" s="1">
        <v>45796</v>
      </c>
      <c r="F631" s="1">
        <v>45603</v>
      </c>
      <c r="G631" s="14" t="s">
        <v>1256</v>
      </c>
      <c r="H631" s="14" t="s">
        <v>21</v>
      </c>
      <c r="I631">
        <v>268.93</v>
      </c>
      <c r="J631" s="14" t="s">
        <v>22</v>
      </c>
    </row>
    <row r="632" spans="1:10" x14ac:dyDescent="0.25">
      <c r="A632">
        <v>1044</v>
      </c>
      <c r="B632" s="14" t="s">
        <v>1257</v>
      </c>
      <c r="C632">
        <v>79</v>
      </c>
      <c r="D632" s="14" t="s">
        <v>30</v>
      </c>
      <c r="E632" s="1">
        <v>46014</v>
      </c>
      <c r="F632" s="1">
        <v>45707</v>
      </c>
      <c r="G632" s="14" t="s">
        <v>1258</v>
      </c>
      <c r="H632" s="14" t="s">
        <v>21</v>
      </c>
      <c r="I632">
        <v>322</v>
      </c>
      <c r="J632" s="14" t="s">
        <v>28</v>
      </c>
    </row>
    <row r="633" spans="1:10" x14ac:dyDescent="0.25">
      <c r="A633">
        <v>1080</v>
      </c>
      <c r="B633" s="14" t="s">
        <v>1259</v>
      </c>
      <c r="C633">
        <v>80</v>
      </c>
      <c r="D633" s="14" t="s">
        <v>50</v>
      </c>
      <c r="E633" s="1">
        <v>46026</v>
      </c>
      <c r="F633" s="1">
        <v>45948</v>
      </c>
      <c r="G633" s="14" t="s">
        <v>1260</v>
      </c>
      <c r="H633" s="14" t="s">
        <v>21</v>
      </c>
      <c r="I633">
        <v>498.84</v>
      </c>
      <c r="J633" s="14" t="s">
        <v>22</v>
      </c>
    </row>
    <row r="634" spans="1:10" x14ac:dyDescent="0.25">
      <c r="A634">
        <v>1097</v>
      </c>
      <c r="B634" s="14" t="s">
        <v>1261</v>
      </c>
      <c r="C634">
        <v>86</v>
      </c>
      <c r="D634" s="14" t="s">
        <v>24</v>
      </c>
      <c r="E634" s="1">
        <v>45778</v>
      </c>
      <c r="F634" s="1">
        <v>45523</v>
      </c>
      <c r="G634" s="14" t="s">
        <v>1262</v>
      </c>
      <c r="H634" s="14" t="s">
        <v>12</v>
      </c>
      <c r="I634">
        <v>415.78</v>
      </c>
      <c r="J634" s="14" t="s">
        <v>28</v>
      </c>
    </row>
    <row r="635" spans="1:10" x14ac:dyDescent="0.25">
      <c r="A635">
        <v>1035</v>
      </c>
      <c r="B635" s="14" t="s">
        <v>1263</v>
      </c>
      <c r="C635">
        <v>75</v>
      </c>
      <c r="D635" s="14" t="s">
        <v>50</v>
      </c>
      <c r="E635" s="1">
        <v>45982</v>
      </c>
      <c r="F635" s="1">
        <v>45659</v>
      </c>
      <c r="G635" s="14" t="s">
        <v>1264</v>
      </c>
      <c r="H635" s="14" t="s">
        <v>21</v>
      </c>
      <c r="I635">
        <v>274.5</v>
      </c>
      <c r="J635" s="14" t="s">
        <v>28</v>
      </c>
    </row>
    <row r="636" spans="1:10" x14ac:dyDescent="0.25">
      <c r="A636">
        <v>1069</v>
      </c>
      <c r="B636" s="14" t="s">
        <v>1265</v>
      </c>
      <c r="C636">
        <v>23</v>
      </c>
      <c r="D636" s="14" t="s">
        <v>30</v>
      </c>
      <c r="E636" s="1">
        <v>45944</v>
      </c>
      <c r="F636" s="1">
        <v>45696</v>
      </c>
      <c r="G636" s="14" t="s">
        <v>1266</v>
      </c>
      <c r="H636" s="14" t="s">
        <v>18</v>
      </c>
      <c r="I636">
        <v>368.24</v>
      </c>
      <c r="J636" s="14" t="s">
        <v>28</v>
      </c>
    </row>
    <row r="637" spans="1:10" x14ac:dyDescent="0.25">
      <c r="A637">
        <v>1016</v>
      </c>
      <c r="B637" s="14" t="s">
        <v>1267</v>
      </c>
      <c r="C637">
        <v>46</v>
      </c>
      <c r="D637" s="14" t="s">
        <v>50</v>
      </c>
      <c r="E637" s="1">
        <v>45826</v>
      </c>
      <c r="F637" s="1">
        <v>45584</v>
      </c>
      <c r="G637" s="14" t="s">
        <v>1268</v>
      </c>
      <c r="H637" s="14" t="s">
        <v>15</v>
      </c>
      <c r="I637">
        <v>353.07</v>
      </c>
      <c r="J637" s="14" t="s">
        <v>28</v>
      </c>
    </row>
    <row r="638" spans="1:10" x14ac:dyDescent="0.25">
      <c r="A638">
        <v>1098</v>
      </c>
      <c r="B638" s="14" t="s">
        <v>1269</v>
      </c>
      <c r="C638">
        <v>29</v>
      </c>
      <c r="D638" s="14" t="s">
        <v>30</v>
      </c>
      <c r="E638" s="1">
        <v>45970</v>
      </c>
      <c r="F638" s="1">
        <v>45854</v>
      </c>
      <c r="G638" s="14" t="s">
        <v>1270</v>
      </c>
      <c r="H638" s="14" t="s">
        <v>12</v>
      </c>
      <c r="I638">
        <v>358.68</v>
      </c>
      <c r="J638" s="14" t="s">
        <v>22</v>
      </c>
    </row>
    <row r="639" spans="1:10" x14ac:dyDescent="0.25">
      <c r="A639">
        <v>1012</v>
      </c>
      <c r="B639" s="14" t="s">
        <v>1271</v>
      </c>
      <c r="C639">
        <v>38</v>
      </c>
      <c r="D639" s="14" t="s">
        <v>50</v>
      </c>
      <c r="E639" s="1">
        <v>46054</v>
      </c>
      <c r="F639" s="1">
        <v>45398</v>
      </c>
      <c r="G639" s="14" t="s">
        <v>1272</v>
      </c>
      <c r="H639" s="14" t="s">
        <v>15</v>
      </c>
      <c r="I639">
        <v>427.54</v>
      </c>
      <c r="J639" s="14" t="s">
        <v>22</v>
      </c>
    </row>
    <row r="640" spans="1:10" x14ac:dyDescent="0.25">
      <c r="A640">
        <v>1100</v>
      </c>
      <c r="B640" s="14" t="s">
        <v>1273</v>
      </c>
      <c r="C640">
        <v>60</v>
      </c>
      <c r="D640" s="14" t="s">
        <v>30</v>
      </c>
      <c r="E640" s="1">
        <v>45907</v>
      </c>
      <c r="F640" s="1">
        <v>45395</v>
      </c>
      <c r="G640" s="14" t="s">
        <v>1274</v>
      </c>
      <c r="H640" s="14" t="s">
        <v>15</v>
      </c>
      <c r="I640">
        <v>433.05</v>
      </c>
      <c r="J640" s="14" t="s">
        <v>28</v>
      </c>
    </row>
    <row r="641" spans="1:10" x14ac:dyDescent="0.25">
      <c r="A641">
        <v>1021</v>
      </c>
      <c r="B641" s="14" t="s">
        <v>1275</v>
      </c>
      <c r="C641">
        <v>37</v>
      </c>
      <c r="D641" s="14" t="s">
        <v>30</v>
      </c>
      <c r="E641" s="1">
        <v>45918</v>
      </c>
      <c r="F641" s="1">
        <v>45613</v>
      </c>
      <c r="G641" s="14" t="s">
        <v>1276</v>
      </c>
      <c r="H641" s="14" t="s">
        <v>12</v>
      </c>
      <c r="I641">
        <v>436.91</v>
      </c>
      <c r="J641" s="14" t="s">
        <v>22</v>
      </c>
    </row>
    <row r="642" spans="1:10" x14ac:dyDescent="0.25">
      <c r="A642">
        <v>1078</v>
      </c>
      <c r="B642" s="14" t="s">
        <v>1277</v>
      </c>
      <c r="C642">
        <v>82</v>
      </c>
      <c r="D642" s="14" t="s">
        <v>50</v>
      </c>
      <c r="E642" s="1">
        <v>46046</v>
      </c>
      <c r="F642" s="1">
        <v>45568</v>
      </c>
      <c r="G642" s="14" t="s">
        <v>1278</v>
      </c>
      <c r="H642" s="14" t="s">
        <v>15</v>
      </c>
      <c r="I642">
        <v>252.53</v>
      </c>
      <c r="J642" s="14" t="s">
        <v>22</v>
      </c>
    </row>
    <row r="643" spans="1:10" x14ac:dyDescent="0.25">
      <c r="A643">
        <v>1094</v>
      </c>
      <c r="B643" s="14" t="s">
        <v>1279</v>
      </c>
      <c r="C643">
        <v>60</v>
      </c>
      <c r="D643" s="14" t="s">
        <v>50</v>
      </c>
      <c r="E643" s="1">
        <v>45888</v>
      </c>
      <c r="F643" s="1">
        <v>45680</v>
      </c>
      <c r="G643" s="14" t="s">
        <v>1280</v>
      </c>
      <c r="H643" s="14" t="s">
        <v>18</v>
      </c>
      <c r="I643">
        <v>421.74</v>
      </c>
      <c r="J643" s="14" t="s">
        <v>28</v>
      </c>
    </row>
    <row r="644" spans="1:10" x14ac:dyDescent="0.25">
      <c r="A644">
        <v>1022</v>
      </c>
      <c r="B644" s="14" t="s">
        <v>1281</v>
      </c>
      <c r="C644">
        <v>83</v>
      </c>
      <c r="D644" s="14" t="s">
        <v>50</v>
      </c>
      <c r="E644" s="1">
        <v>45915</v>
      </c>
      <c r="F644" s="1">
        <v>45649</v>
      </c>
      <c r="G644" s="14" t="s">
        <v>1282</v>
      </c>
      <c r="H644" s="14" t="s">
        <v>15</v>
      </c>
      <c r="I644">
        <v>175.6</v>
      </c>
      <c r="J644" s="14" t="s">
        <v>22</v>
      </c>
    </row>
    <row r="645" spans="1:10" x14ac:dyDescent="0.25">
      <c r="A645">
        <v>1056</v>
      </c>
      <c r="B645" s="14" t="s">
        <v>1283</v>
      </c>
      <c r="C645">
        <v>82</v>
      </c>
      <c r="D645" s="14" t="s">
        <v>50</v>
      </c>
      <c r="E645" s="1">
        <v>46026</v>
      </c>
      <c r="F645" s="1">
        <v>45763</v>
      </c>
      <c r="G645" s="14" t="s">
        <v>1284</v>
      </c>
      <c r="H645" s="14" t="s">
        <v>18</v>
      </c>
      <c r="I645">
        <v>203.05</v>
      </c>
      <c r="J645" s="14" t="s">
        <v>22</v>
      </c>
    </row>
    <row r="646" spans="1:10" x14ac:dyDescent="0.25">
      <c r="A646">
        <v>1066</v>
      </c>
      <c r="B646" s="14" t="s">
        <v>1285</v>
      </c>
      <c r="C646">
        <v>76</v>
      </c>
      <c r="D646" s="14" t="s">
        <v>50</v>
      </c>
      <c r="E646" s="1">
        <v>45961</v>
      </c>
      <c r="F646" s="1">
        <v>45470</v>
      </c>
      <c r="G646" s="14" t="s">
        <v>1286</v>
      </c>
      <c r="H646" s="14" t="s">
        <v>21</v>
      </c>
      <c r="I646">
        <v>123.13</v>
      </c>
      <c r="J646" s="14" t="s">
        <v>28</v>
      </c>
    </row>
    <row r="647" spans="1:10" x14ac:dyDescent="0.25">
      <c r="A647">
        <v>1088</v>
      </c>
      <c r="B647" s="14" t="s">
        <v>1287</v>
      </c>
      <c r="C647">
        <v>79</v>
      </c>
      <c r="D647" s="14" t="s">
        <v>30</v>
      </c>
      <c r="E647" s="1">
        <v>45982</v>
      </c>
      <c r="F647" s="1">
        <v>45911</v>
      </c>
      <c r="G647" s="14" t="s">
        <v>1288</v>
      </c>
      <c r="H647" s="14" t="s">
        <v>15</v>
      </c>
      <c r="I647">
        <v>337.15</v>
      </c>
      <c r="J647" s="14" t="s">
        <v>22</v>
      </c>
    </row>
    <row r="648" spans="1:10" x14ac:dyDescent="0.25">
      <c r="A648">
        <v>1001</v>
      </c>
      <c r="B648" s="14" t="s">
        <v>1289</v>
      </c>
      <c r="C648">
        <v>27</v>
      </c>
      <c r="D648" s="14" t="s">
        <v>30</v>
      </c>
      <c r="E648" s="1">
        <v>45887</v>
      </c>
      <c r="F648" s="1">
        <v>45800</v>
      </c>
      <c r="G648" s="14" t="s">
        <v>1290</v>
      </c>
      <c r="H648" s="14" t="s">
        <v>18</v>
      </c>
      <c r="I648">
        <v>180.76</v>
      </c>
      <c r="J648" s="14" t="s">
        <v>22</v>
      </c>
    </row>
    <row r="649" spans="1:10" x14ac:dyDescent="0.25">
      <c r="A649">
        <v>1076</v>
      </c>
      <c r="B649" s="14" t="s">
        <v>1291</v>
      </c>
      <c r="C649">
        <v>19</v>
      </c>
      <c r="D649" s="14" t="s">
        <v>30</v>
      </c>
      <c r="E649" s="1">
        <v>46075</v>
      </c>
      <c r="F649" s="1">
        <v>45820</v>
      </c>
      <c r="G649" s="14" t="s">
        <v>1292</v>
      </c>
      <c r="H649" s="14" t="s">
        <v>15</v>
      </c>
      <c r="I649">
        <v>445.97</v>
      </c>
      <c r="J649" s="14" t="s">
        <v>28</v>
      </c>
    </row>
    <row r="650" spans="1:10" x14ac:dyDescent="0.25">
      <c r="A650">
        <v>1019</v>
      </c>
      <c r="B650" s="14" t="s">
        <v>1293</v>
      </c>
      <c r="C650">
        <v>41</v>
      </c>
      <c r="D650" s="14" t="s">
        <v>50</v>
      </c>
      <c r="E650" s="1">
        <v>45961</v>
      </c>
      <c r="F650" s="1">
        <v>45483</v>
      </c>
      <c r="G650" s="14" t="s">
        <v>1294</v>
      </c>
      <c r="H650" s="14" t="s">
        <v>18</v>
      </c>
      <c r="I650">
        <v>236.58</v>
      </c>
      <c r="J650" s="14" t="s">
        <v>22</v>
      </c>
    </row>
    <row r="651" spans="1:10" x14ac:dyDescent="0.25">
      <c r="A651">
        <v>1005</v>
      </c>
      <c r="B651" s="14" t="s">
        <v>1295</v>
      </c>
      <c r="C651">
        <v>55</v>
      </c>
      <c r="D651" s="14" t="s">
        <v>30</v>
      </c>
      <c r="E651" s="1">
        <v>45876</v>
      </c>
      <c r="F651" s="1">
        <v>45388</v>
      </c>
      <c r="G651" s="14" t="s">
        <v>1296</v>
      </c>
      <c r="H651" s="14" t="s">
        <v>12</v>
      </c>
      <c r="I651">
        <v>125.33</v>
      </c>
      <c r="J651" s="14" t="s">
        <v>22</v>
      </c>
    </row>
    <row r="652" spans="1:10" x14ac:dyDescent="0.25">
      <c r="A652">
        <v>1030</v>
      </c>
      <c r="B652" s="14" t="s">
        <v>1297</v>
      </c>
      <c r="C652">
        <v>59</v>
      </c>
      <c r="D652" s="14" t="s">
        <v>50</v>
      </c>
      <c r="E652" s="1">
        <v>45991</v>
      </c>
      <c r="F652" s="1">
        <v>45870</v>
      </c>
      <c r="G652" s="14" t="s">
        <v>1298</v>
      </c>
      <c r="H652" s="14" t="s">
        <v>15</v>
      </c>
      <c r="I652">
        <v>394.58</v>
      </c>
      <c r="J652" s="14" t="s">
        <v>28</v>
      </c>
    </row>
    <row r="653" spans="1:10" x14ac:dyDescent="0.25">
      <c r="A653">
        <v>1088</v>
      </c>
      <c r="B653" s="14" t="s">
        <v>1299</v>
      </c>
      <c r="C653">
        <v>55</v>
      </c>
      <c r="D653" s="14" t="s">
        <v>30</v>
      </c>
      <c r="E653" s="1">
        <v>45983</v>
      </c>
      <c r="F653" s="1">
        <v>45544</v>
      </c>
      <c r="G653" s="14" t="s">
        <v>1300</v>
      </c>
      <c r="H653" s="14" t="s">
        <v>15</v>
      </c>
      <c r="I653">
        <v>96.12</v>
      </c>
      <c r="J653" s="14" t="s">
        <v>22</v>
      </c>
    </row>
    <row r="654" spans="1:10" x14ac:dyDescent="0.25">
      <c r="A654">
        <v>1018</v>
      </c>
      <c r="B654" s="14" t="s">
        <v>1301</v>
      </c>
      <c r="C654">
        <v>68</v>
      </c>
      <c r="D654" s="14" t="s">
        <v>50</v>
      </c>
      <c r="E654" s="1">
        <v>45769</v>
      </c>
      <c r="F654" s="1">
        <v>45750</v>
      </c>
      <c r="G654" s="14" t="s">
        <v>1302</v>
      </c>
      <c r="H654" s="14" t="s">
        <v>18</v>
      </c>
      <c r="I654">
        <v>305.01</v>
      </c>
      <c r="J654" s="14" t="s">
        <v>22</v>
      </c>
    </row>
    <row r="655" spans="1:10" x14ac:dyDescent="0.25">
      <c r="A655">
        <v>1092</v>
      </c>
      <c r="B655" s="14" t="s">
        <v>1303</v>
      </c>
      <c r="C655">
        <v>68</v>
      </c>
      <c r="D655" s="14" t="s">
        <v>30</v>
      </c>
      <c r="E655" s="1">
        <v>45831</v>
      </c>
      <c r="F655" s="1">
        <v>45589</v>
      </c>
      <c r="G655" s="14" t="s">
        <v>1304</v>
      </c>
      <c r="H655" s="14" t="s">
        <v>12</v>
      </c>
      <c r="I655">
        <v>169.01</v>
      </c>
      <c r="J655" s="14" t="s">
        <v>22</v>
      </c>
    </row>
    <row r="656" spans="1:10" x14ac:dyDescent="0.25">
      <c r="A656">
        <v>1030</v>
      </c>
      <c r="B656" s="14" t="s">
        <v>1305</v>
      </c>
      <c r="C656">
        <v>39</v>
      </c>
      <c r="D656" s="14" t="s">
        <v>50</v>
      </c>
      <c r="E656" s="1">
        <v>45979</v>
      </c>
      <c r="F656" s="1">
        <v>45965</v>
      </c>
      <c r="G656" s="14" t="s">
        <v>1306</v>
      </c>
      <c r="H656" s="14" t="s">
        <v>18</v>
      </c>
      <c r="I656">
        <v>304.86</v>
      </c>
      <c r="J656" s="14" t="s">
        <v>22</v>
      </c>
    </row>
    <row r="657" spans="1:10" x14ac:dyDescent="0.25">
      <c r="A657">
        <v>1089</v>
      </c>
      <c r="B657" s="14" t="s">
        <v>1307</v>
      </c>
      <c r="C657">
        <v>63</v>
      </c>
      <c r="D657" s="14" t="s">
        <v>50</v>
      </c>
      <c r="E657" s="1">
        <v>45970</v>
      </c>
      <c r="F657" s="1">
        <v>45634</v>
      </c>
      <c r="G657" s="14" t="s">
        <v>1308</v>
      </c>
      <c r="H657" s="14" t="s">
        <v>18</v>
      </c>
      <c r="I657">
        <v>426.51</v>
      </c>
      <c r="J657" s="14" t="s">
        <v>28</v>
      </c>
    </row>
    <row r="658" spans="1:10" x14ac:dyDescent="0.25">
      <c r="A658">
        <v>1043</v>
      </c>
      <c r="B658" s="14" t="s">
        <v>1309</v>
      </c>
      <c r="C658">
        <v>82</v>
      </c>
      <c r="D658" s="14" t="s">
        <v>30</v>
      </c>
      <c r="E658" s="1">
        <v>45800</v>
      </c>
      <c r="F658" s="1">
        <v>45583</v>
      </c>
      <c r="G658" s="14" t="s">
        <v>1310</v>
      </c>
      <c r="H658" s="14" t="s">
        <v>12</v>
      </c>
      <c r="I658">
        <v>215.76</v>
      </c>
      <c r="J658" s="14" t="s">
        <v>22</v>
      </c>
    </row>
    <row r="659" spans="1:10" x14ac:dyDescent="0.25">
      <c r="A659">
        <v>1021</v>
      </c>
      <c r="B659" s="14" t="s">
        <v>1311</v>
      </c>
      <c r="C659">
        <v>25</v>
      </c>
      <c r="D659" s="14" t="s">
        <v>30</v>
      </c>
      <c r="E659" s="1">
        <v>45931</v>
      </c>
      <c r="F659" s="1">
        <v>45536</v>
      </c>
      <c r="G659" s="14" t="s">
        <v>1312</v>
      </c>
      <c r="H659" s="14" t="s">
        <v>12</v>
      </c>
      <c r="I659">
        <v>184.11</v>
      </c>
      <c r="J659" s="14" t="s">
        <v>28</v>
      </c>
    </row>
    <row r="660" spans="1:10" x14ac:dyDescent="0.25">
      <c r="A660">
        <v>1086</v>
      </c>
      <c r="B660" s="14" t="s">
        <v>1313</v>
      </c>
      <c r="C660">
        <v>80</v>
      </c>
      <c r="D660" s="14" t="s">
        <v>30</v>
      </c>
      <c r="E660" s="1">
        <v>45985</v>
      </c>
      <c r="F660" s="1">
        <v>45655</v>
      </c>
      <c r="G660" s="14" t="s">
        <v>1314</v>
      </c>
      <c r="H660" s="14" t="s">
        <v>12</v>
      </c>
      <c r="I660">
        <v>226.12</v>
      </c>
      <c r="J660" s="14" t="s">
        <v>28</v>
      </c>
    </row>
    <row r="661" spans="1:10" x14ac:dyDescent="0.25">
      <c r="A661">
        <v>1016</v>
      </c>
      <c r="B661" s="14" t="s">
        <v>1315</v>
      </c>
      <c r="C661">
        <v>53</v>
      </c>
      <c r="D661" s="14" t="s">
        <v>30</v>
      </c>
      <c r="E661" s="1">
        <v>45806</v>
      </c>
      <c r="F661" s="1">
        <v>45710</v>
      </c>
      <c r="G661" s="14" t="s">
        <v>1316</v>
      </c>
      <c r="H661" s="14" t="s">
        <v>15</v>
      </c>
      <c r="I661">
        <v>277.5</v>
      </c>
      <c r="J661" s="14" t="s">
        <v>28</v>
      </c>
    </row>
    <row r="662" spans="1:10" x14ac:dyDescent="0.25">
      <c r="A662">
        <v>1050</v>
      </c>
      <c r="B662" s="14" t="s">
        <v>1317</v>
      </c>
      <c r="C662">
        <v>83</v>
      </c>
      <c r="D662" s="14" t="s">
        <v>50</v>
      </c>
      <c r="E662" s="1">
        <v>45911</v>
      </c>
      <c r="F662" s="1">
        <v>45538</v>
      </c>
      <c r="G662" s="14" t="s">
        <v>1318</v>
      </c>
      <c r="H662" s="14" t="s">
        <v>18</v>
      </c>
      <c r="I662">
        <v>63.99</v>
      </c>
      <c r="J662" s="14" t="s">
        <v>22</v>
      </c>
    </row>
    <row r="663" spans="1:10" x14ac:dyDescent="0.25">
      <c r="A663">
        <v>1079</v>
      </c>
      <c r="B663" s="14" t="s">
        <v>1319</v>
      </c>
      <c r="C663">
        <v>85</v>
      </c>
      <c r="D663" s="14" t="s">
        <v>30</v>
      </c>
      <c r="E663" s="1">
        <v>46101</v>
      </c>
      <c r="F663" s="1">
        <v>45938</v>
      </c>
      <c r="G663" s="14" t="s">
        <v>1320</v>
      </c>
      <c r="H663" s="14" t="s">
        <v>15</v>
      </c>
      <c r="I663">
        <v>85.56</v>
      </c>
      <c r="J663" s="14" t="s">
        <v>22</v>
      </c>
    </row>
    <row r="664" spans="1:10" x14ac:dyDescent="0.25">
      <c r="A664">
        <v>1027</v>
      </c>
      <c r="B664" s="14" t="s">
        <v>1321</v>
      </c>
      <c r="C664">
        <v>26</v>
      </c>
      <c r="D664" s="14" t="s">
        <v>50</v>
      </c>
      <c r="E664" s="1">
        <v>46104</v>
      </c>
      <c r="F664" s="1">
        <v>45668</v>
      </c>
      <c r="G664" s="14" t="s">
        <v>1322</v>
      </c>
      <c r="H664" s="14" t="s">
        <v>15</v>
      </c>
      <c r="I664">
        <v>237.1</v>
      </c>
      <c r="J664" s="14" t="s">
        <v>22</v>
      </c>
    </row>
    <row r="665" spans="1:10" x14ac:dyDescent="0.25">
      <c r="A665">
        <v>1070</v>
      </c>
      <c r="B665" s="14" t="s">
        <v>1323</v>
      </c>
      <c r="C665">
        <v>30</v>
      </c>
      <c r="D665" s="14" t="s">
        <v>30</v>
      </c>
      <c r="E665" s="1">
        <v>45992</v>
      </c>
      <c r="F665" s="1">
        <v>45489</v>
      </c>
      <c r="G665" s="14" t="s">
        <v>1324</v>
      </c>
      <c r="H665" s="14" t="s">
        <v>15</v>
      </c>
      <c r="I665">
        <v>250.69</v>
      </c>
      <c r="J665" s="14" t="s">
        <v>22</v>
      </c>
    </row>
    <row r="666" spans="1:10" x14ac:dyDescent="0.25">
      <c r="A666">
        <v>1013</v>
      </c>
      <c r="B666" s="14" t="s">
        <v>1325</v>
      </c>
      <c r="C666">
        <v>21</v>
      </c>
      <c r="D666" s="14" t="s">
        <v>30</v>
      </c>
      <c r="E666" s="1">
        <v>46077</v>
      </c>
      <c r="F666" s="1">
        <v>45812</v>
      </c>
      <c r="G666" s="14" t="s">
        <v>1326</v>
      </c>
      <c r="H666" s="14" t="s">
        <v>18</v>
      </c>
      <c r="J666" s="14" t="s">
        <v>28</v>
      </c>
    </row>
    <row r="667" spans="1:10" x14ac:dyDescent="0.25">
      <c r="A667">
        <v>1027</v>
      </c>
      <c r="B667" s="14" t="s">
        <v>1327</v>
      </c>
      <c r="C667">
        <v>27</v>
      </c>
      <c r="D667" s="14" t="s">
        <v>30</v>
      </c>
      <c r="E667" s="1">
        <v>45842</v>
      </c>
      <c r="F667" s="1">
        <v>45733</v>
      </c>
      <c r="G667" s="14" t="s">
        <v>1328</v>
      </c>
      <c r="H667" s="14" t="s">
        <v>15</v>
      </c>
      <c r="I667">
        <v>421.57</v>
      </c>
      <c r="J667" s="14" t="s">
        <v>28</v>
      </c>
    </row>
    <row r="668" spans="1:10" x14ac:dyDescent="0.25">
      <c r="A668">
        <v>1087</v>
      </c>
      <c r="B668" s="14" t="s">
        <v>1329</v>
      </c>
      <c r="C668">
        <v>28</v>
      </c>
      <c r="D668" s="14" t="s">
        <v>30</v>
      </c>
      <c r="E668" s="1">
        <v>46104</v>
      </c>
      <c r="F668" s="1">
        <v>45383</v>
      </c>
      <c r="G668" s="14" t="s">
        <v>1330</v>
      </c>
      <c r="H668" s="14" t="s">
        <v>12</v>
      </c>
      <c r="I668">
        <v>77.790000000000006</v>
      </c>
      <c r="J668" s="14" t="s">
        <v>28</v>
      </c>
    </row>
    <row r="669" spans="1:10" x14ac:dyDescent="0.25">
      <c r="A669">
        <v>1081</v>
      </c>
      <c r="B669" s="14" t="s">
        <v>1331</v>
      </c>
      <c r="C669">
        <v>32</v>
      </c>
      <c r="D669" s="14" t="s">
        <v>30</v>
      </c>
      <c r="E669" s="1">
        <v>45844</v>
      </c>
      <c r="F669" s="1">
        <v>45757</v>
      </c>
      <c r="G669" s="14" t="s">
        <v>1332</v>
      </c>
      <c r="H669" s="14" t="s">
        <v>18</v>
      </c>
      <c r="I669">
        <v>156.32</v>
      </c>
      <c r="J669" s="14" t="s">
        <v>28</v>
      </c>
    </row>
    <row r="670" spans="1:10" x14ac:dyDescent="0.25">
      <c r="A670">
        <v>1053</v>
      </c>
      <c r="B670" s="14" t="s">
        <v>1333</v>
      </c>
      <c r="C670">
        <v>87</v>
      </c>
      <c r="D670" s="14" t="s">
        <v>50</v>
      </c>
      <c r="E670" s="1">
        <v>46060</v>
      </c>
      <c r="F670" s="1">
        <v>45484</v>
      </c>
      <c r="G670" s="14" t="s">
        <v>1334</v>
      </c>
      <c r="H670" s="14" t="s">
        <v>15</v>
      </c>
      <c r="I670">
        <v>249.74</v>
      </c>
      <c r="J670" s="14" t="s">
        <v>28</v>
      </c>
    </row>
    <row r="671" spans="1:10" x14ac:dyDescent="0.25">
      <c r="A671">
        <v>1051</v>
      </c>
      <c r="B671" s="14" t="s">
        <v>1335</v>
      </c>
      <c r="C671">
        <v>72</v>
      </c>
      <c r="D671" s="14" t="s">
        <v>30</v>
      </c>
      <c r="E671" s="1">
        <v>46086</v>
      </c>
      <c r="F671" s="1">
        <v>45742</v>
      </c>
      <c r="G671" s="14" t="s">
        <v>1336</v>
      </c>
      <c r="H671" s="14" t="s">
        <v>21</v>
      </c>
      <c r="I671">
        <v>126.56</v>
      </c>
      <c r="J671" s="14" t="s">
        <v>28</v>
      </c>
    </row>
    <row r="672" spans="1:10" x14ac:dyDescent="0.25">
      <c r="A672">
        <v>1098</v>
      </c>
      <c r="B672" s="14" t="s">
        <v>1337</v>
      </c>
      <c r="C672">
        <v>59</v>
      </c>
      <c r="D672" s="14" t="s">
        <v>50</v>
      </c>
      <c r="E672" s="1">
        <v>45940</v>
      </c>
      <c r="F672" s="1">
        <v>45522</v>
      </c>
      <c r="G672" s="14" t="s">
        <v>1338</v>
      </c>
      <c r="H672" s="14" t="s">
        <v>21</v>
      </c>
      <c r="I672">
        <v>143.32</v>
      </c>
      <c r="J672" s="14" t="s">
        <v>22</v>
      </c>
    </row>
    <row r="673" spans="1:10" x14ac:dyDescent="0.25">
      <c r="A673">
        <v>1009</v>
      </c>
      <c r="B673" s="14" t="s">
        <v>1339</v>
      </c>
      <c r="C673">
        <v>64</v>
      </c>
      <c r="D673" s="14" t="s">
        <v>50</v>
      </c>
      <c r="E673" s="1">
        <v>45869</v>
      </c>
      <c r="F673" s="1">
        <v>45527</v>
      </c>
      <c r="G673" s="14" t="s">
        <v>1340</v>
      </c>
      <c r="H673" s="14" t="s">
        <v>18</v>
      </c>
      <c r="I673">
        <v>353.8</v>
      </c>
      <c r="J673" s="14" t="s">
        <v>28</v>
      </c>
    </row>
    <row r="674" spans="1:10" x14ac:dyDescent="0.25">
      <c r="A674">
        <v>1021</v>
      </c>
      <c r="B674" s="14" t="s">
        <v>1341</v>
      </c>
      <c r="C674">
        <v>28</v>
      </c>
      <c r="D674" s="14" t="s">
        <v>30</v>
      </c>
      <c r="E674" s="1">
        <v>45884</v>
      </c>
      <c r="F674" s="1">
        <v>45613</v>
      </c>
      <c r="G674" s="14" t="s">
        <v>1342</v>
      </c>
      <c r="H674" s="14" t="s">
        <v>12</v>
      </c>
      <c r="I674">
        <v>174.54</v>
      </c>
      <c r="J674" s="14" t="s">
        <v>28</v>
      </c>
    </row>
    <row r="675" spans="1:10" x14ac:dyDescent="0.25">
      <c r="A675">
        <v>1046</v>
      </c>
      <c r="B675" s="14" t="s">
        <v>1343</v>
      </c>
      <c r="C675">
        <v>68</v>
      </c>
      <c r="D675" s="14" t="s">
        <v>50</v>
      </c>
      <c r="E675" s="1">
        <v>46097</v>
      </c>
      <c r="F675" s="1">
        <v>45418</v>
      </c>
      <c r="G675" s="14" t="s">
        <v>1344</v>
      </c>
      <c r="H675" s="14" t="s">
        <v>15</v>
      </c>
      <c r="I675">
        <v>217.77</v>
      </c>
      <c r="J675" s="14" t="s">
        <v>28</v>
      </c>
    </row>
    <row r="676" spans="1:10" x14ac:dyDescent="0.25">
      <c r="A676">
        <v>1044</v>
      </c>
      <c r="B676" s="14" t="s">
        <v>1345</v>
      </c>
      <c r="C676">
        <v>67</v>
      </c>
      <c r="D676" s="14" t="s">
        <v>50</v>
      </c>
      <c r="E676" s="1">
        <v>45759</v>
      </c>
      <c r="F676" s="1">
        <v>45486</v>
      </c>
      <c r="G676" s="14" t="s">
        <v>1346</v>
      </c>
      <c r="H676" s="14" t="s">
        <v>18</v>
      </c>
      <c r="I676">
        <v>277.51</v>
      </c>
      <c r="J676" s="14" t="s">
        <v>22</v>
      </c>
    </row>
    <row r="677" spans="1:10" x14ac:dyDescent="0.25">
      <c r="A677">
        <v>1058</v>
      </c>
      <c r="B677" s="14" t="s">
        <v>1347</v>
      </c>
      <c r="C677">
        <v>37</v>
      </c>
      <c r="D677" s="14" t="s">
        <v>50</v>
      </c>
      <c r="E677" s="1">
        <v>46057</v>
      </c>
      <c r="F677" s="1">
        <v>45971</v>
      </c>
      <c r="G677" s="14" t="s">
        <v>1348</v>
      </c>
      <c r="H677" s="14" t="s">
        <v>15</v>
      </c>
      <c r="I677">
        <v>259.19</v>
      </c>
      <c r="J677" s="14" t="s">
        <v>28</v>
      </c>
    </row>
    <row r="678" spans="1:10" x14ac:dyDescent="0.25">
      <c r="A678">
        <v>1004</v>
      </c>
      <c r="B678" s="14" t="s">
        <v>1349</v>
      </c>
      <c r="C678">
        <v>53</v>
      </c>
      <c r="D678" s="14" t="s">
        <v>24</v>
      </c>
      <c r="E678" s="1">
        <v>45878</v>
      </c>
      <c r="F678" s="1">
        <v>45479</v>
      </c>
      <c r="G678" s="14" t="s">
        <v>1350</v>
      </c>
      <c r="H678" s="14" t="s">
        <v>18</v>
      </c>
      <c r="I678">
        <v>492.92</v>
      </c>
      <c r="J678" s="14" t="s">
        <v>28</v>
      </c>
    </row>
    <row r="679" spans="1:10" x14ac:dyDescent="0.25">
      <c r="A679">
        <v>1088</v>
      </c>
      <c r="B679" s="14" t="s">
        <v>1351</v>
      </c>
      <c r="C679">
        <v>21</v>
      </c>
      <c r="D679" s="14" t="s">
        <v>50</v>
      </c>
      <c r="E679" s="1">
        <v>45973</v>
      </c>
      <c r="F679" s="1">
        <v>45769</v>
      </c>
      <c r="G679" s="14" t="s">
        <v>1352</v>
      </c>
      <c r="H679" s="14" t="s">
        <v>18</v>
      </c>
      <c r="I679">
        <v>51.38</v>
      </c>
      <c r="J679" s="14" t="s">
        <v>22</v>
      </c>
    </row>
    <row r="680" spans="1:10" x14ac:dyDescent="0.25">
      <c r="A680">
        <v>1035</v>
      </c>
      <c r="B680" s="14" t="s">
        <v>1353</v>
      </c>
      <c r="C680">
        <v>53</v>
      </c>
      <c r="D680" s="14" t="s">
        <v>50</v>
      </c>
      <c r="E680" s="1">
        <v>46048</v>
      </c>
      <c r="F680" s="1">
        <v>45562</v>
      </c>
      <c r="G680" s="14" t="s">
        <v>1354</v>
      </c>
      <c r="H680" s="14" t="s">
        <v>18</v>
      </c>
      <c r="I680">
        <v>374.03</v>
      </c>
      <c r="J680" s="14" t="s">
        <v>28</v>
      </c>
    </row>
    <row r="681" spans="1:10" x14ac:dyDescent="0.25">
      <c r="A681">
        <v>1025</v>
      </c>
      <c r="B681" s="14" t="s">
        <v>1355</v>
      </c>
      <c r="C681">
        <v>69</v>
      </c>
      <c r="D681" s="14" t="s">
        <v>50</v>
      </c>
      <c r="E681" s="1">
        <v>45753</v>
      </c>
      <c r="F681" s="1">
        <v>45501</v>
      </c>
      <c r="G681" s="14" t="s">
        <v>1356</v>
      </c>
      <c r="H681" s="14" t="s">
        <v>15</v>
      </c>
      <c r="I681">
        <v>175.33</v>
      </c>
      <c r="J681" s="14" t="s">
        <v>22</v>
      </c>
    </row>
    <row r="682" spans="1:10" x14ac:dyDescent="0.25">
      <c r="A682">
        <v>1068</v>
      </c>
      <c r="B682" s="14" t="s">
        <v>1357</v>
      </c>
      <c r="C682">
        <v>25</v>
      </c>
      <c r="D682" s="14" t="s">
        <v>30</v>
      </c>
      <c r="E682" s="1">
        <v>46064</v>
      </c>
      <c r="F682" s="1">
        <v>45828</v>
      </c>
      <c r="G682" s="14" t="s">
        <v>1358</v>
      </c>
      <c r="H682" s="14" t="s">
        <v>18</v>
      </c>
      <c r="I682">
        <v>129.25</v>
      </c>
      <c r="J682" s="14" t="s">
        <v>22</v>
      </c>
    </row>
    <row r="683" spans="1:10" x14ac:dyDescent="0.25">
      <c r="A683">
        <v>1014</v>
      </c>
      <c r="B683" s="14" t="s">
        <v>1359</v>
      </c>
      <c r="C683">
        <v>61</v>
      </c>
      <c r="D683" s="14" t="s">
        <v>24</v>
      </c>
      <c r="E683" s="1">
        <v>45852</v>
      </c>
      <c r="F683" s="1">
        <v>45648</v>
      </c>
      <c r="G683" s="14" t="s">
        <v>1360</v>
      </c>
      <c r="H683" s="14" t="s">
        <v>12</v>
      </c>
      <c r="I683">
        <v>257.41000000000003</v>
      </c>
      <c r="J683" s="14" t="s">
        <v>28</v>
      </c>
    </row>
    <row r="684" spans="1:10" x14ac:dyDescent="0.25">
      <c r="A684">
        <v>1059</v>
      </c>
      <c r="B684" s="14" t="s">
        <v>1361</v>
      </c>
      <c r="C684">
        <v>23</v>
      </c>
      <c r="D684" s="14" t="s">
        <v>50</v>
      </c>
      <c r="E684" s="1">
        <v>45910</v>
      </c>
      <c r="F684" s="1">
        <v>45405</v>
      </c>
      <c r="G684" s="14" t="s">
        <v>1362</v>
      </c>
      <c r="H684" s="14" t="s">
        <v>21</v>
      </c>
      <c r="I684">
        <v>337.48</v>
      </c>
      <c r="J684" s="14" t="s">
        <v>28</v>
      </c>
    </row>
    <row r="685" spans="1:10" x14ac:dyDescent="0.25">
      <c r="A685">
        <v>1021</v>
      </c>
      <c r="B685" s="14" t="s">
        <v>1363</v>
      </c>
      <c r="C685">
        <v>61</v>
      </c>
      <c r="D685" s="14" t="s">
        <v>30</v>
      </c>
      <c r="E685" s="1">
        <v>46085</v>
      </c>
      <c r="F685" s="1">
        <v>45879</v>
      </c>
      <c r="G685" s="14" t="s">
        <v>1364</v>
      </c>
      <c r="H685" s="14" t="s">
        <v>18</v>
      </c>
      <c r="I685">
        <v>310.14999999999998</v>
      </c>
      <c r="J685" s="14" t="s">
        <v>28</v>
      </c>
    </row>
    <row r="686" spans="1:10" x14ac:dyDescent="0.25">
      <c r="A686">
        <v>1029</v>
      </c>
      <c r="B686" s="14" t="s">
        <v>1365</v>
      </c>
      <c r="C686">
        <v>69</v>
      </c>
      <c r="D686" s="14" t="s">
        <v>50</v>
      </c>
      <c r="E686" s="1">
        <v>45804</v>
      </c>
      <c r="F686" s="1">
        <v>45767</v>
      </c>
      <c r="G686" s="14" t="s">
        <v>1366</v>
      </c>
      <c r="H686" s="14" t="s">
        <v>15</v>
      </c>
      <c r="I686">
        <v>63.14</v>
      </c>
      <c r="J686" s="14" t="s">
        <v>22</v>
      </c>
    </row>
    <row r="687" spans="1:10" x14ac:dyDescent="0.25">
      <c r="A687">
        <v>1005</v>
      </c>
      <c r="B687" s="14" t="s">
        <v>1367</v>
      </c>
      <c r="C687">
        <v>23</v>
      </c>
      <c r="D687" s="14" t="s">
        <v>30</v>
      </c>
      <c r="E687" s="1">
        <v>46015</v>
      </c>
      <c r="F687" s="1">
        <v>45662</v>
      </c>
      <c r="G687" s="14" t="s">
        <v>1368</v>
      </c>
      <c r="H687" s="14" t="s">
        <v>15</v>
      </c>
      <c r="I687">
        <v>265.67</v>
      </c>
      <c r="J687" s="14" t="s">
        <v>22</v>
      </c>
    </row>
    <row r="688" spans="1:10" x14ac:dyDescent="0.25">
      <c r="A688">
        <v>1094</v>
      </c>
      <c r="B688" s="14" t="s">
        <v>1369</v>
      </c>
      <c r="C688">
        <v>59</v>
      </c>
      <c r="D688" s="14" t="s">
        <v>30</v>
      </c>
      <c r="E688" s="1">
        <v>45816</v>
      </c>
      <c r="F688" s="1">
        <v>45652</v>
      </c>
      <c r="G688" s="14" t="s">
        <v>1370</v>
      </c>
      <c r="H688" s="14" t="s">
        <v>15</v>
      </c>
      <c r="I688">
        <v>382.64</v>
      </c>
      <c r="J688" s="14" t="s">
        <v>28</v>
      </c>
    </row>
    <row r="689" spans="1:10" x14ac:dyDescent="0.25">
      <c r="A689">
        <v>1065</v>
      </c>
      <c r="B689" s="14" t="s">
        <v>1371</v>
      </c>
      <c r="C689">
        <v>80</v>
      </c>
      <c r="D689" s="14" t="s">
        <v>30</v>
      </c>
      <c r="E689" s="1">
        <v>45788</v>
      </c>
      <c r="F689" s="1">
        <v>45587</v>
      </c>
      <c r="G689" s="14" t="s">
        <v>1372</v>
      </c>
      <c r="H689" s="14" t="s">
        <v>12</v>
      </c>
      <c r="I689">
        <v>125.35</v>
      </c>
      <c r="J689" s="14" t="s">
        <v>22</v>
      </c>
    </row>
    <row r="690" spans="1:10" x14ac:dyDescent="0.25">
      <c r="A690">
        <v>1058</v>
      </c>
      <c r="B690" s="14" t="s">
        <v>1373</v>
      </c>
      <c r="C690">
        <v>27</v>
      </c>
      <c r="D690" s="14" t="s">
        <v>50</v>
      </c>
      <c r="E690" s="1">
        <v>45863</v>
      </c>
      <c r="F690" s="1">
        <v>45532</v>
      </c>
      <c r="G690" s="14" t="s">
        <v>1374</v>
      </c>
      <c r="H690" s="14" t="s">
        <v>15</v>
      </c>
      <c r="I690">
        <v>206.69</v>
      </c>
      <c r="J690" s="14" t="s">
        <v>22</v>
      </c>
    </row>
    <row r="691" spans="1:10" x14ac:dyDescent="0.25">
      <c r="A691">
        <v>1076</v>
      </c>
      <c r="B691" s="14" t="s">
        <v>1375</v>
      </c>
      <c r="C691">
        <v>39</v>
      </c>
      <c r="D691" s="14" t="s">
        <v>30</v>
      </c>
      <c r="E691" s="1">
        <v>45807</v>
      </c>
      <c r="F691" s="1">
        <v>45783</v>
      </c>
      <c r="G691" s="14" t="s">
        <v>1376</v>
      </c>
      <c r="H691" s="14" t="s">
        <v>21</v>
      </c>
      <c r="I691">
        <v>358.45</v>
      </c>
      <c r="J691" s="14" t="s">
        <v>28</v>
      </c>
    </row>
    <row r="692" spans="1:10" x14ac:dyDescent="0.25">
      <c r="A692">
        <v>1073</v>
      </c>
      <c r="B692" s="14" t="s">
        <v>1377</v>
      </c>
      <c r="C692">
        <v>52</v>
      </c>
      <c r="D692" s="14" t="s">
        <v>50</v>
      </c>
      <c r="E692" s="1">
        <v>45925</v>
      </c>
      <c r="F692" s="1">
        <v>45668</v>
      </c>
      <c r="G692" s="14" t="s">
        <v>1378</v>
      </c>
      <c r="H692" s="14" t="s">
        <v>12</v>
      </c>
      <c r="I692">
        <v>496.62</v>
      </c>
      <c r="J692" s="14" t="s">
        <v>22</v>
      </c>
    </row>
    <row r="693" spans="1:10" x14ac:dyDescent="0.25">
      <c r="A693">
        <v>1054</v>
      </c>
      <c r="B693" s="14" t="s">
        <v>1999</v>
      </c>
      <c r="C693">
        <v>66</v>
      </c>
      <c r="D693" s="14" t="s">
        <v>50</v>
      </c>
      <c r="E693" s="1">
        <v>45755</v>
      </c>
      <c r="F693" s="1">
        <v>45659</v>
      </c>
      <c r="G693" s="14" t="s">
        <v>1379</v>
      </c>
      <c r="H693" s="14" t="s">
        <v>15</v>
      </c>
      <c r="I693">
        <v>290.47000000000003</v>
      </c>
      <c r="J693" s="14" t="s">
        <v>28</v>
      </c>
    </row>
    <row r="694" spans="1:10" x14ac:dyDescent="0.25">
      <c r="A694">
        <v>1020</v>
      </c>
      <c r="B694" s="14" t="s">
        <v>1380</v>
      </c>
      <c r="C694">
        <v>52</v>
      </c>
      <c r="D694" s="14" t="s">
        <v>50</v>
      </c>
      <c r="E694" s="1">
        <v>46069</v>
      </c>
      <c r="F694" s="1">
        <v>45730</v>
      </c>
      <c r="G694" s="14" t="s">
        <v>1381</v>
      </c>
      <c r="H694" s="14" t="s">
        <v>21</v>
      </c>
      <c r="I694">
        <v>346.4</v>
      </c>
      <c r="J694" s="14" t="s">
        <v>22</v>
      </c>
    </row>
    <row r="695" spans="1:10" x14ac:dyDescent="0.25">
      <c r="A695">
        <v>1087</v>
      </c>
      <c r="B695" s="14" t="s">
        <v>1382</v>
      </c>
      <c r="C695">
        <v>78</v>
      </c>
      <c r="D695" s="14" t="s">
        <v>50</v>
      </c>
      <c r="E695" s="1">
        <v>46044</v>
      </c>
      <c r="F695" s="1">
        <v>45815</v>
      </c>
      <c r="G695" s="14" t="s">
        <v>1383</v>
      </c>
      <c r="H695" s="14" t="s">
        <v>21</v>
      </c>
      <c r="I695">
        <v>123.28</v>
      </c>
      <c r="J695" s="14" t="s">
        <v>22</v>
      </c>
    </row>
    <row r="696" spans="1:10" x14ac:dyDescent="0.25">
      <c r="A696">
        <v>1012</v>
      </c>
      <c r="B696" s="14" t="s">
        <v>1384</v>
      </c>
      <c r="C696">
        <v>45</v>
      </c>
      <c r="D696" s="14" t="s">
        <v>30</v>
      </c>
      <c r="E696" s="1">
        <v>45863</v>
      </c>
      <c r="F696" s="1">
        <v>45535</v>
      </c>
      <c r="G696" s="14" t="s">
        <v>1385</v>
      </c>
      <c r="H696" s="14" t="s">
        <v>15</v>
      </c>
      <c r="I696">
        <v>353.09</v>
      </c>
      <c r="J696" s="14" t="s">
        <v>22</v>
      </c>
    </row>
    <row r="697" spans="1:10" x14ac:dyDescent="0.25">
      <c r="A697">
        <v>1085</v>
      </c>
      <c r="B697" s="14" t="s">
        <v>1386</v>
      </c>
      <c r="C697">
        <v>30</v>
      </c>
      <c r="D697" s="14" t="s">
        <v>50</v>
      </c>
      <c r="E697" s="1">
        <v>46014</v>
      </c>
      <c r="F697" s="1">
        <v>45455</v>
      </c>
      <c r="G697" s="14" t="s">
        <v>1387</v>
      </c>
      <c r="H697" s="14" t="s">
        <v>18</v>
      </c>
      <c r="I697">
        <v>299.12</v>
      </c>
      <c r="J697" s="14" t="s">
        <v>28</v>
      </c>
    </row>
    <row r="698" spans="1:10" x14ac:dyDescent="0.25">
      <c r="A698">
        <v>1012</v>
      </c>
      <c r="B698" s="14" t="s">
        <v>1388</v>
      </c>
      <c r="C698">
        <v>30</v>
      </c>
      <c r="D698" s="14" t="s">
        <v>30</v>
      </c>
      <c r="E698" s="1">
        <v>45994</v>
      </c>
      <c r="F698" s="1">
        <v>45430</v>
      </c>
      <c r="G698" s="14" t="s">
        <v>1389</v>
      </c>
      <c r="H698" s="14" t="s">
        <v>18</v>
      </c>
      <c r="I698">
        <v>286.79000000000002</v>
      </c>
      <c r="J698" s="14" t="s">
        <v>28</v>
      </c>
    </row>
    <row r="699" spans="1:10" x14ac:dyDescent="0.25">
      <c r="A699">
        <v>1063</v>
      </c>
      <c r="B699" s="14" t="s">
        <v>1390</v>
      </c>
      <c r="C699">
        <v>46</v>
      </c>
      <c r="D699" s="14" t="s">
        <v>50</v>
      </c>
      <c r="E699" s="1">
        <v>45948</v>
      </c>
      <c r="F699" s="1">
        <v>45568</v>
      </c>
      <c r="G699" s="14" t="s">
        <v>1391</v>
      </c>
      <c r="H699" s="14" t="s">
        <v>15</v>
      </c>
      <c r="I699">
        <v>330.76</v>
      </c>
      <c r="J699" s="14" t="s">
        <v>22</v>
      </c>
    </row>
    <row r="700" spans="1:10" x14ac:dyDescent="0.25">
      <c r="A700">
        <v>1046</v>
      </c>
      <c r="B700" s="14" t="s">
        <v>772</v>
      </c>
      <c r="C700">
        <v>28</v>
      </c>
      <c r="D700" s="14" t="s">
        <v>50</v>
      </c>
      <c r="E700" s="1">
        <v>45767</v>
      </c>
      <c r="F700" s="1">
        <v>45505</v>
      </c>
      <c r="G700" s="14" t="s">
        <v>1392</v>
      </c>
      <c r="H700" s="14" t="s">
        <v>15</v>
      </c>
      <c r="I700">
        <v>69.760000000000005</v>
      </c>
      <c r="J700" s="14" t="s">
        <v>28</v>
      </c>
    </row>
    <row r="701" spans="1:10" x14ac:dyDescent="0.25">
      <c r="A701">
        <v>1031</v>
      </c>
      <c r="B701" s="14" t="s">
        <v>1393</v>
      </c>
      <c r="C701">
        <v>57</v>
      </c>
      <c r="D701" s="14" t="s">
        <v>30</v>
      </c>
      <c r="E701" s="1">
        <v>45808</v>
      </c>
      <c r="F701" s="1">
        <v>45702</v>
      </c>
      <c r="G701" s="14" t="s">
        <v>1394</v>
      </c>
      <c r="H701" s="14" t="s">
        <v>15</v>
      </c>
      <c r="I701">
        <v>341.11</v>
      </c>
      <c r="J701" s="14" t="s">
        <v>22</v>
      </c>
    </row>
    <row r="702" spans="1:10" x14ac:dyDescent="0.25">
      <c r="A702">
        <v>1098</v>
      </c>
      <c r="B702" s="14" t="s">
        <v>1395</v>
      </c>
      <c r="C702">
        <v>27</v>
      </c>
      <c r="D702" s="14" t="s">
        <v>24</v>
      </c>
      <c r="E702" s="1">
        <v>46063</v>
      </c>
      <c r="F702" s="1">
        <v>45837</v>
      </c>
      <c r="G702" s="14" t="s">
        <v>1396</v>
      </c>
      <c r="H702" s="14" t="s">
        <v>21</v>
      </c>
      <c r="I702">
        <v>147.08000000000001</v>
      </c>
      <c r="J702" s="14" t="s">
        <v>22</v>
      </c>
    </row>
    <row r="703" spans="1:10" x14ac:dyDescent="0.25">
      <c r="A703">
        <v>1021</v>
      </c>
      <c r="B703" s="14" t="s">
        <v>1397</v>
      </c>
      <c r="C703">
        <v>63</v>
      </c>
      <c r="D703" s="14" t="s">
        <v>50</v>
      </c>
      <c r="E703" s="1">
        <v>45843</v>
      </c>
      <c r="F703" s="1">
        <v>45829</v>
      </c>
      <c r="G703" s="14" t="s">
        <v>1398</v>
      </c>
      <c r="H703" s="14" t="s">
        <v>18</v>
      </c>
      <c r="I703">
        <v>462.6</v>
      </c>
      <c r="J703" s="14" t="s">
        <v>28</v>
      </c>
    </row>
    <row r="704" spans="1:10" x14ac:dyDescent="0.25">
      <c r="A704">
        <v>1085</v>
      </c>
      <c r="B704" s="14" t="s">
        <v>1399</v>
      </c>
      <c r="C704">
        <v>25</v>
      </c>
      <c r="D704" s="14" t="s">
        <v>30</v>
      </c>
      <c r="E704" s="1">
        <v>45943</v>
      </c>
      <c r="F704" s="1">
        <v>45729</v>
      </c>
      <c r="G704" s="14" t="s">
        <v>1400</v>
      </c>
      <c r="H704" s="14" t="s">
        <v>21</v>
      </c>
      <c r="I704">
        <v>357.53</v>
      </c>
      <c r="J704" s="14" t="s">
        <v>28</v>
      </c>
    </row>
    <row r="705" spans="1:10" x14ac:dyDescent="0.25">
      <c r="A705">
        <v>1015</v>
      </c>
      <c r="B705" s="14" t="s">
        <v>1401</v>
      </c>
      <c r="C705">
        <v>84</v>
      </c>
      <c r="D705" s="14" t="s">
        <v>30</v>
      </c>
      <c r="E705" s="1">
        <v>46106</v>
      </c>
      <c r="F705" s="1">
        <v>45900</v>
      </c>
      <c r="G705" s="14" t="s">
        <v>1402</v>
      </c>
      <c r="H705" s="14" t="s">
        <v>12</v>
      </c>
      <c r="I705">
        <v>353.35</v>
      </c>
      <c r="J705" s="14" t="s">
        <v>28</v>
      </c>
    </row>
    <row r="706" spans="1:10" x14ac:dyDescent="0.25">
      <c r="A706">
        <v>1015</v>
      </c>
      <c r="B706" s="14" t="s">
        <v>1403</v>
      </c>
      <c r="C706">
        <v>86</v>
      </c>
      <c r="D706" s="14" t="s">
        <v>24</v>
      </c>
      <c r="E706" s="1">
        <v>45922</v>
      </c>
      <c r="F706" s="1">
        <v>45488</v>
      </c>
      <c r="G706" s="14" t="s">
        <v>1404</v>
      </c>
      <c r="H706" s="14" t="s">
        <v>15</v>
      </c>
      <c r="I706">
        <v>174.42</v>
      </c>
      <c r="J706" s="14" t="s">
        <v>28</v>
      </c>
    </row>
    <row r="707" spans="1:10" x14ac:dyDescent="0.25">
      <c r="A707">
        <v>1008</v>
      </c>
      <c r="B707" s="14" t="s">
        <v>1405</v>
      </c>
      <c r="C707">
        <v>40</v>
      </c>
      <c r="D707" s="14" t="s">
        <v>30</v>
      </c>
      <c r="E707" s="1">
        <v>45960</v>
      </c>
      <c r="F707" s="1">
        <v>45504</v>
      </c>
      <c r="G707" s="14" t="s">
        <v>1406</v>
      </c>
      <c r="H707" s="14" t="s">
        <v>15</v>
      </c>
      <c r="I707">
        <v>449.41</v>
      </c>
      <c r="J707" s="14" t="s">
        <v>22</v>
      </c>
    </row>
    <row r="708" spans="1:10" x14ac:dyDescent="0.25">
      <c r="A708">
        <v>1080</v>
      </c>
      <c r="B708" s="14" t="s">
        <v>1407</v>
      </c>
      <c r="C708">
        <v>78</v>
      </c>
      <c r="D708" s="14" t="s">
        <v>50</v>
      </c>
      <c r="E708" s="1">
        <v>46055</v>
      </c>
      <c r="F708" s="1">
        <v>45975</v>
      </c>
      <c r="G708" s="14" t="s">
        <v>1408</v>
      </c>
      <c r="H708" s="14" t="s">
        <v>12</v>
      </c>
      <c r="I708">
        <v>179.07</v>
      </c>
      <c r="J708" s="14" t="s">
        <v>22</v>
      </c>
    </row>
    <row r="709" spans="1:10" x14ac:dyDescent="0.25">
      <c r="A709">
        <v>1067</v>
      </c>
      <c r="B709" s="14" t="s">
        <v>1409</v>
      </c>
      <c r="C709">
        <v>28</v>
      </c>
      <c r="D709" s="14" t="s">
        <v>50</v>
      </c>
      <c r="E709" s="1">
        <v>46029</v>
      </c>
      <c r="F709" s="1">
        <v>45892</v>
      </c>
      <c r="G709" s="14" t="s">
        <v>1410</v>
      </c>
      <c r="H709" s="14" t="s">
        <v>12</v>
      </c>
      <c r="I709">
        <v>344.67</v>
      </c>
      <c r="J709" s="14" t="s">
        <v>28</v>
      </c>
    </row>
    <row r="710" spans="1:10" x14ac:dyDescent="0.25">
      <c r="A710">
        <v>1043</v>
      </c>
      <c r="B710" s="14" t="s">
        <v>1411</v>
      </c>
      <c r="C710">
        <v>80</v>
      </c>
      <c r="D710" s="14" t="s">
        <v>30</v>
      </c>
      <c r="E710" s="1">
        <v>45928</v>
      </c>
      <c r="F710" s="1">
        <v>45534</v>
      </c>
      <c r="G710" s="14" t="s">
        <v>1412</v>
      </c>
      <c r="H710" s="14" t="s">
        <v>18</v>
      </c>
      <c r="I710">
        <v>84.72</v>
      </c>
      <c r="J710" s="14" t="s">
        <v>28</v>
      </c>
    </row>
    <row r="711" spans="1:10" x14ac:dyDescent="0.25">
      <c r="A711">
        <v>1058</v>
      </c>
      <c r="B711" s="14" t="s">
        <v>1413</v>
      </c>
      <c r="C711">
        <v>34</v>
      </c>
      <c r="D711" s="14" t="s">
        <v>50</v>
      </c>
      <c r="E711" s="1">
        <v>45770</v>
      </c>
      <c r="F711" s="1">
        <v>45634</v>
      </c>
      <c r="G711" s="14" t="s">
        <v>1414</v>
      </c>
      <c r="H711" s="14" t="s">
        <v>15</v>
      </c>
      <c r="J711" s="14" t="s">
        <v>28</v>
      </c>
    </row>
    <row r="712" spans="1:10" x14ac:dyDescent="0.25">
      <c r="A712">
        <v>1001</v>
      </c>
      <c r="B712" s="14" t="s">
        <v>1415</v>
      </c>
      <c r="C712">
        <v>35</v>
      </c>
      <c r="D712" s="14" t="s">
        <v>50</v>
      </c>
      <c r="E712" s="1">
        <v>45852</v>
      </c>
      <c r="F712" s="1">
        <v>45475</v>
      </c>
      <c r="G712" s="14" t="s">
        <v>1416</v>
      </c>
      <c r="H712" s="14" t="s">
        <v>15</v>
      </c>
      <c r="I712">
        <v>479.79</v>
      </c>
      <c r="J712" s="14" t="s">
        <v>22</v>
      </c>
    </row>
    <row r="713" spans="1:10" x14ac:dyDescent="0.25">
      <c r="A713">
        <v>1012</v>
      </c>
      <c r="B713" s="14" t="s">
        <v>1417</v>
      </c>
      <c r="C713">
        <v>36</v>
      </c>
      <c r="D713" s="14" t="s">
        <v>50</v>
      </c>
      <c r="E713" s="1">
        <v>46106</v>
      </c>
      <c r="F713" s="1">
        <v>45415</v>
      </c>
      <c r="G713" s="14" t="s">
        <v>1418</v>
      </c>
      <c r="H713" s="14" t="s">
        <v>12</v>
      </c>
      <c r="I713">
        <v>77.989999999999995</v>
      </c>
      <c r="J713" s="14" t="s">
        <v>22</v>
      </c>
    </row>
    <row r="714" spans="1:10" x14ac:dyDescent="0.25">
      <c r="A714">
        <v>1066</v>
      </c>
      <c r="B714" s="14" t="s">
        <v>1419</v>
      </c>
      <c r="C714">
        <v>65</v>
      </c>
      <c r="D714" s="14" t="s">
        <v>50</v>
      </c>
      <c r="E714" s="1">
        <v>45879</v>
      </c>
      <c r="F714" s="1">
        <v>45663</v>
      </c>
      <c r="G714" s="14" t="s">
        <v>1420</v>
      </c>
      <c r="H714" s="14" t="s">
        <v>15</v>
      </c>
      <c r="I714">
        <v>113.2</v>
      </c>
      <c r="J714" s="14" t="s">
        <v>28</v>
      </c>
    </row>
    <row r="715" spans="1:10" x14ac:dyDescent="0.25">
      <c r="A715">
        <v>1015</v>
      </c>
      <c r="B715" s="14" t="s">
        <v>1421</v>
      </c>
      <c r="C715">
        <v>29</v>
      </c>
      <c r="D715" s="14" t="s">
        <v>50</v>
      </c>
      <c r="E715" s="1">
        <v>45819</v>
      </c>
      <c r="F715" s="1">
        <v>45475</v>
      </c>
      <c r="G715" s="14" t="s">
        <v>1422</v>
      </c>
      <c r="H715" s="14" t="s">
        <v>12</v>
      </c>
      <c r="I715">
        <v>363.04</v>
      </c>
      <c r="J715" s="14" t="s">
        <v>28</v>
      </c>
    </row>
    <row r="716" spans="1:10" x14ac:dyDescent="0.25">
      <c r="A716">
        <v>1024</v>
      </c>
      <c r="B716" s="14" t="s">
        <v>1423</v>
      </c>
      <c r="C716">
        <v>22</v>
      </c>
      <c r="D716" s="14" t="s">
        <v>24</v>
      </c>
      <c r="E716" s="1">
        <v>45848</v>
      </c>
      <c r="F716" s="1">
        <v>45489</v>
      </c>
      <c r="G716" s="14" t="s">
        <v>1424</v>
      </c>
      <c r="H716" s="14" t="s">
        <v>18</v>
      </c>
      <c r="I716">
        <v>477.72</v>
      </c>
      <c r="J716" s="14" t="s">
        <v>22</v>
      </c>
    </row>
    <row r="717" spans="1:10" x14ac:dyDescent="0.25">
      <c r="A717">
        <v>1013</v>
      </c>
      <c r="B717" s="14" t="s">
        <v>1425</v>
      </c>
      <c r="C717">
        <v>69</v>
      </c>
      <c r="D717" s="14" t="s">
        <v>50</v>
      </c>
      <c r="E717" s="1">
        <v>46043</v>
      </c>
      <c r="F717" s="1">
        <v>45444</v>
      </c>
      <c r="G717" s="14" t="s">
        <v>1426</v>
      </c>
      <c r="H717" s="14" t="s">
        <v>21</v>
      </c>
      <c r="I717">
        <v>289.74</v>
      </c>
      <c r="J717" s="14" t="s">
        <v>28</v>
      </c>
    </row>
    <row r="718" spans="1:10" x14ac:dyDescent="0.25">
      <c r="A718">
        <v>1024</v>
      </c>
      <c r="B718" s="14" t="s">
        <v>1427</v>
      </c>
      <c r="C718">
        <v>35</v>
      </c>
      <c r="D718" s="14" t="s">
        <v>50</v>
      </c>
      <c r="E718" s="1">
        <v>45886</v>
      </c>
      <c r="F718" s="1">
        <v>45875</v>
      </c>
      <c r="G718" s="14" t="s">
        <v>1428</v>
      </c>
      <c r="H718" s="14" t="s">
        <v>18</v>
      </c>
      <c r="I718">
        <v>270.14999999999998</v>
      </c>
      <c r="J718" s="14" t="s">
        <v>28</v>
      </c>
    </row>
    <row r="719" spans="1:10" x14ac:dyDescent="0.25">
      <c r="A719">
        <v>1061</v>
      </c>
      <c r="B719" s="14" t="s">
        <v>1429</v>
      </c>
      <c r="C719">
        <v>59</v>
      </c>
      <c r="D719" s="14" t="s">
        <v>30</v>
      </c>
      <c r="E719" s="1">
        <v>45942</v>
      </c>
      <c r="F719" s="1">
        <v>45823</v>
      </c>
      <c r="G719" s="14" t="s">
        <v>1430</v>
      </c>
      <c r="H719" s="14" t="s">
        <v>15</v>
      </c>
      <c r="I719">
        <v>155.97999999999999</v>
      </c>
      <c r="J719" s="14" t="s">
        <v>28</v>
      </c>
    </row>
    <row r="720" spans="1:10" x14ac:dyDescent="0.25">
      <c r="A720">
        <v>1095</v>
      </c>
      <c r="B720" s="14" t="s">
        <v>1431</v>
      </c>
      <c r="C720">
        <v>56</v>
      </c>
      <c r="D720" s="14" t="s">
        <v>50</v>
      </c>
      <c r="E720" s="1">
        <v>45812</v>
      </c>
      <c r="F720" s="1">
        <v>45441</v>
      </c>
      <c r="G720" s="14" t="s">
        <v>1432</v>
      </c>
      <c r="H720" s="14" t="s">
        <v>12</v>
      </c>
      <c r="I720">
        <v>335.27</v>
      </c>
      <c r="J720" s="14" t="s">
        <v>28</v>
      </c>
    </row>
    <row r="721" spans="1:10" x14ac:dyDescent="0.25">
      <c r="A721">
        <v>1048</v>
      </c>
      <c r="B721" s="14" t="s">
        <v>1433</v>
      </c>
      <c r="C721">
        <v>67</v>
      </c>
      <c r="D721" s="14" t="s">
        <v>50</v>
      </c>
      <c r="E721" s="1">
        <v>45988</v>
      </c>
      <c r="F721" s="1">
        <v>45503</v>
      </c>
      <c r="G721" s="14" t="s">
        <v>1434</v>
      </c>
      <c r="H721" s="14" t="s">
        <v>18</v>
      </c>
      <c r="I721">
        <v>285.22000000000003</v>
      </c>
      <c r="J721" s="14" t="s">
        <v>22</v>
      </c>
    </row>
    <row r="722" spans="1:10" x14ac:dyDescent="0.25">
      <c r="A722">
        <v>1033</v>
      </c>
      <c r="B722" s="14" t="s">
        <v>1435</v>
      </c>
      <c r="C722">
        <v>64</v>
      </c>
      <c r="D722" s="14" t="s">
        <v>30</v>
      </c>
      <c r="E722" s="1">
        <v>45916</v>
      </c>
      <c r="F722" s="1">
        <v>45680</v>
      </c>
      <c r="G722" s="14" t="s">
        <v>1436</v>
      </c>
      <c r="H722" s="14" t="s">
        <v>21</v>
      </c>
      <c r="I722">
        <v>91.36</v>
      </c>
      <c r="J722" s="14" t="s">
        <v>28</v>
      </c>
    </row>
    <row r="723" spans="1:10" x14ac:dyDescent="0.25">
      <c r="A723">
        <v>1085</v>
      </c>
      <c r="B723" s="14" t="s">
        <v>1437</v>
      </c>
      <c r="C723">
        <v>22</v>
      </c>
      <c r="D723" s="14" t="s">
        <v>30</v>
      </c>
      <c r="E723" s="1">
        <v>45932</v>
      </c>
      <c r="F723" s="1">
        <v>45842</v>
      </c>
      <c r="G723" s="14" t="s">
        <v>1438</v>
      </c>
      <c r="H723" s="14" t="s">
        <v>21</v>
      </c>
      <c r="I723">
        <v>498.58</v>
      </c>
      <c r="J723" s="14" t="s">
        <v>22</v>
      </c>
    </row>
    <row r="724" spans="1:10" x14ac:dyDescent="0.25">
      <c r="A724">
        <v>1003</v>
      </c>
      <c r="B724" s="14" t="s">
        <v>1439</v>
      </c>
      <c r="C724">
        <v>89</v>
      </c>
      <c r="D724" s="14" t="s">
        <v>30</v>
      </c>
      <c r="E724" s="1">
        <v>46013</v>
      </c>
      <c r="F724" s="1">
        <v>45724</v>
      </c>
      <c r="G724" s="14" t="s">
        <v>1440</v>
      </c>
      <c r="H724" s="14" t="s">
        <v>21</v>
      </c>
      <c r="I724">
        <v>453.73</v>
      </c>
      <c r="J724" s="14" t="s">
        <v>28</v>
      </c>
    </row>
    <row r="725" spans="1:10" x14ac:dyDescent="0.25">
      <c r="A725">
        <v>1030</v>
      </c>
      <c r="B725" s="14" t="s">
        <v>1441</v>
      </c>
      <c r="C725">
        <v>72</v>
      </c>
      <c r="D725" s="14" t="s">
        <v>30</v>
      </c>
      <c r="E725" s="1">
        <v>45787</v>
      </c>
      <c r="F725" s="1">
        <v>45715</v>
      </c>
      <c r="G725" s="14" t="s">
        <v>825</v>
      </c>
      <c r="H725" s="14" t="s">
        <v>18</v>
      </c>
      <c r="I725">
        <v>218.54</v>
      </c>
      <c r="J725" s="14" t="s">
        <v>22</v>
      </c>
    </row>
    <row r="726" spans="1:10" x14ac:dyDescent="0.25">
      <c r="A726">
        <v>1083</v>
      </c>
      <c r="B726" s="14" t="s">
        <v>1442</v>
      </c>
      <c r="C726">
        <v>40</v>
      </c>
      <c r="D726" s="14" t="s">
        <v>30</v>
      </c>
      <c r="E726" s="1">
        <v>45966</v>
      </c>
      <c r="F726" s="1">
        <v>45519</v>
      </c>
      <c r="G726" s="14" t="s">
        <v>1443</v>
      </c>
      <c r="H726" s="14" t="s">
        <v>15</v>
      </c>
      <c r="I726">
        <v>312.26</v>
      </c>
      <c r="J726" s="14" t="s">
        <v>22</v>
      </c>
    </row>
    <row r="727" spans="1:10" x14ac:dyDescent="0.25">
      <c r="A727">
        <v>1004</v>
      </c>
      <c r="B727" s="14" t="s">
        <v>1444</v>
      </c>
      <c r="C727">
        <v>36</v>
      </c>
      <c r="D727" s="14" t="s">
        <v>30</v>
      </c>
      <c r="E727" s="1">
        <v>46047</v>
      </c>
      <c r="F727" s="1">
        <v>45595</v>
      </c>
      <c r="G727" s="14" t="s">
        <v>1445</v>
      </c>
      <c r="H727" s="14" t="s">
        <v>12</v>
      </c>
      <c r="I727">
        <v>159.21</v>
      </c>
      <c r="J727" s="14" t="s">
        <v>28</v>
      </c>
    </row>
    <row r="728" spans="1:10" x14ac:dyDescent="0.25">
      <c r="A728">
        <v>1051</v>
      </c>
      <c r="B728" s="14" t="s">
        <v>1446</v>
      </c>
      <c r="C728">
        <v>71</v>
      </c>
      <c r="D728" s="14" t="s">
        <v>30</v>
      </c>
      <c r="E728" s="1">
        <v>46049</v>
      </c>
      <c r="F728" s="1">
        <v>45723</v>
      </c>
      <c r="G728" s="14" t="s">
        <v>1447</v>
      </c>
      <c r="H728" s="14" t="s">
        <v>12</v>
      </c>
      <c r="I728">
        <v>484.79</v>
      </c>
      <c r="J728" s="14" t="s">
        <v>28</v>
      </c>
    </row>
    <row r="729" spans="1:10" x14ac:dyDescent="0.25">
      <c r="A729">
        <v>1059</v>
      </c>
      <c r="B729" s="14" t="s">
        <v>1448</v>
      </c>
      <c r="C729">
        <v>81</v>
      </c>
      <c r="D729" s="14" t="s">
        <v>30</v>
      </c>
      <c r="E729" s="1">
        <v>45744</v>
      </c>
      <c r="F729" s="1">
        <v>45704</v>
      </c>
      <c r="G729" s="14" t="s">
        <v>1449</v>
      </c>
      <c r="H729" s="14" t="s">
        <v>12</v>
      </c>
      <c r="I729">
        <v>475.35</v>
      </c>
      <c r="J729" s="14" t="s">
        <v>22</v>
      </c>
    </row>
    <row r="730" spans="1:10" x14ac:dyDescent="0.25">
      <c r="A730">
        <v>1044</v>
      </c>
      <c r="B730" s="14" t="s">
        <v>1450</v>
      </c>
      <c r="C730">
        <v>21</v>
      </c>
      <c r="D730" s="14" t="s">
        <v>50</v>
      </c>
      <c r="E730" s="1">
        <v>45765</v>
      </c>
      <c r="F730" s="1">
        <v>45559</v>
      </c>
      <c r="G730" s="14" t="s">
        <v>1451</v>
      </c>
      <c r="H730" s="14" t="s">
        <v>21</v>
      </c>
      <c r="I730">
        <v>156.1</v>
      </c>
      <c r="J730" s="14" t="s">
        <v>28</v>
      </c>
    </row>
    <row r="731" spans="1:10" x14ac:dyDescent="0.25">
      <c r="A731">
        <v>1068</v>
      </c>
      <c r="B731" s="14" t="s">
        <v>1452</v>
      </c>
      <c r="C731">
        <v>87</v>
      </c>
      <c r="D731" s="14" t="s">
        <v>24</v>
      </c>
      <c r="E731" s="1">
        <v>45899</v>
      </c>
      <c r="F731" s="1">
        <v>45641</v>
      </c>
      <c r="G731" s="14" t="s">
        <v>1453</v>
      </c>
      <c r="H731" s="14" t="s">
        <v>21</v>
      </c>
      <c r="I731">
        <v>246.13</v>
      </c>
      <c r="J731" s="14" t="s">
        <v>22</v>
      </c>
    </row>
    <row r="732" spans="1:10" x14ac:dyDescent="0.25">
      <c r="A732">
        <v>1024</v>
      </c>
      <c r="B732" s="14" t="s">
        <v>1454</v>
      </c>
      <c r="C732">
        <v>60</v>
      </c>
      <c r="D732" s="14" t="s">
        <v>30</v>
      </c>
      <c r="E732" s="1">
        <v>45858</v>
      </c>
      <c r="F732" s="1">
        <v>45617</v>
      </c>
      <c r="G732" s="14" t="s">
        <v>1455</v>
      </c>
      <c r="H732" s="14" t="s">
        <v>12</v>
      </c>
      <c r="I732">
        <v>340.54</v>
      </c>
      <c r="J732" s="14" t="s">
        <v>22</v>
      </c>
    </row>
    <row r="733" spans="1:10" x14ac:dyDescent="0.25">
      <c r="A733">
        <v>1010</v>
      </c>
      <c r="B733" s="14" t="s">
        <v>1456</v>
      </c>
      <c r="C733">
        <v>72</v>
      </c>
      <c r="D733" s="14" t="s">
        <v>30</v>
      </c>
      <c r="E733" s="1">
        <v>46069</v>
      </c>
      <c r="F733" s="1">
        <v>45480</v>
      </c>
      <c r="G733" s="14" t="s">
        <v>1457</v>
      </c>
      <c r="H733" s="14" t="s">
        <v>21</v>
      </c>
      <c r="I733">
        <v>235.81</v>
      </c>
      <c r="J733" s="14" t="s">
        <v>22</v>
      </c>
    </row>
    <row r="734" spans="1:10" x14ac:dyDescent="0.25">
      <c r="A734">
        <v>1099</v>
      </c>
      <c r="B734" s="14" t="s">
        <v>1458</v>
      </c>
      <c r="C734">
        <v>25</v>
      </c>
      <c r="D734" s="14" t="s">
        <v>50</v>
      </c>
      <c r="E734" s="1">
        <v>45768</v>
      </c>
      <c r="F734" s="1">
        <v>45555</v>
      </c>
      <c r="G734" s="14" t="s">
        <v>1459</v>
      </c>
      <c r="H734" s="14" t="s">
        <v>12</v>
      </c>
      <c r="I734">
        <v>166.21</v>
      </c>
      <c r="J734" s="14" t="s">
        <v>22</v>
      </c>
    </row>
    <row r="735" spans="1:10" x14ac:dyDescent="0.25">
      <c r="A735">
        <v>1060</v>
      </c>
      <c r="B735" s="14" t="s">
        <v>1460</v>
      </c>
      <c r="C735">
        <v>39</v>
      </c>
      <c r="D735" s="14" t="s">
        <v>50</v>
      </c>
      <c r="E735" s="1">
        <v>46031</v>
      </c>
      <c r="F735" s="1">
        <v>45828</v>
      </c>
      <c r="G735" s="14" t="s">
        <v>1461</v>
      </c>
      <c r="H735" s="14" t="s">
        <v>12</v>
      </c>
      <c r="I735">
        <v>418.29</v>
      </c>
      <c r="J735" s="14" t="s">
        <v>22</v>
      </c>
    </row>
    <row r="736" spans="1:10" x14ac:dyDescent="0.25">
      <c r="A736">
        <v>1044</v>
      </c>
      <c r="B736" s="14" t="s">
        <v>1462</v>
      </c>
      <c r="C736">
        <v>63</v>
      </c>
      <c r="D736" s="14" t="s">
        <v>30</v>
      </c>
      <c r="E736" s="1">
        <v>45919</v>
      </c>
      <c r="F736" s="1">
        <v>45695</v>
      </c>
      <c r="G736" s="14" t="s">
        <v>1463</v>
      </c>
      <c r="H736" s="14" t="s">
        <v>21</v>
      </c>
      <c r="I736">
        <v>415.35</v>
      </c>
      <c r="J736" s="14" t="s">
        <v>22</v>
      </c>
    </row>
    <row r="737" spans="1:10" x14ac:dyDescent="0.25">
      <c r="A737">
        <v>1047</v>
      </c>
      <c r="B737" s="14" t="s">
        <v>1464</v>
      </c>
      <c r="C737">
        <v>33</v>
      </c>
      <c r="D737" s="14" t="s">
        <v>50</v>
      </c>
      <c r="E737" s="1">
        <v>46071</v>
      </c>
      <c r="F737" s="1">
        <v>45445</v>
      </c>
      <c r="G737" s="14" t="s">
        <v>1465</v>
      </c>
      <c r="H737" s="14" t="s">
        <v>21</v>
      </c>
      <c r="I737">
        <v>307.29000000000002</v>
      </c>
      <c r="J737" s="14" t="s">
        <v>28</v>
      </c>
    </row>
    <row r="738" spans="1:10" x14ac:dyDescent="0.25">
      <c r="A738">
        <v>1063</v>
      </c>
      <c r="B738" s="14" t="s">
        <v>1466</v>
      </c>
      <c r="C738">
        <v>88</v>
      </c>
      <c r="D738" s="14" t="s">
        <v>30</v>
      </c>
      <c r="E738" s="1">
        <v>45995</v>
      </c>
      <c r="F738" s="1">
        <v>45941</v>
      </c>
      <c r="G738" s="14" t="s">
        <v>1467</v>
      </c>
      <c r="H738" s="14" t="s">
        <v>15</v>
      </c>
      <c r="I738">
        <v>268.75</v>
      </c>
      <c r="J738" s="14" t="s">
        <v>22</v>
      </c>
    </row>
    <row r="739" spans="1:10" x14ac:dyDescent="0.25">
      <c r="A739">
        <v>1036</v>
      </c>
      <c r="B739" s="14" t="s">
        <v>1468</v>
      </c>
      <c r="C739">
        <v>44</v>
      </c>
      <c r="D739" s="14" t="s">
        <v>50</v>
      </c>
      <c r="E739" s="1">
        <v>45943</v>
      </c>
      <c r="F739" s="1">
        <v>45459</v>
      </c>
      <c r="G739" s="14" t="s">
        <v>1469</v>
      </c>
      <c r="H739" s="14" t="s">
        <v>15</v>
      </c>
      <c r="I739">
        <v>248.97</v>
      </c>
      <c r="J739" s="14" t="s">
        <v>28</v>
      </c>
    </row>
    <row r="740" spans="1:10" x14ac:dyDescent="0.25">
      <c r="A740">
        <v>1002</v>
      </c>
      <c r="B740" s="14" t="s">
        <v>1470</v>
      </c>
      <c r="C740">
        <v>28</v>
      </c>
      <c r="D740" s="14" t="s">
        <v>30</v>
      </c>
      <c r="E740" s="1">
        <v>45810</v>
      </c>
      <c r="F740" s="1">
        <v>45464</v>
      </c>
      <c r="G740" s="14" t="s">
        <v>1471</v>
      </c>
      <c r="H740" s="14" t="s">
        <v>18</v>
      </c>
      <c r="I740">
        <v>270.70999999999998</v>
      </c>
      <c r="J740" s="14" t="s">
        <v>22</v>
      </c>
    </row>
    <row r="741" spans="1:10" x14ac:dyDescent="0.25">
      <c r="A741">
        <v>1075</v>
      </c>
      <c r="B741" s="14" t="s">
        <v>1472</v>
      </c>
      <c r="C741">
        <v>25</v>
      </c>
      <c r="D741" s="14" t="s">
        <v>30</v>
      </c>
      <c r="E741" s="1">
        <v>45903</v>
      </c>
      <c r="F741" s="1">
        <v>45592</v>
      </c>
      <c r="G741" s="14" t="s">
        <v>1473</v>
      </c>
      <c r="H741" s="14" t="s">
        <v>15</v>
      </c>
      <c r="I741">
        <v>253.36</v>
      </c>
      <c r="J741" s="14" t="s">
        <v>28</v>
      </c>
    </row>
    <row r="742" spans="1:10" x14ac:dyDescent="0.25">
      <c r="A742">
        <v>1090</v>
      </c>
      <c r="B742" s="14" t="s">
        <v>1474</v>
      </c>
      <c r="C742">
        <v>85</v>
      </c>
      <c r="D742" s="14" t="s">
        <v>50</v>
      </c>
      <c r="E742" s="1">
        <v>46042</v>
      </c>
      <c r="F742" s="1">
        <v>45726</v>
      </c>
      <c r="G742" s="14" t="s">
        <v>2000</v>
      </c>
      <c r="H742" s="14" t="s">
        <v>18</v>
      </c>
      <c r="I742">
        <v>192.87</v>
      </c>
      <c r="J742" s="14" t="s">
        <v>22</v>
      </c>
    </row>
    <row r="743" spans="1:10" x14ac:dyDescent="0.25">
      <c r="A743">
        <v>1000</v>
      </c>
      <c r="B743" s="14" t="s">
        <v>1475</v>
      </c>
      <c r="C743">
        <v>18</v>
      </c>
      <c r="D743" s="14" t="s">
        <v>50</v>
      </c>
      <c r="E743" s="1">
        <v>45883</v>
      </c>
      <c r="F743" s="1">
        <v>45757</v>
      </c>
      <c r="G743" s="14" t="s">
        <v>1476</v>
      </c>
      <c r="H743" s="14" t="s">
        <v>15</v>
      </c>
      <c r="I743">
        <v>362.08</v>
      </c>
      <c r="J743" s="14" t="s">
        <v>22</v>
      </c>
    </row>
    <row r="744" spans="1:10" x14ac:dyDescent="0.25">
      <c r="A744">
        <v>1073</v>
      </c>
      <c r="B744" s="14" t="s">
        <v>1477</v>
      </c>
      <c r="C744">
        <v>75</v>
      </c>
      <c r="D744" s="14" t="s">
        <v>24</v>
      </c>
      <c r="E744" s="1">
        <v>46028</v>
      </c>
      <c r="F744" s="1">
        <v>45710</v>
      </c>
      <c r="G744" s="14" t="s">
        <v>1478</v>
      </c>
      <c r="H744" s="14" t="s">
        <v>21</v>
      </c>
      <c r="I744">
        <v>306.62</v>
      </c>
      <c r="J744" s="14" t="s">
        <v>22</v>
      </c>
    </row>
    <row r="745" spans="1:10" x14ac:dyDescent="0.25">
      <c r="A745">
        <v>1075</v>
      </c>
      <c r="B745" s="14" t="s">
        <v>1479</v>
      </c>
      <c r="C745">
        <v>73</v>
      </c>
      <c r="D745" s="14" t="s">
        <v>50</v>
      </c>
      <c r="E745" s="1">
        <v>45752</v>
      </c>
      <c r="F745" s="1">
        <v>45646</v>
      </c>
      <c r="G745" s="14" t="s">
        <v>1480</v>
      </c>
      <c r="H745" s="14" t="s">
        <v>18</v>
      </c>
      <c r="I745">
        <v>348.18</v>
      </c>
      <c r="J745" s="14" t="s">
        <v>22</v>
      </c>
    </row>
    <row r="746" spans="1:10" x14ac:dyDescent="0.25">
      <c r="A746">
        <v>1033</v>
      </c>
      <c r="B746" s="14" t="s">
        <v>1481</v>
      </c>
      <c r="C746">
        <v>58</v>
      </c>
      <c r="D746" s="14" t="s">
        <v>50</v>
      </c>
      <c r="E746" s="1">
        <v>45801</v>
      </c>
      <c r="F746" s="1">
        <v>45544</v>
      </c>
      <c r="G746" s="14" t="s">
        <v>1482</v>
      </c>
      <c r="H746" s="14" t="s">
        <v>15</v>
      </c>
      <c r="I746">
        <v>298.42</v>
      </c>
      <c r="J746" s="14" t="s">
        <v>28</v>
      </c>
    </row>
    <row r="747" spans="1:10" x14ac:dyDescent="0.25">
      <c r="A747">
        <v>1051</v>
      </c>
      <c r="B747" s="14" t="s">
        <v>709</v>
      </c>
      <c r="C747">
        <v>52</v>
      </c>
      <c r="D747" s="14" t="s">
        <v>50</v>
      </c>
      <c r="E747" s="1">
        <v>45961</v>
      </c>
      <c r="F747" s="1">
        <v>45536</v>
      </c>
      <c r="G747" s="14" t="s">
        <v>1483</v>
      </c>
      <c r="H747" s="14" t="s">
        <v>18</v>
      </c>
      <c r="J747" s="14" t="s">
        <v>22</v>
      </c>
    </row>
    <row r="748" spans="1:10" x14ac:dyDescent="0.25">
      <c r="A748">
        <v>1021</v>
      </c>
      <c r="B748" s="14" t="s">
        <v>1484</v>
      </c>
      <c r="C748">
        <v>41</v>
      </c>
      <c r="D748" s="14" t="s">
        <v>50</v>
      </c>
      <c r="E748" s="1">
        <v>45911</v>
      </c>
      <c r="F748" s="1">
        <v>45626</v>
      </c>
      <c r="G748" s="14" t="s">
        <v>2001</v>
      </c>
      <c r="H748" s="14" t="s">
        <v>21</v>
      </c>
      <c r="I748">
        <v>473.2</v>
      </c>
      <c r="J748" s="14" t="s">
        <v>22</v>
      </c>
    </row>
    <row r="749" spans="1:10" x14ac:dyDescent="0.25">
      <c r="A749">
        <v>1052</v>
      </c>
      <c r="B749" s="14" t="s">
        <v>1485</v>
      </c>
      <c r="C749">
        <v>80</v>
      </c>
      <c r="D749" s="14" t="s">
        <v>30</v>
      </c>
      <c r="E749" s="1">
        <v>45781</v>
      </c>
      <c r="F749" s="1">
        <v>45555</v>
      </c>
      <c r="G749" s="14" t="s">
        <v>1486</v>
      </c>
      <c r="H749" s="14" t="s">
        <v>12</v>
      </c>
      <c r="I749">
        <v>124.09</v>
      </c>
      <c r="J749" s="14" t="s">
        <v>22</v>
      </c>
    </row>
    <row r="750" spans="1:10" x14ac:dyDescent="0.25">
      <c r="A750">
        <v>1028</v>
      </c>
      <c r="B750" s="14" t="s">
        <v>1487</v>
      </c>
      <c r="C750">
        <v>24</v>
      </c>
      <c r="D750" s="14" t="s">
        <v>30</v>
      </c>
      <c r="E750" s="1">
        <v>46085</v>
      </c>
      <c r="F750" s="1">
        <v>45749</v>
      </c>
      <c r="G750" s="14" t="s">
        <v>1488</v>
      </c>
      <c r="H750" s="14" t="s">
        <v>21</v>
      </c>
      <c r="I750">
        <v>52.32</v>
      </c>
      <c r="J750" s="14" t="s">
        <v>28</v>
      </c>
    </row>
    <row r="751" spans="1:10" x14ac:dyDescent="0.25">
      <c r="A751">
        <v>1062</v>
      </c>
      <c r="B751" s="14" t="s">
        <v>2002</v>
      </c>
      <c r="C751">
        <v>23</v>
      </c>
      <c r="D751" s="14" t="s">
        <v>30</v>
      </c>
      <c r="E751" s="1">
        <v>46051</v>
      </c>
      <c r="F751" s="1">
        <v>45474</v>
      </c>
      <c r="G751" s="14" t="s">
        <v>1489</v>
      </c>
      <c r="H751" s="14" t="s">
        <v>15</v>
      </c>
      <c r="I751">
        <v>151.03</v>
      </c>
      <c r="J751" s="14" t="s">
        <v>22</v>
      </c>
    </row>
    <row r="752" spans="1:10" x14ac:dyDescent="0.25">
      <c r="A752">
        <v>1088</v>
      </c>
      <c r="B752" s="14" t="s">
        <v>1490</v>
      </c>
      <c r="C752">
        <v>80</v>
      </c>
      <c r="D752" s="14" t="s">
        <v>30</v>
      </c>
      <c r="E752" s="1">
        <v>45839</v>
      </c>
      <c r="F752" s="1">
        <v>45608</v>
      </c>
      <c r="G752" s="14" t="s">
        <v>1491</v>
      </c>
      <c r="H752" s="14" t="s">
        <v>21</v>
      </c>
      <c r="I752">
        <v>417.42</v>
      </c>
      <c r="J752" s="14" t="s">
        <v>28</v>
      </c>
    </row>
    <row r="753" spans="1:10" x14ac:dyDescent="0.25">
      <c r="A753">
        <v>1028</v>
      </c>
      <c r="B753" s="14" t="s">
        <v>1492</v>
      </c>
      <c r="C753">
        <v>26</v>
      </c>
      <c r="D753" s="14" t="s">
        <v>30</v>
      </c>
      <c r="E753" s="1">
        <v>45915</v>
      </c>
      <c r="F753" s="1">
        <v>45790</v>
      </c>
      <c r="G753" s="14" t="s">
        <v>1493</v>
      </c>
      <c r="H753" s="14" t="s">
        <v>12</v>
      </c>
      <c r="I753">
        <v>112.9</v>
      </c>
      <c r="J753" s="14" t="s">
        <v>28</v>
      </c>
    </row>
    <row r="754" spans="1:10" x14ac:dyDescent="0.25">
      <c r="A754">
        <v>1050</v>
      </c>
      <c r="B754" s="14" t="s">
        <v>1494</v>
      </c>
      <c r="C754">
        <v>65</v>
      </c>
      <c r="D754" s="14" t="s">
        <v>50</v>
      </c>
      <c r="E754" s="1">
        <v>46085</v>
      </c>
      <c r="F754" s="1">
        <v>45444</v>
      </c>
      <c r="G754" s="14" t="s">
        <v>1495</v>
      </c>
      <c r="H754" s="14" t="s">
        <v>21</v>
      </c>
      <c r="I754">
        <v>126.44</v>
      </c>
      <c r="J754" s="14" t="s">
        <v>28</v>
      </c>
    </row>
    <row r="755" spans="1:10" x14ac:dyDescent="0.25">
      <c r="A755">
        <v>1004</v>
      </c>
      <c r="B755" s="14" t="s">
        <v>1496</v>
      </c>
      <c r="C755">
        <v>54</v>
      </c>
      <c r="D755" s="14" t="s">
        <v>50</v>
      </c>
      <c r="E755" s="1">
        <v>45903</v>
      </c>
      <c r="F755" s="1">
        <v>45708</v>
      </c>
      <c r="G755" s="14" t="s">
        <v>1497</v>
      </c>
      <c r="H755" s="14" t="s">
        <v>12</v>
      </c>
      <c r="I755">
        <v>185.15</v>
      </c>
      <c r="J755" s="14" t="s">
        <v>22</v>
      </c>
    </row>
    <row r="756" spans="1:10" x14ac:dyDescent="0.25">
      <c r="A756">
        <v>1044</v>
      </c>
      <c r="B756" s="14" t="s">
        <v>1498</v>
      </c>
      <c r="C756">
        <v>58</v>
      </c>
      <c r="D756" s="14" t="s">
        <v>50</v>
      </c>
      <c r="E756" s="1">
        <v>45818</v>
      </c>
      <c r="F756" s="1">
        <v>45506</v>
      </c>
      <c r="G756" s="14" t="s">
        <v>1499</v>
      </c>
      <c r="H756" s="14" t="s">
        <v>15</v>
      </c>
      <c r="J756" s="14" t="s">
        <v>22</v>
      </c>
    </row>
    <row r="757" spans="1:10" x14ac:dyDescent="0.25">
      <c r="A757">
        <v>1030</v>
      </c>
      <c r="B757" s="14" t="s">
        <v>1500</v>
      </c>
      <c r="C757">
        <v>42</v>
      </c>
      <c r="D757" s="14" t="s">
        <v>50</v>
      </c>
      <c r="E757" s="1">
        <v>45954</v>
      </c>
      <c r="F757" s="1">
        <v>45623</v>
      </c>
      <c r="G757" s="14" t="s">
        <v>1501</v>
      </c>
      <c r="H757" s="14" t="s">
        <v>18</v>
      </c>
      <c r="I757">
        <v>258.89999999999998</v>
      </c>
      <c r="J757" s="14" t="s">
        <v>28</v>
      </c>
    </row>
    <row r="758" spans="1:10" x14ac:dyDescent="0.25">
      <c r="A758">
        <v>1073</v>
      </c>
      <c r="B758" s="14" t="s">
        <v>1502</v>
      </c>
      <c r="C758">
        <v>84</v>
      </c>
      <c r="D758" s="14" t="s">
        <v>50</v>
      </c>
      <c r="E758" s="1">
        <v>45929</v>
      </c>
      <c r="F758" s="1">
        <v>45467</v>
      </c>
      <c r="G758" s="14" t="s">
        <v>1503</v>
      </c>
      <c r="H758" s="14" t="s">
        <v>18</v>
      </c>
      <c r="I758">
        <v>477.08</v>
      </c>
      <c r="J758" s="14" t="s">
        <v>22</v>
      </c>
    </row>
    <row r="759" spans="1:10" x14ac:dyDescent="0.25">
      <c r="A759">
        <v>1018</v>
      </c>
      <c r="B759" s="14" t="s">
        <v>1504</v>
      </c>
      <c r="C759">
        <v>55</v>
      </c>
      <c r="D759" s="14" t="s">
        <v>50</v>
      </c>
      <c r="E759" s="1">
        <v>46014</v>
      </c>
      <c r="F759" s="1">
        <v>45711</v>
      </c>
      <c r="G759" s="14" t="s">
        <v>1505</v>
      </c>
      <c r="H759" s="14" t="s">
        <v>18</v>
      </c>
      <c r="I759">
        <v>306.8</v>
      </c>
      <c r="J759" s="14" t="s">
        <v>22</v>
      </c>
    </row>
    <row r="760" spans="1:10" x14ac:dyDescent="0.25">
      <c r="A760">
        <v>1062</v>
      </c>
      <c r="B760" s="14" t="s">
        <v>1506</v>
      </c>
      <c r="C760">
        <v>84</v>
      </c>
      <c r="D760" s="14" t="s">
        <v>30</v>
      </c>
      <c r="E760" s="1">
        <v>45896</v>
      </c>
      <c r="F760" s="1">
        <v>45445</v>
      </c>
      <c r="G760" s="14" t="s">
        <v>1507</v>
      </c>
      <c r="H760" s="14" t="s">
        <v>12</v>
      </c>
      <c r="I760">
        <v>190.01</v>
      </c>
      <c r="J760" s="14" t="s">
        <v>22</v>
      </c>
    </row>
    <row r="761" spans="1:10" x14ac:dyDescent="0.25">
      <c r="A761">
        <v>1014</v>
      </c>
      <c r="B761" s="14" t="s">
        <v>1508</v>
      </c>
      <c r="C761">
        <v>67</v>
      </c>
      <c r="D761" s="14" t="s">
        <v>30</v>
      </c>
      <c r="E761" s="1">
        <v>46107</v>
      </c>
      <c r="F761" s="1">
        <v>46088</v>
      </c>
      <c r="G761" s="14" t="s">
        <v>1509</v>
      </c>
      <c r="H761" s="14" t="s">
        <v>21</v>
      </c>
      <c r="I761">
        <v>281.44</v>
      </c>
      <c r="J761" s="14" t="s">
        <v>22</v>
      </c>
    </row>
    <row r="762" spans="1:10" x14ac:dyDescent="0.25">
      <c r="A762">
        <v>1030</v>
      </c>
      <c r="B762" s="14" t="s">
        <v>1510</v>
      </c>
      <c r="C762">
        <v>40</v>
      </c>
      <c r="D762" s="14" t="s">
        <v>50</v>
      </c>
      <c r="E762" s="1">
        <v>45994</v>
      </c>
      <c r="F762" s="1">
        <v>45908</v>
      </c>
      <c r="G762" s="14" t="s">
        <v>1511</v>
      </c>
      <c r="H762" s="14" t="s">
        <v>15</v>
      </c>
      <c r="I762">
        <v>252.73</v>
      </c>
      <c r="J762" s="14" t="s">
        <v>28</v>
      </c>
    </row>
    <row r="763" spans="1:10" x14ac:dyDescent="0.25">
      <c r="A763">
        <v>1081</v>
      </c>
      <c r="B763" s="14" t="s">
        <v>1512</v>
      </c>
      <c r="C763">
        <v>72</v>
      </c>
      <c r="D763" s="14" t="s">
        <v>30</v>
      </c>
      <c r="E763" s="1">
        <v>45751</v>
      </c>
      <c r="F763" s="1">
        <v>45643</v>
      </c>
      <c r="G763" s="14" t="s">
        <v>1513</v>
      </c>
      <c r="H763" s="14" t="s">
        <v>21</v>
      </c>
      <c r="I763">
        <v>397</v>
      </c>
      <c r="J763" s="14" t="s">
        <v>22</v>
      </c>
    </row>
    <row r="764" spans="1:10" x14ac:dyDescent="0.25">
      <c r="A764">
        <v>1065</v>
      </c>
      <c r="B764" s="14" t="s">
        <v>1514</v>
      </c>
      <c r="C764">
        <v>32</v>
      </c>
      <c r="D764" s="14" t="s">
        <v>50</v>
      </c>
      <c r="E764" s="1">
        <v>45790</v>
      </c>
      <c r="F764" s="1">
        <v>45525</v>
      </c>
      <c r="G764" s="14" t="s">
        <v>1515</v>
      </c>
      <c r="H764" s="14" t="s">
        <v>12</v>
      </c>
      <c r="I764">
        <v>392</v>
      </c>
      <c r="J764" s="14" t="s">
        <v>28</v>
      </c>
    </row>
    <row r="765" spans="1:10" x14ac:dyDescent="0.25">
      <c r="A765">
        <v>1081</v>
      </c>
      <c r="B765" s="14" t="s">
        <v>1516</v>
      </c>
      <c r="C765">
        <v>65</v>
      </c>
      <c r="D765" s="14" t="s">
        <v>30</v>
      </c>
      <c r="E765" s="1">
        <v>45937</v>
      </c>
      <c r="F765" s="1">
        <v>45635</v>
      </c>
      <c r="G765" s="14" t="s">
        <v>1517</v>
      </c>
      <c r="H765" s="14" t="s">
        <v>15</v>
      </c>
      <c r="J765" s="14" t="s">
        <v>22</v>
      </c>
    </row>
    <row r="766" spans="1:10" x14ac:dyDescent="0.25">
      <c r="A766">
        <v>1017</v>
      </c>
      <c r="B766" s="14" t="s">
        <v>1518</v>
      </c>
      <c r="C766">
        <v>82</v>
      </c>
      <c r="D766" s="14" t="s">
        <v>30</v>
      </c>
      <c r="E766" s="1">
        <v>46037</v>
      </c>
      <c r="F766" s="1">
        <v>45862</v>
      </c>
      <c r="G766" s="14" t="s">
        <v>1519</v>
      </c>
      <c r="H766" s="14" t="s">
        <v>21</v>
      </c>
      <c r="I766">
        <v>156.61000000000001</v>
      </c>
      <c r="J766" s="14" t="s">
        <v>22</v>
      </c>
    </row>
    <row r="767" spans="1:10" x14ac:dyDescent="0.25">
      <c r="A767">
        <v>1001</v>
      </c>
      <c r="B767" s="14" t="s">
        <v>1520</v>
      </c>
      <c r="C767">
        <v>61</v>
      </c>
      <c r="D767" s="14" t="s">
        <v>50</v>
      </c>
      <c r="E767" s="1">
        <v>45954</v>
      </c>
      <c r="F767" s="1">
        <v>45890</v>
      </c>
      <c r="G767" s="14" t="s">
        <v>1521</v>
      </c>
      <c r="H767" s="14" t="s">
        <v>15</v>
      </c>
      <c r="I767">
        <v>81.87</v>
      </c>
      <c r="J767" s="14" t="s">
        <v>28</v>
      </c>
    </row>
    <row r="768" spans="1:10" x14ac:dyDescent="0.25">
      <c r="A768">
        <v>1042</v>
      </c>
      <c r="B768" s="14" t="s">
        <v>1522</v>
      </c>
      <c r="C768">
        <v>75</v>
      </c>
      <c r="D768" s="14" t="s">
        <v>50</v>
      </c>
      <c r="E768" s="1">
        <v>46008</v>
      </c>
      <c r="F768" s="1">
        <v>45557</v>
      </c>
      <c r="G768" s="14" t="s">
        <v>1523</v>
      </c>
      <c r="H768" s="14" t="s">
        <v>18</v>
      </c>
      <c r="I768">
        <v>438.16</v>
      </c>
      <c r="J768" s="14" t="s">
        <v>22</v>
      </c>
    </row>
    <row r="769" spans="1:10" x14ac:dyDescent="0.25">
      <c r="A769">
        <v>1015</v>
      </c>
      <c r="B769" s="14" t="s">
        <v>1524</v>
      </c>
      <c r="C769">
        <v>35</v>
      </c>
      <c r="D769" s="14" t="s">
        <v>30</v>
      </c>
      <c r="E769" s="1">
        <v>45959</v>
      </c>
      <c r="F769" s="1">
        <v>45821</v>
      </c>
      <c r="G769" s="14" t="s">
        <v>1525</v>
      </c>
      <c r="H769" s="14" t="s">
        <v>21</v>
      </c>
      <c r="I769">
        <v>447.77</v>
      </c>
      <c r="J769" s="14" t="s">
        <v>22</v>
      </c>
    </row>
    <row r="770" spans="1:10" x14ac:dyDescent="0.25">
      <c r="A770">
        <v>1098</v>
      </c>
      <c r="B770" s="14" t="s">
        <v>1526</v>
      </c>
      <c r="C770">
        <v>66</v>
      </c>
      <c r="D770" s="14" t="s">
        <v>30</v>
      </c>
      <c r="E770" s="1">
        <v>45794</v>
      </c>
      <c r="F770" s="1">
        <v>45533</v>
      </c>
      <c r="G770" s="14" t="s">
        <v>1527</v>
      </c>
      <c r="H770" s="14" t="s">
        <v>18</v>
      </c>
      <c r="I770">
        <v>139.99</v>
      </c>
      <c r="J770" s="14" t="s">
        <v>22</v>
      </c>
    </row>
    <row r="771" spans="1:10" x14ac:dyDescent="0.25">
      <c r="A771">
        <v>1099</v>
      </c>
      <c r="B771" s="14" t="s">
        <v>436</v>
      </c>
      <c r="C771">
        <v>42</v>
      </c>
      <c r="D771" s="14" t="s">
        <v>50</v>
      </c>
      <c r="E771" s="1">
        <v>45868</v>
      </c>
      <c r="F771" s="1">
        <v>45725</v>
      </c>
      <c r="G771" s="14" t="s">
        <v>1528</v>
      </c>
      <c r="H771" s="14" t="s">
        <v>12</v>
      </c>
      <c r="I771">
        <v>393.1</v>
      </c>
      <c r="J771" s="14" t="s">
        <v>28</v>
      </c>
    </row>
    <row r="772" spans="1:10" x14ac:dyDescent="0.25">
      <c r="A772">
        <v>1032</v>
      </c>
      <c r="B772" s="14" t="s">
        <v>1529</v>
      </c>
      <c r="C772">
        <v>19</v>
      </c>
      <c r="D772" s="14" t="s">
        <v>30</v>
      </c>
      <c r="E772" s="1">
        <v>45907</v>
      </c>
      <c r="F772" s="1">
        <v>45442</v>
      </c>
      <c r="G772" s="14" t="s">
        <v>1530</v>
      </c>
      <c r="H772" s="14" t="s">
        <v>12</v>
      </c>
      <c r="I772">
        <v>248.78</v>
      </c>
      <c r="J772" s="14" t="s">
        <v>28</v>
      </c>
    </row>
    <row r="773" spans="1:10" x14ac:dyDescent="0.25">
      <c r="A773">
        <v>1034</v>
      </c>
      <c r="B773" s="14" t="s">
        <v>1531</v>
      </c>
      <c r="C773">
        <v>41</v>
      </c>
      <c r="D773" s="14" t="s">
        <v>50</v>
      </c>
      <c r="E773" s="1">
        <v>46056</v>
      </c>
      <c r="F773" s="1">
        <v>45934</v>
      </c>
      <c r="G773" s="14" t="s">
        <v>1532</v>
      </c>
      <c r="H773" s="14" t="s">
        <v>12</v>
      </c>
      <c r="I773">
        <v>453.09</v>
      </c>
      <c r="J773" s="14" t="s">
        <v>28</v>
      </c>
    </row>
    <row r="774" spans="1:10" x14ac:dyDescent="0.25">
      <c r="A774">
        <v>1005</v>
      </c>
      <c r="B774" s="14" t="s">
        <v>1227</v>
      </c>
      <c r="C774">
        <v>27</v>
      </c>
      <c r="D774" s="14" t="s">
        <v>30</v>
      </c>
      <c r="E774" s="1">
        <v>45984</v>
      </c>
      <c r="F774" s="1">
        <v>45394</v>
      </c>
      <c r="G774" s="14" t="s">
        <v>1533</v>
      </c>
      <c r="H774" s="14" t="s">
        <v>21</v>
      </c>
      <c r="I774">
        <v>57.05</v>
      </c>
      <c r="J774" s="14" t="s">
        <v>28</v>
      </c>
    </row>
    <row r="775" spans="1:10" x14ac:dyDescent="0.25">
      <c r="A775">
        <v>1050</v>
      </c>
      <c r="B775" s="14" t="s">
        <v>1534</v>
      </c>
      <c r="C775">
        <v>21</v>
      </c>
      <c r="D775" s="14" t="s">
        <v>30</v>
      </c>
      <c r="E775" s="1">
        <v>45853</v>
      </c>
      <c r="F775" s="1">
        <v>45496</v>
      </c>
      <c r="G775" s="14" t="s">
        <v>1535</v>
      </c>
      <c r="H775" s="14" t="s">
        <v>18</v>
      </c>
      <c r="I775">
        <v>386.04</v>
      </c>
      <c r="J775" s="14" t="s">
        <v>22</v>
      </c>
    </row>
    <row r="776" spans="1:10" x14ac:dyDescent="0.25">
      <c r="A776">
        <v>1069</v>
      </c>
      <c r="B776" s="14" t="s">
        <v>1536</v>
      </c>
      <c r="C776">
        <v>20</v>
      </c>
      <c r="D776" s="14" t="s">
        <v>50</v>
      </c>
      <c r="E776" s="1">
        <v>45778</v>
      </c>
      <c r="F776" s="1">
        <v>45775</v>
      </c>
      <c r="G776" s="14" t="s">
        <v>1537</v>
      </c>
      <c r="H776" s="14" t="s">
        <v>15</v>
      </c>
      <c r="I776">
        <v>204.82</v>
      </c>
      <c r="J776" s="14" t="s">
        <v>22</v>
      </c>
    </row>
    <row r="777" spans="1:10" x14ac:dyDescent="0.25">
      <c r="A777">
        <v>1001</v>
      </c>
      <c r="B777" s="14" t="s">
        <v>1538</v>
      </c>
      <c r="C777">
        <v>84</v>
      </c>
      <c r="D777" s="14" t="s">
        <v>50</v>
      </c>
      <c r="E777" s="1">
        <v>46065</v>
      </c>
      <c r="F777" s="1">
        <v>45464</v>
      </c>
      <c r="G777" s="14" t="s">
        <v>1539</v>
      </c>
      <c r="H777" s="14" t="s">
        <v>12</v>
      </c>
      <c r="I777">
        <v>239.93</v>
      </c>
      <c r="J777" s="14" t="s">
        <v>22</v>
      </c>
    </row>
    <row r="778" spans="1:10" x14ac:dyDescent="0.25">
      <c r="A778">
        <v>1066</v>
      </c>
      <c r="B778" s="14" t="s">
        <v>1540</v>
      </c>
      <c r="C778">
        <v>74</v>
      </c>
      <c r="D778" s="14" t="s">
        <v>30</v>
      </c>
      <c r="E778" s="1">
        <v>45800</v>
      </c>
      <c r="F778" s="1">
        <v>45652</v>
      </c>
      <c r="G778" s="14" t="s">
        <v>1541</v>
      </c>
      <c r="H778" s="14" t="s">
        <v>15</v>
      </c>
      <c r="I778">
        <v>486.07</v>
      </c>
      <c r="J778" s="14" t="s">
        <v>28</v>
      </c>
    </row>
    <row r="779" spans="1:10" x14ac:dyDescent="0.25">
      <c r="A779">
        <v>1018</v>
      </c>
      <c r="B779" s="14" t="s">
        <v>1542</v>
      </c>
      <c r="C779">
        <v>70</v>
      </c>
      <c r="D779" s="14" t="s">
        <v>30</v>
      </c>
      <c r="E779" s="1">
        <v>45778</v>
      </c>
      <c r="F779" s="1">
        <v>45552</v>
      </c>
      <c r="G779" s="14" t="s">
        <v>1543</v>
      </c>
      <c r="H779" s="14" t="s">
        <v>12</v>
      </c>
      <c r="I779">
        <v>73.349999999999994</v>
      </c>
      <c r="J779" s="14" t="s">
        <v>28</v>
      </c>
    </row>
    <row r="780" spans="1:10" x14ac:dyDescent="0.25">
      <c r="A780">
        <v>1033</v>
      </c>
      <c r="B780" s="14" t="s">
        <v>1544</v>
      </c>
      <c r="C780">
        <v>75</v>
      </c>
      <c r="D780" s="14" t="s">
        <v>30</v>
      </c>
      <c r="E780" s="1">
        <v>46075</v>
      </c>
      <c r="F780" s="1">
        <v>45713</v>
      </c>
      <c r="G780" s="14" t="s">
        <v>1545</v>
      </c>
      <c r="H780" s="14" t="s">
        <v>21</v>
      </c>
      <c r="I780">
        <v>144.78</v>
      </c>
      <c r="J780" s="14" t="s">
        <v>28</v>
      </c>
    </row>
    <row r="781" spans="1:10" x14ac:dyDescent="0.25">
      <c r="A781">
        <v>1094</v>
      </c>
      <c r="B781" s="14" t="s">
        <v>1546</v>
      </c>
      <c r="C781">
        <v>87</v>
      </c>
      <c r="D781" s="14" t="s">
        <v>50</v>
      </c>
      <c r="E781" s="1">
        <v>45952</v>
      </c>
      <c r="F781" s="1">
        <v>45716</v>
      </c>
      <c r="G781" s="14" t="s">
        <v>1547</v>
      </c>
      <c r="H781" s="14" t="s">
        <v>12</v>
      </c>
      <c r="I781">
        <v>92.16</v>
      </c>
      <c r="J781" s="14" t="s">
        <v>28</v>
      </c>
    </row>
    <row r="782" spans="1:10" x14ac:dyDescent="0.25">
      <c r="A782">
        <v>1078</v>
      </c>
      <c r="B782" s="14" t="s">
        <v>1548</v>
      </c>
      <c r="C782">
        <v>52</v>
      </c>
      <c r="D782" s="14" t="s">
        <v>30</v>
      </c>
      <c r="E782" s="1">
        <v>45985</v>
      </c>
      <c r="F782" s="1">
        <v>45422</v>
      </c>
      <c r="G782" s="14" t="s">
        <v>1549</v>
      </c>
      <c r="H782" s="14" t="s">
        <v>12</v>
      </c>
      <c r="I782">
        <v>164.9</v>
      </c>
      <c r="J782" s="14" t="s">
        <v>22</v>
      </c>
    </row>
    <row r="783" spans="1:10" x14ac:dyDescent="0.25">
      <c r="A783">
        <v>1072</v>
      </c>
      <c r="B783" s="14" t="s">
        <v>2003</v>
      </c>
      <c r="C783">
        <v>86</v>
      </c>
      <c r="D783" s="14" t="s">
        <v>30</v>
      </c>
      <c r="E783" s="1">
        <v>45842</v>
      </c>
      <c r="F783" s="1">
        <v>45676</v>
      </c>
      <c r="G783" s="14" t="s">
        <v>1550</v>
      </c>
      <c r="H783" s="14" t="s">
        <v>15</v>
      </c>
      <c r="I783">
        <v>74.84</v>
      </c>
      <c r="J783" s="14" t="s">
        <v>28</v>
      </c>
    </row>
    <row r="784" spans="1:10" x14ac:dyDescent="0.25">
      <c r="A784">
        <v>1011</v>
      </c>
      <c r="B784" s="14" t="s">
        <v>1551</v>
      </c>
      <c r="C784">
        <v>65</v>
      </c>
      <c r="D784" s="14" t="s">
        <v>30</v>
      </c>
      <c r="E784" s="1">
        <v>45923</v>
      </c>
      <c r="F784" s="1">
        <v>45383</v>
      </c>
      <c r="G784" s="14" t="s">
        <v>23</v>
      </c>
      <c r="H784" s="14" t="s">
        <v>15</v>
      </c>
      <c r="I784">
        <v>230.11</v>
      </c>
      <c r="J784" s="14" t="s">
        <v>28</v>
      </c>
    </row>
    <row r="785" spans="1:10" x14ac:dyDescent="0.25">
      <c r="A785">
        <v>1045</v>
      </c>
      <c r="B785" s="14" t="s">
        <v>1552</v>
      </c>
      <c r="C785">
        <v>65</v>
      </c>
      <c r="D785" s="14" t="s">
        <v>50</v>
      </c>
      <c r="E785" s="1">
        <v>45744</v>
      </c>
      <c r="F785" s="1">
        <v>45661</v>
      </c>
      <c r="G785" s="14" t="s">
        <v>1553</v>
      </c>
      <c r="H785" s="14" t="s">
        <v>15</v>
      </c>
      <c r="I785">
        <v>304.67</v>
      </c>
      <c r="J785" s="14" t="s">
        <v>22</v>
      </c>
    </row>
    <row r="786" spans="1:10" x14ac:dyDescent="0.25">
      <c r="A786">
        <v>1095</v>
      </c>
      <c r="B786" s="14" t="s">
        <v>116</v>
      </c>
      <c r="C786">
        <v>73</v>
      </c>
      <c r="D786" s="14" t="s">
        <v>50</v>
      </c>
      <c r="E786" s="1">
        <v>46022</v>
      </c>
      <c r="F786" s="1">
        <v>45640</v>
      </c>
      <c r="G786" s="14" t="s">
        <v>1554</v>
      </c>
      <c r="H786" s="14" t="s">
        <v>18</v>
      </c>
      <c r="I786">
        <v>275.12</v>
      </c>
      <c r="J786" s="14" t="s">
        <v>28</v>
      </c>
    </row>
    <row r="787" spans="1:10" x14ac:dyDescent="0.25">
      <c r="A787">
        <v>1074</v>
      </c>
      <c r="B787" s="14" t="s">
        <v>1555</v>
      </c>
      <c r="C787">
        <v>64</v>
      </c>
      <c r="D787" s="14" t="s">
        <v>50</v>
      </c>
      <c r="E787" s="1">
        <v>46095</v>
      </c>
      <c r="F787" s="1">
        <v>46063</v>
      </c>
      <c r="G787" s="14" t="s">
        <v>1556</v>
      </c>
      <c r="H787" s="14" t="s">
        <v>18</v>
      </c>
      <c r="I787">
        <v>177.85</v>
      </c>
      <c r="J787" s="14" t="s">
        <v>28</v>
      </c>
    </row>
    <row r="788" spans="1:10" x14ac:dyDescent="0.25">
      <c r="A788">
        <v>1080</v>
      </c>
      <c r="B788" s="14" t="s">
        <v>1557</v>
      </c>
      <c r="C788">
        <v>49</v>
      </c>
      <c r="D788" s="14" t="s">
        <v>50</v>
      </c>
      <c r="E788" s="1">
        <v>45960</v>
      </c>
      <c r="F788" s="1">
        <v>45820</v>
      </c>
      <c r="G788" s="14" t="s">
        <v>1558</v>
      </c>
      <c r="H788" s="14" t="s">
        <v>18</v>
      </c>
      <c r="I788">
        <v>410.8</v>
      </c>
      <c r="J788" s="14" t="s">
        <v>22</v>
      </c>
    </row>
    <row r="789" spans="1:10" x14ac:dyDescent="0.25">
      <c r="A789">
        <v>1069</v>
      </c>
      <c r="B789" s="14" t="s">
        <v>1559</v>
      </c>
      <c r="C789">
        <v>48</v>
      </c>
      <c r="D789" s="14" t="s">
        <v>30</v>
      </c>
      <c r="E789" s="1">
        <v>45931</v>
      </c>
      <c r="F789" s="1">
        <v>45599</v>
      </c>
      <c r="G789" s="14" t="s">
        <v>1560</v>
      </c>
      <c r="H789" s="14" t="s">
        <v>12</v>
      </c>
      <c r="I789">
        <v>97.46</v>
      </c>
      <c r="J789" s="14" t="s">
        <v>22</v>
      </c>
    </row>
    <row r="790" spans="1:10" x14ac:dyDescent="0.25">
      <c r="A790">
        <v>1051</v>
      </c>
      <c r="B790" s="14" t="s">
        <v>1561</v>
      </c>
      <c r="C790">
        <v>63</v>
      </c>
      <c r="D790" s="14" t="s">
        <v>30</v>
      </c>
      <c r="E790" s="1">
        <v>46083</v>
      </c>
      <c r="F790" s="1">
        <v>45720</v>
      </c>
      <c r="G790" s="14" t="s">
        <v>1562</v>
      </c>
      <c r="H790" s="14" t="s">
        <v>21</v>
      </c>
      <c r="I790">
        <v>116.32</v>
      </c>
      <c r="J790" s="14" t="s">
        <v>28</v>
      </c>
    </row>
    <row r="791" spans="1:10" x14ac:dyDescent="0.25">
      <c r="A791">
        <v>1092</v>
      </c>
      <c r="B791" s="14" t="s">
        <v>1563</v>
      </c>
      <c r="C791">
        <v>44</v>
      </c>
      <c r="D791" s="14" t="s">
        <v>30</v>
      </c>
      <c r="E791" s="1">
        <v>45992</v>
      </c>
      <c r="F791" s="1">
        <v>45504</v>
      </c>
      <c r="G791" s="14" t="s">
        <v>1564</v>
      </c>
      <c r="H791" s="14" t="s">
        <v>15</v>
      </c>
      <c r="I791">
        <v>203.3</v>
      </c>
      <c r="J791" s="14" t="s">
        <v>28</v>
      </c>
    </row>
    <row r="792" spans="1:10" x14ac:dyDescent="0.25">
      <c r="A792">
        <v>1093</v>
      </c>
      <c r="B792" s="14" t="s">
        <v>137</v>
      </c>
      <c r="C792">
        <v>23</v>
      </c>
      <c r="D792" s="14" t="s">
        <v>50</v>
      </c>
      <c r="E792" s="1">
        <v>45909</v>
      </c>
      <c r="F792" s="1">
        <v>45621</v>
      </c>
      <c r="G792" s="14" t="s">
        <v>1565</v>
      </c>
      <c r="H792" s="14" t="s">
        <v>21</v>
      </c>
      <c r="I792">
        <v>139.43</v>
      </c>
      <c r="J792" s="14" t="s">
        <v>22</v>
      </c>
    </row>
    <row r="793" spans="1:10" x14ac:dyDescent="0.25">
      <c r="A793">
        <v>1075</v>
      </c>
      <c r="B793" s="14" t="s">
        <v>1566</v>
      </c>
      <c r="C793">
        <v>48</v>
      </c>
      <c r="D793" s="14" t="s">
        <v>30</v>
      </c>
      <c r="E793" s="1">
        <v>45828</v>
      </c>
      <c r="F793" s="1">
        <v>45540</v>
      </c>
      <c r="G793" s="14" t="s">
        <v>1567</v>
      </c>
      <c r="H793" s="14" t="s">
        <v>21</v>
      </c>
      <c r="J793" s="14" t="s">
        <v>28</v>
      </c>
    </row>
    <row r="794" spans="1:10" x14ac:dyDescent="0.25">
      <c r="A794">
        <v>1055</v>
      </c>
      <c r="B794" s="14" t="s">
        <v>1568</v>
      </c>
      <c r="C794">
        <v>71</v>
      </c>
      <c r="D794" s="14" t="s">
        <v>50</v>
      </c>
      <c r="E794" s="1">
        <v>45794</v>
      </c>
      <c r="F794" s="1">
        <v>45501</v>
      </c>
      <c r="G794" s="14" t="s">
        <v>1569</v>
      </c>
      <c r="H794" s="14" t="s">
        <v>15</v>
      </c>
      <c r="I794">
        <v>74.36</v>
      </c>
      <c r="J794" s="14" t="s">
        <v>28</v>
      </c>
    </row>
    <row r="795" spans="1:10" x14ac:dyDescent="0.25">
      <c r="A795">
        <v>1033</v>
      </c>
      <c r="B795" s="14" t="s">
        <v>1570</v>
      </c>
      <c r="C795">
        <v>74</v>
      </c>
      <c r="D795" s="14" t="s">
        <v>30</v>
      </c>
      <c r="E795" s="1">
        <v>45886</v>
      </c>
      <c r="F795" s="1">
        <v>45586</v>
      </c>
      <c r="G795" s="14" t="s">
        <v>1571</v>
      </c>
      <c r="H795" s="14" t="s">
        <v>21</v>
      </c>
      <c r="I795">
        <v>303.91000000000003</v>
      </c>
      <c r="J795" s="14" t="s">
        <v>22</v>
      </c>
    </row>
    <row r="796" spans="1:10" x14ac:dyDescent="0.25">
      <c r="A796">
        <v>1074</v>
      </c>
      <c r="B796" s="14" t="s">
        <v>1572</v>
      </c>
      <c r="C796">
        <v>48</v>
      </c>
      <c r="D796" s="14" t="s">
        <v>30</v>
      </c>
      <c r="E796" s="1">
        <v>45755</v>
      </c>
      <c r="F796" s="1">
        <v>45691</v>
      </c>
      <c r="G796" s="14" t="s">
        <v>1573</v>
      </c>
      <c r="H796" s="14" t="s">
        <v>12</v>
      </c>
      <c r="I796">
        <v>77.48</v>
      </c>
      <c r="J796" s="14" t="s">
        <v>22</v>
      </c>
    </row>
    <row r="797" spans="1:10" x14ac:dyDescent="0.25">
      <c r="A797">
        <v>1039</v>
      </c>
      <c r="B797" s="14" t="s">
        <v>1574</v>
      </c>
      <c r="C797">
        <v>58</v>
      </c>
      <c r="D797" s="14" t="s">
        <v>50</v>
      </c>
      <c r="E797" s="1">
        <v>45753</v>
      </c>
      <c r="F797" s="1">
        <v>45509</v>
      </c>
      <c r="G797" s="14" t="s">
        <v>1575</v>
      </c>
      <c r="H797" s="14" t="s">
        <v>18</v>
      </c>
      <c r="I797">
        <v>282.36</v>
      </c>
      <c r="J797" s="14" t="s">
        <v>28</v>
      </c>
    </row>
    <row r="798" spans="1:10" x14ac:dyDescent="0.25">
      <c r="A798">
        <v>1050</v>
      </c>
      <c r="B798" s="14" t="s">
        <v>1576</v>
      </c>
      <c r="C798">
        <v>46</v>
      </c>
      <c r="D798" s="14" t="s">
        <v>30</v>
      </c>
      <c r="E798" s="1">
        <v>45763</v>
      </c>
      <c r="F798" s="1">
        <v>45589</v>
      </c>
      <c r="G798" s="14" t="s">
        <v>1577</v>
      </c>
      <c r="H798" s="14" t="s">
        <v>12</v>
      </c>
      <c r="J798" s="14" t="s">
        <v>22</v>
      </c>
    </row>
    <row r="799" spans="1:10" x14ac:dyDescent="0.25">
      <c r="A799">
        <v>1056</v>
      </c>
      <c r="B799" s="14" t="s">
        <v>1578</v>
      </c>
      <c r="C799">
        <v>71</v>
      </c>
      <c r="D799" s="14" t="s">
        <v>30</v>
      </c>
      <c r="E799" s="1">
        <v>45984</v>
      </c>
      <c r="F799" s="1">
        <v>45885</v>
      </c>
      <c r="G799" s="14" t="s">
        <v>1579</v>
      </c>
      <c r="H799" s="14" t="s">
        <v>21</v>
      </c>
      <c r="I799">
        <v>243.46</v>
      </c>
      <c r="J799" s="14" t="s">
        <v>22</v>
      </c>
    </row>
    <row r="800" spans="1:10" x14ac:dyDescent="0.25">
      <c r="A800">
        <v>1025</v>
      </c>
      <c r="B800" s="14" t="s">
        <v>1580</v>
      </c>
      <c r="C800">
        <v>28</v>
      </c>
      <c r="D800" s="14" t="s">
        <v>50</v>
      </c>
      <c r="E800" s="1">
        <v>45956</v>
      </c>
      <c r="F800" s="1">
        <v>45710</v>
      </c>
      <c r="G800" s="14" t="s">
        <v>1581</v>
      </c>
      <c r="H800" s="14" t="s">
        <v>15</v>
      </c>
      <c r="I800">
        <v>444.38</v>
      </c>
      <c r="J800" s="14" t="s">
        <v>28</v>
      </c>
    </row>
    <row r="801" spans="1:10" x14ac:dyDescent="0.25">
      <c r="A801">
        <v>1037</v>
      </c>
      <c r="B801" s="14" t="s">
        <v>1582</v>
      </c>
      <c r="C801">
        <v>39</v>
      </c>
      <c r="D801" s="14" t="s">
        <v>50</v>
      </c>
      <c r="E801" s="1">
        <v>45986</v>
      </c>
      <c r="F801" s="1">
        <v>45864</v>
      </c>
      <c r="G801" s="14" t="s">
        <v>1583</v>
      </c>
      <c r="H801" s="14" t="s">
        <v>21</v>
      </c>
      <c r="I801">
        <v>319.04000000000002</v>
      </c>
      <c r="J801" s="14" t="s">
        <v>28</v>
      </c>
    </row>
    <row r="802" spans="1:10" x14ac:dyDescent="0.25">
      <c r="A802">
        <v>1010</v>
      </c>
      <c r="B802" s="14" t="s">
        <v>1584</v>
      </c>
      <c r="C802">
        <v>71</v>
      </c>
      <c r="D802" s="14" t="s">
        <v>30</v>
      </c>
      <c r="E802" s="1">
        <v>45838</v>
      </c>
      <c r="F802" s="1">
        <v>45517</v>
      </c>
      <c r="G802" s="14" t="s">
        <v>1585</v>
      </c>
      <c r="H802" s="14" t="s">
        <v>15</v>
      </c>
      <c r="I802">
        <v>330.71</v>
      </c>
      <c r="J802" s="14" t="s">
        <v>28</v>
      </c>
    </row>
    <row r="803" spans="1:10" x14ac:dyDescent="0.25">
      <c r="A803">
        <v>1039</v>
      </c>
      <c r="B803" s="14" t="s">
        <v>1586</v>
      </c>
      <c r="C803">
        <v>46</v>
      </c>
      <c r="D803" s="14" t="s">
        <v>30</v>
      </c>
      <c r="E803" s="1">
        <v>45867</v>
      </c>
      <c r="F803" s="1">
        <v>45669</v>
      </c>
      <c r="G803" s="14" t="s">
        <v>1587</v>
      </c>
      <c r="H803" s="14" t="s">
        <v>12</v>
      </c>
      <c r="I803">
        <v>160.18</v>
      </c>
      <c r="J803" s="14" t="s">
        <v>28</v>
      </c>
    </row>
    <row r="804" spans="1:10" x14ac:dyDescent="0.25">
      <c r="A804">
        <v>1040</v>
      </c>
      <c r="B804" s="14" t="s">
        <v>1588</v>
      </c>
      <c r="C804">
        <v>62</v>
      </c>
      <c r="D804" s="14" t="s">
        <v>50</v>
      </c>
      <c r="E804" s="1">
        <v>46043</v>
      </c>
      <c r="F804" s="1">
        <v>45639</v>
      </c>
      <c r="G804" s="14" t="s">
        <v>1589</v>
      </c>
      <c r="H804" s="14" t="s">
        <v>18</v>
      </c>
      <c r="I804">
        <v>290.14</v>
      </c>
      <c r="J804" s="14" t="s">
        <v>28</v>
      </c>
    </row>
    <row r="805" spans="1:10" x14ac:dyDescent="0.25">
      <c r="A805">
        <v>1100</v>
      </c>
      <c r="B805" s="14" t="s">
        <v>1590</v>
      </c>
      <c r="C805">
        <v>52</v>
      </c>
      <c r="D805" s="14" t="s">
        <v>30</v>
      </c>
      <c r="E805" s="1">
        <v>45967</v>
      </c>
      <c r="F805" s="1">
        <v>45556</v>
      </c>
      <c r="G805" s="14" t="s">
        <v>1591</v>
      </c>
      <c r="H805" s="14" t="s">
        <v>18</v>
      </c>
      <c r="I805">
        <v>244.09</v>
      </c>
      <c r="J805" s="14" t="s">
        <v>28</v>
      </c>
    </row>
    <row r="806" spans="1:10" x14ac:dyDescent="0.25">
      <c r="A806">
        <v>1071</v>
      </c>
      <c r="B806" s="14" t="s">
        <v>1592</v>
      </c>
      <c r="C806">
        <v>41</v>
      </c>
      <c r="D806" s="14" t="s">
        <v>30</v>
      </c>
      <c r="E806" s="1">
        <v>46083</v>
      </c>
      <c r="F806" s="1">
        <v>45927</v>
      </c>
      <c r="G806" s="14" t="s">
        <v>1593</v>
      </c>
      <c r="H806" s="14" t="s">
        <v>21</v>
      </c>
      <c r="I806">
        <v>150.5</v>
      </c>
      <c r="J806" s="14" t="s">
        <v>22</v>
      </c>
    </row>
    <row r="807" spans="1:10" x14ac:dyDescent="0.25">
      <c r="A807">
        <v>1097</v>
      </c>
      <c r="B807" s="14" t="s">
        <v>1594</v>
      </c>
      <c r="C807">
        <v>88</v>
      </c>
      <c r="D807" s="14" t="s">
        <v>30</v>
      </c>
      <c r="E807" s="1">
        <v>46018</v>
      </c>
      <c r="F807" s="1">
        <v>45651</v>
      </c>
      <c r="G807" s="14" t="s">
        <v>1595</v>
      </c>
      <c r="H807" s="14" t="s">
        <v>21</v>
      </c>
      <c r="I807">
        <v>398.47</v>
      </c>
      <c r="J807" s="14" t="s">
        <v>28</v>
      </c>
    </row>
    <row r="808" spans="1:10" x14ac:dyDescent="0.25">
      <c r="A808">
        <v>1047</v>
      </c>
      <c r="B808" s="14" t="s">
        <v>1596</v>
      </c>
      <c r="C808">
        <v>51</v>
      </c>
      <c r="D808" s="14" t="s">
        <v>50</v>
      </c>
      <c r="E808" s="1">
        <v>45962</v>
      </c>
      <c r="F808" s="1">
        <v>45928</v>
      </c>
      <c r="G808" s="14" t="s">
        <v>1597</v>
      </c>
      <c r="H808" s="14" t="s">
        <v>18</v>
      </c>
      <c r="I808">
        <v>262.16000000000003</v>
      </c>
      <c r="J808" s="14" t="s">
        <v>28</v>
      </c>
    </row>
    <row r="809" spans="1:10" x14ac:dyDescent="0.25">
      <c r="A809">
        <v>1041</v>
      </c>
      <c r="B809" s="14" t="s">
        <v>1598</v>
      </c>
      <c r="C809">
        <v>70</v>
      </c>
      <c r="D809" s="14" t="s">
        <v>50</v>
      </c>
      <c r="E809" s="1">
        <v>45864</v>
      </c>
      <c r="F809" s="1">
        <v>45537</v>
      </c>
      <c r="G809" s="14" t="s">
        <v>1599</v>
      </c>
      <c r="H809" s="14" t="s">
        <v>18</v>
      </c>
      <c r="J809" s="14" t="s">
        <v>22</v>
      </c>
    </row>
    <row r="810" spans="1:10" x14ac:dyDescent="0.25">
      <c r="A810">
        <v>1067</v>
      </c>
      <c r="B810" s="14" t="s">
        <v>1600</v>
      </c>
      <c r="C810">
        <v>57</v>
      </c>
      <c r="D810" s="14" t="s">
        <v>30</v>
      </c>
      <c r="E810" s="1">
        <v>46013</v>
      </c>
      <c r="F810" s="1">
        <v>45663</v>
      </c>
      <c r="G810" s="14" t="s">
        <v>411</v>
      </c>
      <c r="H810" s="14" t="s">
        <v>18</v>
      </c>
      <c r="I810">
        <v>142.33000000000001</v>
      </c>
      <c r="J810" s="14" t="s">
        <v>22</v>
      </c>
    </row>
    <row r="811" spans="1:10" x14ac:dyDescent="0.25">
      <c r="A811">
        <v>1064</v>
      </c>
      <c r="B811" s="14" t="s">
        <v>1601</v>
      </c>
      <c r="C811">
        <v>57</v>
      </c>
      <c r="D811" s="14" t="s">
        <v>50</v>
      </c>
      <c r="E811" s="1">
        <v>45907</v>
      </c>
      <c r="F811" s="1">
        <v>45569</v>
      </c>
      <c r="G811" s="14" t="s">
        <v>1602</v>
      </c>
      <c r="H811" s="14" t="s">
        <v>21</v>
      </c>
      <c r="I811">
        <v>476.81</v>
      </c>
      <c r="J811" s="14" t="s">
        <v>22</v>
      </c>
    </row>
    <row r="812" spans="1:10" x14ac:dyDescent="0.25">
      <c r="A812">
        <v>1008</v>
      </c>
      <c r="B812" s="14" t="s">
        <v>1603</v>
      </c>
      <c r="C812">
        <v>22</v>
      </c>
      <c r="D812" s="14" t="s">
        <v>30</v>
      </c>
      <c r="E812" s="1">
        <v>45912</v>
      </c>
      <c r="F812" s="1">
        <v>45555</v>
      </c>
      <c r="G812" s="14" t="s">
        <v>1604</v>
      </c>
      <c r="H812" s="14" t="s">
        <v>21</v>
      </c>
      <c r="I812">
        <v>351.04</v>
      </c>
      <c r="J812" s="14" t="s">
        <v>28</v>
      </c>
    </row>
    <row r="813" spans="1:10" x14ac:dyDescent="0.25">
      <c r="A813">
        <v>1097</v>
      </c>
      <c r="B813" s="14" t="s">
        <v>1605</v>
      </c>
      <c r="C813">
        <v>42</v>
      </c>
      <c r="D813" s="14" t="s">
        <v>30</v>
      </c>
      <c r="E813" s="1">
        <v>46054</v>
      </c>
      <c r="F813" s="1">
        <v>46022</v>
      </c>
      <c r="G813" s="14" t="s">
        <v>1606</v>
      </c>
      <c r="H813" s="14" t="s">
        <v>18</v>
      </c>
      <c r="I813">
        <v>73.97</v>
      </c>
      <c r="J813" s="14" t="s">
        <v>22</v>
      </c>
    </row>
    <row r="814" spans="1:10" x14ac:dyDescent="0.25">
      <c r="A814">
        <v>1053</v>
      </c>
      <c r="B814" s="14" t="s">
        <v>1607</v>
      </c>
      <c r="C814">
        <v>39</v>
      </c>
      <c r="D814" s="14" t="s">
        <v>50</v>
      </c>
      <c r="E814" s="1">
        <v>46037</v>
      </c>
      <c r="F814" s="1">
        <v>45972</v>
      </c>
      <c r="G814" s="14" t="s">
        <v>1608</v>
      </c>
      <c r="H814" s="14" t="s">
        <v>21</v>
      </c>
      <c r="I814">
        <v>295.70999999999998</v>
      </c>
      <c r="J814" s="14" t="s">
        <v>22</v>
      </c>
    </row>
    <row r="815" spans="1:10" x14ac:dyDescent="0.25">
      <c r="A815">
        <v>1035</v>
      </c>
      <c r="B815" s="14" t="s">
        <v>1609</v>
      </c>
      <c r="C815">
        <v>46</v>
      </c>
      <c r="D815" s="14" t="s">
        <v>30</v>
      </c>
      <c r="E815" s="1">
        <v>45882</v>
      </c>
      <c r="F815" s="1">
        <v>45802</v>
      </c>
      <c r="G815" s="14" t="s">
        <v>1610</v>
      </c>
      <c r="H815" s="14" t="s">
        <v>12</v>
      </c>
      <c r="I815">
        <v>167.5</v>
      </c>
      <c r="J815" s="14" t="s">
        <v>28</v>
      </c>
    </row>
    <row r="816" spans="1:10" x14ac:dyDescent="0.25">
      <c r="A816">
        <v>1074</v>
      </c>
      <c r="B816" s="14" t="s">
        <v>1611</v>
      </c>
      <c r="C816">
        <v>87</v>
      </c>
      <c r="D816" s="14" t="s">
        <v>24</v>
      </c>
      <c r="E816" s="1">
        <v>45796</v>
      </c>
      <c r="F816" s="1">
        <v>45455</v>
      </c>
      <c r="G816" s="14" t="s">
        <v>1612</v>
      </c>
      <c r="H816" s="14" t="s">
        <v>21</v>
      </c>
      <c r="I816">
        <v>321.5</v>
      </c>
      <c r="J816" s="14" t="s">
        <v>28</v>
      </c>
    </row>
    <row r="817" spans="1:10" x14ac:dyDescent="0.25">
      <c r="A817">
        <v>1015</v>
      </c>
      <c r="B817" s="14" t="s">
        <v>1613</v>
      </c>
      <c r="C817">
        <v>21</v>
      </c>
      <c r="D817" s="14" t="s">
        <v>30</v>
      </c>
      <c r="E817" s="1">
        <v>45842</v>
      </c>
      <c r="F817" s="1">
        <v>45695</v>
      </c>
      <c r="G817" s="14" t="s">
        <v>1051</v>
      </c>
      <c r="H817" s="14" t="s">
        <v>12</v>
      </c>
      <c r="I817">
        <v>168.33</v>
      </c>
      <c r="J817" s="14" t="s">
        <v>22</v>
      </c>
    </row>
    <row r="818" spans="1:10" x14ac:dyDescent="0.25">
      <c r="A818">
        <v>1071</v>
      </c>
      <c r="B818" s="14" t="s">
        <v>1614</v>
      </c>
      <c r="C818">
        <v>88</v>
      </c>
      <c r="D818" s="14" t="s">
        <v>30</v>
      </c>
      <c r="E818" s="1">
        <v>45961</v>
      </c>
      <c r="F818" s="1">
        <v>45831</v>
      </c>
      <c r="G818" s="14" t="s">
        <v>1615</v>
      </c>
      <c r="H818" s="14" t="s">
        <v>12</v>
      </c>
      <c r="I818">
        <v>411.75</v>
      </c>
      <c r="J818" s="14" t="s">
        <v>28</v>
      </c>
    </row>
    <row r="819" spans="1:10" x14ac:dyDescent="0.25">
      <c r="A819">
        <v>1044</v>
      </c>
      <c r="B819" s="14" t="s">
        <v>1616</v>
      </c>
      <c r="C819">
        <v>83</v>
      </c>
      <c r="D819" s="14" t="s">
        <v>50</v>
      </c>
      <c r="E819" s="1">
        <v>45824</v>
      </c>
      <c r="F819" s="1">
        <v>45723</v>
      </c>
      <c r="G819" s="14" t="s">
        <v>456</v>
      </c>
      <c r="H819" s="14" t="s">
        <v>12</v>
      </c>
      <c r="J819" s="14" t="s">
        <v>22</v>
      </c>
    </row>
    <row r="820" spans="1:10" x14ac:dyDescent="0.25">
      <c r="A820">
        <v>1038</v>
      </c>
      <c r="B820" s="14" t="s">
        <v>1617</v>
      </c>
      <c r="C820">
        <v>29</v>
      </c>
      <c r="D820" s="14" t="s">
        <v>30</v>
      </c>
      <c r="E820" s="1">
        <v>46073</v>
      </c>
      <c r="F820" s="1">
        <v>45526</v>
      </c>
      <c r="G820" s="14" t="s">
        <v>1618</v>
      </c>
      <c r="H820" s="14" t="s">
        <v>18</v>
      </c>
      <c r="I820">
        <v>462.15</v>
      </c>
      <c r="J820" s="14" t="s">
        <v>22</v>
      </c>
    </row>
    <row r="821" spans="1:10" x14ac:dyDescent="0.25">
      <c r="A821">
        <v>1001</v>
      </c>
      <c r="B821" s="14" t="s">
        <v>1619</v>
      </c>
      <c r="C821">
        <v>30</v>
      </c>
      <c r="D821" s="14" t="s">
        <v>50</v>
      </c>
      <c r="E821" s="1">
        <v>45807</v>
      </c>
      <c r="F821" s="1">
        <v>45631</v>
      </c>
      <c r="G821" s="14" t="s">
        <v>1620</v>
      </c>
      <c r="H821" s="14" t="s">
        <v>18</v>
      </c>
      <c r="J821" s="14" t="s">
        <v>28</v>
      </c>
    </row>
    <row r="822" spans="1:10" x14ac:dyDescent="0.25">
      <c r="A822">
        <v>1056</v>
      </c>
      <c r="B822" s="14" t="s">
        <v>1621</v>
      </c>
      <c r="C822">
        <v>33</v>
      </c>
      <c r="D822" s="14" t="s">
        <v>24</v>
      </c>
      <c r="E822" s="1">
        <v>45946</v>
      </c>
      <c r="F822" s="1">
        <v>45548</v>
      </c>
      <c r="G822" s="14" t="s">
        <v>1622</v>
      </c>
      <c r="H822" s="14" t="s">
        <v>15</v>
      </c>
      <c r="I822">
        <v>124.69</v>
      </c>
      <c r="J822" s="14" t="s">
        <v>22</v>
      </c>
    </row>
    <row r="823" spans="1:10" x14ac:dyDescent="0.25">
      <c r="A823">
        <v>1008</v>
      </c>
      <c r="B823" s="14" t="s">
        <v>1623</v>
      </c>
      <c r="C823">
        <v>71</v>
      </c>
      <c r="D823" s="14" t="s">
        <v>24</v>
      </c>
      <c r="E823" s="1">
        <v>45906</v>
      </c>
      <c r="F823" s="1">
        <v>45433</v>
      </c>
      <c r="G823" s="14" t="s">
        <v>1624</v>
      </c>
      <c r="H823" s="14" t="s">
        <v>18</v>
      </c>
      <c r="I823">
        <v>129.38</v>
      </c>
      <c r="J823" s="14" t="s">
        <v>22</v>
      </c>
    </row>
    <row r="824" spans="1:10" x14ac:dyDescent="0.25">
      <c r="A824">
        <v>1099</v>
      </c>
      <c r="B824" s="14" t="s">
        <v>1625</v>
      </c>
      <c r="C824">
        <v>74</v>
      </c>
      <c r="D824" s="14" t="s">
        <v>50</v>
      </c>
      <c r="E824" s="1">
        <v>45786</v>
      </c>
      <c r="F824" s="1">
        <v>45608</v>
      </c>
      <c r="G824" s="14" t="s">
        <v>1626</v>
      </c>
      <c r="H824" s="14" t="s">
        <v>12</v>
      </c>
      <c r="I824">
        <v>488.54</v>
      </c>
      <c r="J824" s="14" t="s">
        <v>22</v>
      </c>
    </row>
    <row r="825" spans="1:10" x14ac:dyDescent="0.25">
      <c r="A825">
        <v>1060</v>
      </c>
      <c r="B825" s="14" t="s">
        <v>1627</v>
      </c>
      <c r="C825">
        <v>26</v>
      </c>
      <c r="D825" s="14" t="s">
        <v>50</v>
      </c>
      <c r="E825" s="1">
        <v>45947</v>
      </c>
      <c r="F825" s="1">
        <v>45638</v>
      </c>
      <c r="G825" s="14" t="s">
        <v>1628</v>
      </c>
      <c r="H825" s="14" t="s">
        <v>15</v>
      </c>
      <c r="I825">
        <v>93.45</v>
      </c>
      <c r="J825" s="14" t="s">
        <v>22</v>
      </c>
    </row>
    <row r="826" spans="1:10" x14ac:dyDescent="0.25">
      <c r="A826">
        <v>1080</v>
      </c>
      <c r="B826" s="14" t="s">
        <v>1629</v>
      </c>
      <c r="C826">
        <v>18</v>
      </c>
      <c r="D826" s="14" t="s">
        <v>50</v>
      </c>
      <c r="E826" s="1">
        <v>45812</v>
      </c>
      <c r="F826" s="1">
        <v>45640</v>
      </c>
      <c r="G826" s="14" t="s">
        <v>1630</v>
      </c>
      <c r="H826" s="14" t="s">
        <v>18</v>
      </c>
      <c r="I826">
        <v>73.45</v>
      </c>
      <c r="J826" s="14" t="s">
        <v>22</v>
      </c>
    </row>
    <row r="827" spans="1:10" x14ac:dyDescent="0.25">
      <c r="A827">
        <v>1056</v>
      </c>
      <c r="B827" s="14" t="s">
        <v>1631</v>
      </c>
      <c r="C827">
        <v>26</v>
      </c>
      <c r="D827" s="14" t="s">
        <v>30</v>
      </c>
      <c r="E827" s="1">
        <v>45987</v>
      </c>
      <c r="F827" s="1">
        <v>45764</v>
      </c>
      <c r="G827" s="14" t="s">
        <v>1632</v>
      </c>
      <c r="H827" s="14" t="s">
        <v>18</v>
      </c>
      <c r="I827">
        <v>340.47</v>
      </c>
      <c r="J827" s="14" t="s">
        <v>22</v>
      </c>
    </row>
    <row r="828" spans="1:10" x14ac:dyDescent="0.25">
      <c r="A828">
        <v>1077</v>
      </c>
      <c r="B828" s="14" t="s">
        <v>1633</v>
      </c>
      <c r="C828">
        <v>78</v>
      </c>
      <c r="D828" s="14" t="s">
        <v>50</v>
      </c>
      <c r="E828" s="1">
        <v>46031</v>
      </c>
      <c r="F828" s="1">
        <v>45784</v>
      </c>
      <c r="G828" s="14" t="s">
        <v>1634</v>
      </c>
      <c r="H828" s="14" t="s">
        <v>12</v>
      </c>
      <c r="I828">
        <v>414.94</v>
      </c>
      <c r="J828" s="14" t="s">
        <v>22</v>
      </c>
    </row>
    <row r="829" spans="1:10" x14ac:dyDescent="0.25">
      <c r="A829">
        <v>1036</v>
      </c>
      <c r="B829" s="14" t="s">
        <v>1635</v>
      </c>
      <c r="C829">
        <v>25</v>
      </c>
      <c r="D829" s="14" t="s">
        <v>50</v>
      </c>
      <c r="E829" s="1">
        <v>45822</v>
      </c>
      <c r="F829" s="1">
        <v>45409</v>
      </c>
      <c r="G829" s="14" t="s">
        <v>1636</v>
      </c>
      <c r="H829" s="14" t="s">
        <v>18</v>
      </c>
      <c r="I829">
        <v>238.05</v>
      </c>
      <c r="J829" s="14" t="s">
        <v>28</v>
      </c>
    </row>
    <row r="830" spans="1:10" x14ac:dyDescent="0.25">
      <c r="A830">
        <v>1050</v>
      </c>
      <c r="B830" s="14" t="s">
        <v>492</v>
      </c>
      <c r="C830">
        <v>41</v>
      </c>
      <c r="D830" s="14" t="s">
        <v>30</v>
      </c>
      <c r="E830" s="1">
        <v>46060</v>
      </c>
      <c r="F830" s="1">
        <v>45804</v>
      </c>
      <c r="G830" s="14" t="s">
        <v>1637</v>
      </c>
      <c r="H830" s="14" t="s">
        <v>15</v>
      </c>
      <c r="I830">
        <v>63.62</v>
      </c>
      <c r="J830" s="14" t="s">
        <v>28</v>
      </c>
    </row>
    <row r="831" spans="1:10" x14ac:dyDescent="0.25">
      <c r="A831">
        <v>1003</v>
      </c>
      <c r="B831" s="14" t="s">
        <v>1638</v>
      </c>
      <c r="C831">
        <v>85</v>
      </c>
      <c r="D831" s="14" t="s">
        <v>30</v>
      </c>
      <c r="E831" s="1">
        <v>45868</v>
      </c>
      <c r="F831" s="1">
        <v>45579</v>
      </c>
      <c r="G831" s="14" t="s">
        <v>1639</v>
      </c>
      <c r="H831" s="14" t="s">
        <v>12</v>
      </c>
      <c r="I831">
        <v>101.59</v>
      </c>
      <c r="J831" s="14" t="s">
        <v>28</v>
      </c>
    </row>
    <row r="832" spans="1:10" x14ac:dyDescent="0.25">
      <c r="A832">
        <v>1042</v>
      </c>
      <c r="B832" s="14" t="s">
        <v>1640</v>
      </c>
      <c r="C832">
        <v>60</v>
      </c>
      <c r="D832" s="14" t="s">
        <v>30</v>
      </c>
      <c r="E832" s="1">
        <v>45744</v>
      </c>
      <c r="F832" s="1">
        <v>45610</v>
      </c>
      <c r="G832" s="14" t="s">
        <v>1641</v>
      </c>
      <c r="H832" s="14" t="s">
        <v>15</v>
      </c>
      <c r="I832">
        <v>498.48</v>
      </c>
      <c r="J832" s="14" t="s">
        <v>28</v>
      </c>
    </row>
    <row r="833" spans="1:10" x14ac:dyDescent="0.25">
      <c r="A833">
        <v>1019</v>
      </c>
      <c r="B833" s="14" t="s">
        <v>1642</v>
      </c>
      <c r="C833">
        <v>34</v>
      </c>
      <c r="D833" s="14" t="s">
        <v>30</v>
      </c>
      <c r="E833" s="1">
        <v>46081</v>
      </c>
      <c r="F833" s="1">
        <v>45869</v>
      </c>
      <c r="G833" s="14" t="s">
        <v>1643</v>
      </c>
      <c r="H833" s="14" t="s">
        <v>21</v>
      </c>
      <c r="I833">
        <v>305.83999999999997</v>
      </c>
      <c r="J833" s="14" t="s">
        <v>28</v>
      </c>
    </row>
    <row r="834" spans="1:10" x14ac:dyDescent="0.25">
      <c r="A834">
        <v>1073</v>
      </c>
      <c r="B834" s="14" t="s">
        <v>1644</v>
      </c>
      <c r="C834">
        <v>32</v>
      </c>
      <c r="D834" s="14" t="s">
        <v>30</v>
      </c>
      <c r="E834" s="1">
        <v>46044</v>
      </c>
      <c r="F834" s="1">
        <v>45625</v>
      </c>
      <c r="G834" s="14" t="s">
        <v>1645</v>
      </c>
      <c r="H834" s="14" t="s">
        <v>12</v>
      </c>
      <c r="I834">
        <v>160.05000000000001</v>
      </c>
      <c r="J834" s="14" t="s">
        <v>28</v>
      </c>
    </row>
    <row r="835" spans="1:10" x14ac:dyDescent="0.25">
      <c r="A835">
        <v>1027</v>
      </c>
      <c r="B835" s="14" t="s">
        <v>1646</v>
      </c>
      <c r="C835">
        <v>54</v>
      </c>
      <c r="D835" s="14" t="s">
        <v>30</v>
      </c>
      <c r="E835" s="1">
        <v>46001</v>
      </c>
      <c r="F835" s="1">
        <v>45724</v>
      </c>
      <c r="G835" s="14" t="s">
        <v>1647</v>
      </c>
      <c r="H835" s="14" t="s">
        <v>15</v>
      </c>
      <c r="I835">
        <v>406.61</v>
      </c>
      <c r="J835" s="14" t="s">
        <v>28</v>
      </c>
    </row>
    <row r="836" spans="1:10" x14ac:dyDescent="0.25">
      <c r="A836">
        <v>1004</v>
      </c>
      <c r="B836" s="14" t="s">
        <v>1648</v>
      </c>
      <c r="C836">
        <v>47</v>
      </c>
      <c r="D836" s="14" t="s">
        <v>30</v>
      </c>
      <c r="E836" s="1">
        <v>45986</v>
      </c>
      <c r="F836" s="1">
        <v>45571</v>
      </c>
      <c r="G836" s="14" t="s">
        <v>1649</v>
      </c>
      <c r="H836" s="14" t="s">
        <v>12</v>
      </c>
      <c r="I836">
        <v>359.32</v>
      </c>
      <c r="J836" s="14" t="s">
        <v>22</v>
      </c>
    </row>
    <row r="837" spans="1:10" x14ac:dyDescent="0.25">
      <c r="A837">
        <v>1077</v>
      </c>
      <c r="B837" s="14" t="s">
        <v>1650</v>
      </c>
      <c r="C837">
        <v>21</v>
      </c>
      <c r="D837" s="14" t="s">
        <v>30</v>
      </c>
      <c r="E837" s="1">
        <v>45886</v>
      </c>
      <c r="F837" s="1">
        <v>45475</v>
      </c>
      <c r="G837" s="14" t="s">
        <v>1651</v>
      </c>
      <c r="H837" s="14" t="s">
        <v>15</v>
      </c>
      <c r="I837">
        <v>315.17</v>
      </c>
      <c r="J837" s="14" t="s">
        <v>22</v>
      </c>
    </row>
    <row r="838" spans="1:10" x14ac:dyDescent="0.25">
      <c r="A838">
        <v>1085</v>
      </c>
      <c r="B838" s="14" t="s">
        <v>1652</v>
      </c>
      <c r="C838">
        <v>85</v>
      </c>
      <c r="D838" s="14" t="s">
        <v>30</v>
      </c>
      <c r="E838" s="1">
        <v>45906</v>
      </c>
      <c r="F838" s="1">
        <v>45715</v>
      </c>
      <c r="G838" s="14" t="s">
        <v>1653</v>
      </c>
      <c r="H838" s="14" t="s">
        <v>18</v>
      </c>
      <c r="I838">
        <v>319.92</v>
      </c>
      <c r="J838" s="14" t="s">
        <v>28</v>
      </c>
    </row>
    <row r="839" spans="1:10" x14ac:dyDescent="0.25">
      <c r="A839">
        <v>1025</v>
      </c>
      <c r="B839" s="14" t="s">
        <v>1654</v>
      </c>
      <c r="C839">
        <v>42</v>
      </c>
      <c r="D839" s="14" t="s">
        <v>24</v>
      </c>
      <c r="E839" s="1">
        <v>45921</v>
      </c>
      <c r="F839" s="1">
        <v>45631</v>
      </c>
      <c r="G839" s="14" t="s">
        <v>2004</v>
      </c>
      <c r="H839" s="14" t="s">
        <v>15</v>
      </c>
      <c r="I839">
        <v>352.01</v>
      </c>
      <c r="J839" s="14" t="s">
        <v>22</v>
      </c>
    </row>
    <row r="840" spans="1:10" x14ac:dyDescent="0.25">
      <c r="A840">
        <v>1029</v>
      </c>
      <c r="B840" s="14" t="s">
        <v>1655</v>
      </c>
      <c r="C840">
        <v>63</v>
      </c>
      <c r="D840" s="14" t="s">
        <v>50</v>
      </c>
      <c r="E840" s="1">
        <v>45882</v>
      </c>
      <c r="F840" s="1">
        <v>45538</v>
      </c>
      <c r="G840" s="14" t="s">
        <v>1656</v>
      </c>
      <c r="H840" s="14" t="s">
        <v>15</v>
      </c>
      <c r="I840">
        <v>88.56</v>
      </c>
      <c r="J840" s="14" t="s">
        <v>22</v>
      </c>
    </row>
    <row r="841" spans="1:10" x14ac:dyDescent="0.25">
      <c r="A841">
        <v>1052</v>
      </c>
      <c r="B841" s="14" t="s">
        <v>1657</v>
      </c>
      <c r="C841">
        <v>26</v>
      </c>
      <c r="D841" s="14" t="s">
        <v>30</v>
      </c>
      <c r="E841" s="1">
        <v>45961</v>
      </c>
      <c r="F841" s="1">
        <v>45738</v>
      </c>
      <c r="G841" s="14" t="s">
        <v>1658</v>
      </c>
      <c r="H841" s="14" t="s">
        <v>18</v>
      </c>
      <c r="I841">
        <v>461.18</v>
      </c>
      <c r="J841" s="14" t="s">
        <v>28</v>
      </c>
    </row>
    <row r="842" spans="1:10" x14ac:dyDescent="0.25">
      <c r="A842">
        <v>1062</v>
      </c>
      <c r="B842" s="14" t="s">
        <v>1659</v>
      </c>
      <c r="C842">
        <v>85</v>
      </c>
      <c r="D842" s="14" t="s">
        <v>30</v>
      </c>
      <c r="E842" s="1">
        <v>46057</v>
      </c>
      <c r="F842" s="1">
        <v>45648</v>
      </c>
      <c r="G842" s="14" t="s">
        <v>1660</v>
      </c>
      <c r="H842" s="14" t="s">
        <v>12</v>
      </c>
      <c r="I842">
        <v>206.57</v>
      </c>
      <c r="J842" s="14" t="s">
        <v>28</v>
      </c>
    </row>
    <row r="843" spans="1:10" x14ac:dyDescent="0.25">
      <c r="A843">
        <v>1014</v>
      </c>
      <c r="B843" s="14" t="s">
        <v>1661</v>
      </c>
      <c r="C843">
        <v>29</v>
      </c>
      <c r="D843" s="14" t="s">
        <v>30</v>
      </c>
      <c r="E843" s="1">
        <v>45903</v>
      </c>
      <c r="F843" s="1">
        <v>45500</v>
      </c>
      <c r="G843" s="14" t="s">
        <v>1662</v>
      </c>
      <c r="H843" s="14" t="s">
        <v>21</v>
      </c>
      <c r="I843">
        <v>107.34</v>
      </c>
      <c r="J843" s="14" t="s">
        <v>22</v>
      </c>
    </row>
    <row r="844" spans="1:10" x14ac:dyDescent="0.25">
      <c r="A844">
        <v>1056</v>
      </c>
      <c r="B844" s="14" t="s">
        <v>1663</v>
      </c>
      <c r="C844">
        <v>84</v>
      </c>
      <c r="D844" s="14" t="s">
        <v>30</v>
      </c>
      <c r="E844" s="1">
        <v>45803</v>
      </c>
      <c r="F844" s="1">
        <v>45596</v>
      </c>
      <c r="G844" s="14" t="s">
        <v>1664</v>
      </c>
      <c r="H844" s="14" t="s">
        <v>12</v>
      </c>
      <c r="I844">
        <v>385.01</v>
      </c>
      <c r="J844" s="14" t="s">
        <v>22</v>
      </c>
    </row>
    <row r="845" spans="1:10" x14ac:dyDescent="0.25">
      <c r="A845">
        <v>1073</v>
      </c>
      <c r="B845" s="14" t="s">
        <v>1665</v>
      </c>
      <c r="C845">
        <v>18</v>
      </c>
      <c r="D845" s="14" t="s">
        <v>30</v>
      </c>
      <c r="E845" s="1">
        <v>45886</v>
      </c>
      <c r="F845" s="1">
        <v>45833</v>
      </c>
      <c r="G845" s="14" t="s">
        <v>1666</v>
      </c>
      <c r="H845" s="14" t="s">
        <v>15</v>
      </c>
      <c r="I845">
        <v>490.93</v>
      </c>
      <c r="J845" s="14" t="s">
        <v>28</v>
      </c>
    </row>
    <row r="846" spans="1:10" x14ac:dyDescent="0.25">
      <c r="A846">
        <v>1009</v>
      </c>
      <c r="B846" s="14" t="s">
        <v>1667</v>
      </c>
      <c r="C846">
        <v>30</v>
      </c>
      <c r="D846" s="14" t="s">
        <v>30</v>
      </c>
      <c r="E846" s="1">
        <v>45835</v>
      </c>
      <c r="F846" s="1">
        <v>45798</v>
      </c>
      <c r="G846" s="14" t="s">
        <v>1668</v>
      </c>
      <c r="H846" s="14" t="s">
        <v>21</v>
      </c>
      <c r="I846">
        <v>168.86</v>
      </c>
      <c r="J846" s="14" t="s">
        <v>28</v>
      </c>
    </row>
    <row r="847" spans="1:10" x14ac:dyDescent="0.25">
      <c r="A847">
        <v>1029</v>
      </c>
      <c r="B847" s="14" t="s">
        <v>1669</v>
      </c>
      <c r="C847">
        <v>23</v>
      </c>
      <c r="D847" s="14" t="s">
        <v>30</v>
      </c>
      <c r="E847" s="1">
        <v>46054</v>
      </c>
      <c r="F847" s="1">
        <v>45904</v>
      </c>
      <c r="G847" s="14" t="s">
        <v>1670</v>
      </c>
      <c r="H847" s="14" t="s">
        <v>15</v>
      </c>
      <c r="I847">
        <v>463.06</v>
      </c>
      <c r="J847" s="14" t="s">
        <v>28</v>
      </c>
    </row>
    <row r="848" spans="1:10" x14ac:dyDescent="0.25">
      <c r="A848">
        <v>1047</v>
      </c>
      <c r="B848" s="14" t="s">
        <v>1671</v>
      </c>
      <c r="C848">
        <v>66</v>
      </c>
      <c r="D848" s="14" t="s">
        <v>50</v>
      </c>
      <c r="E848" s="1">
        <v>45890</v>
      </c>
      <c r="F848" s="1">
        <v>45448</v>
      </c>
      <c r="G848" s="14" t="s">
        <v>1672</v>
      </c>
      <c r="H848" s="14" t="s">
        <v>21</v>
      </c>
      <c r="I848">
        <v>261.87</v>
      </c>
      <c r="J848" s="14" t="s">
        <v>22</v>
      </c>
    </row>
    <row r="849" spans="1:10" x14ac:dyDescent="0.25">
      <c r="A849">
        <v>1091</v>
      </c>
      <c r="B849" s="14" t="s">
        <v>1673</v>
      </c>
      <c r="C849">
        <v>25</v>
      </c>
      <c r="D849" s="14" t="s">
        <v>50</v>
      </c>
      <c r="E849" s="1">
        <v>45980</v>
      </c>
      <c r="F849" s="1">
        <v>45976</v>
      </c>
      <c r="G849" s="14" t="s">
        <v>1674</v>
      </c>
      <c r="H849" s="14" t="s">
        <v>12</v>
      </c>
      <c r="I849">
        <v>170.53</v>
      </c>
      <c r="J849" s="14" t="s">
        <v>22</v>
      </c>
    </row>
    <row r="850" spans="1:10" x14ac:dyDescent="0.25">
      <c r="A850">
        <v>1026</v>
      </c>
      <c r="B850" s="14" t="s">
        <v>1675</v>
      </c>
      <c r="C850">
        <v>56</v>
      </c>
      <c r="D850" s="14" t="s">
        <v>30</v>
      </c>
      <c r="E850" s="1">
        <v>46011</v>
      </c>
      <c r="F850" s="1">
        <v>45832</v>
      </c>
      <c r="G850" s="14" t="s">
        <v>1676</v>
      </c>
      <c r="H850" s="14" t="s">
        <v>21</v>
      </c>
      <c r="I850">
        <v>197.66</v>
      </c>
      <c r="J850" s="14" t="s">
        <v>22</v>
      </c>
    </row>
    <row r="851" spans="1:10" x14ac:dyDescent="0.25">
      <c r="A851">
        <v>1075</v>
      </c>
      <c r="B851" s="14" t="s">
        <v>1677</v>
      </c>
      <c r="C851">
        <v>85</v>
      </c>
      <c r="D851" s="14" t="s">
        <v>30</v>
      </c>
      <c r="E851" s="1">
        <v>46090</v>
      </c>
      <c r="F851" s="1">
        <v>45734</v>
      </c>
      <c r="G851" s="14" t="s">
        <v>1678</v>
      </c>
      <c r="H851" s="14" t="s">
        <v>18</v>
      </c>
      <c r="I851">
        <v>454.23</v>
      </c>
      <c r="J851" s="14" t="s">
        <v>22</v>
      </c>
    </row>
    <row r="852" spans="1:10" x14ac:dyDescent="0.25">
      <c r="A852">
        <v>1089</v>
      </c>
      <c r="B852" s="14" t="s">
        <v>1679</v>
      </c>
      <c r="C852">
        <v>76</v>
      </c>
      <c r="D852" s="14" t="s">
        <v>30</v>
      </c>
      <c r="E852" s="1">
        <v>46102</v>
      </c>
      <c r="F852" s="1">
        <v>45555</v>
      </c>
      <c r="G852" s="14" t="s">
        <v>1680</v>
      </c>
      <c r="H852" s="14" t="s">
        <v>18</v>
      </c>
      <c r="I852">
        <v>104.3</v>
      </c>
      <c r="J852" s="14" t="s">
        <v>28</v>
      </c>
    </row>
    <row r="853" spans="1:10" x14ac:dyDescent="0.25">
      <c r="A853">
        <v>1031</v>
      </c>
      <c r="B853" s="14" t="s">
        <v>1681</v>
      </c>
      <c r="C853">
        <v>43</v>
      </c>
      <c r="D853" s="14" t="s">
        <v>50</v>
      </c>
      <c r="E853" s="1">
        <v>45896</v>
      </c>
      <c r="F853" s="1">
        <v>45423</v>
      </c>
      <c r="G853" s="14" t="s">
        <v>1682</v>
      </c>
      <c r="H853" s="14" t="s">
        <v>18</v>
      </c>
      <c r="I853">
        <v>263.10000000000002</v>
      </c>
      <c r="J853" s="14" t="s">
        <v>28</v>
      </c>
    </row>
    <row r="854" spans="1:10" x14ac:dyDescent="0.25">
      <c r="A854">
        <v>1082</v>
      </c>
      <c r="B854" s="14" t="s">
        <v>1683</v>
      </c>
      <c r="C854">
        <v>51</v>
      </c>
      <c r="D854" s="14" t="s">
        <v>50</v>
      </c>
      <c r="E854" s="1">
        <v>45902</v>
      </c>
      <c r="F854" s="1">
        <v>45884</v>
      </c>
      <c r="G854" s="14" t="s">
        <v>1684</v>
      </c>
      <c r="H854" s="14" t="s">
        <v>15</v>
      </c>
      <c r="I854">
        <v>229.44</v>
      </c>
      <c r="J854" s="14" t="s">
        <v>22</v>
      </c>
    </row>
    <row r="855" spans="1:10" x14ac:dyDescent="0.25">
      <c r="A855">
        <v>1022</v>
      </c>
      <c r="B855" s="14" t="s">
        <v>1685</v>
      </c>
      <c r="C855">
        <v>89</v>
      </c>
      <c r="D855" s="14" t="s">
        <v>30</v>
      </c>
      <c r="E855" s="1">
        <v>46055</v>
      </c>
      <c r="F855" s="1">
        <v>45665</v>
      </c>
      <c r="G855" s="14" t="s">
        <v>1686</v>
      </c>
      <c r="H855" s="14" t="s">
        <v>18</v>
      </c>
      <c r="I855">
        <v>424.53</v>
      </c>
      <c r="J855" s="14" t="s">
        <v>28</v>
      </c>
    </row>
    <row r="856" spans="1:10" x14ac:dyDescent="0.25">
      <c r="A856">
        <v>1063</v>
      </c>
      <c r="B856" s="14" t="s">
        <v>1687</v>
      </c>
      <c r="C856">
        <v>48</v>
      </c>
      <c r="D856" s="14" t="s">
        <v>30</v>
      </c>
      <c r="E856" s="1">
        <v>46045</v>
      </c>
      <c r="F856" s="1">
        <v>45943</v>
      </c>
      <c r="G856" s="14" t="s">
        <v>1688</v>
      </c>
      <c r="H856" s="14" t="s">
        <v>15</v>
      </c>
      <c r="I856">
        <v>248.84</v>
      </c>
      <c r="J856" s="14" t="s">
        <v>22</v>
      </c>
    </row>
    <row r="857" spans="1:10" x14ac:dyDescent="0.25">
      <c r="A857">
        <v>1009</v>
      </c>
      <c r="B857" s="14" t="s">
        <v>1689</v>
      </c>
      <c r="C857">
        <v>37</v>
      </c>
      <c r="D857" s="14" t="s">
        <v>50</v>
      </c>
      <c r="E857" s="1">
        <v>45861</v>
      </c>
      <c r="F857" s="1">
        <v>45730</v>
      </c>
      <c r="G857" s="14" t="s">
        <v>1690</v>
      </c>
      <c r="H857" s="14" t="s">
        <v>12</v>
      </c>
      <c r="I857">
        <v>89.38</v>
      </c>
      <c r="J857" s="14" t="s">
        <v>22</v>
      </c>
    </row>
    <row r="858" spans="1:10" x14ac:dyDescent="0.25">
      <c r="A858">
        <v>1079</v>
      </c>
      <c r="B858" s="14" t="s">
        <v>1691</v>
      </c>
      <c r="C858">
        <v>64</v>
      </c>
      <c r="D858" s="14" t="s">
        <v>50</v>
      </c>
      <c r="E858" s="1">
        <v>45871</v>
      </c>
      <c r="F858" s="1">
        <v>45808</v>
      </c>
      <c r="G858" s="14" t="s">
        <v>1692</v>
      </c>
      <c r="H858" s="14" t="s">
        <v>18</v>
      </c>
      <c r="I858">
        <v>110.8</v>
      </c>
      <c r="J858" s="14" t="s">
        <v>28</v>
      </c>
    </row>
    <row r="859" spans="1:10" x14ac:dyDescent="0.25">
      <c r="A859">
        <v>1001</v>
      </c>
      <c r="B859" s="14" t="s">
        <v>1693</v>
      </c>
      <c r="C859">
        <v>25</v>
      </c>
      <c r="D859" s="14" t="s">
        <v>30</v>
      </c>
      <c r="E859" s="1">
        <v>46062</v>
      </c>
      <c r="F859" s="1">
        <v>45676</v>
      </c>
      <c r="G859" s="14" t="s">
        <v>1694</v>
      </c>
      <c r="H859" s="14" t="s">
        <v>15</v>
      </c>
      <c r="I859">
        <v>217.51</v>
      </c>
      <c r="J859" s="14" t="s">
        <v>28</v>
      </c>
    </row>
    <row r="860" spans="1:10" x14ac:dyDescent="0.25">
      <c r="A860">
        <v>1022</v>
      </c>
      <c r="B860" s="14" t="s">
        <v>1695</v>
      </c>
      <c r="C860">
        <v>78</v>
      </c>
      <c r="D860" s="14" t="s">
        <v>50</v>
      </c>
      <c r="E860" s="1">
        <v>45939</v>
      </c>
      <c r="F860" s="1">
        <v>45832</v>
      </c>
      <c r="G860" s="14" t="s">
        <v>1696</v>
      </c>
      <c r="H860" s="14" t="s">
        <v>21</v>
      </c>
      <c r="I860">
        <v>427.98</v>
      </c>
      <c r="J860" s="14" t="s">
        <v>28</v>
      </c>
    </row>
    <row r="861" spans="1:10" x14ac:dyDescent="0.25">
      <c r="A861">
        <v>1008</v>
      </c>
      <c r="B861" s="14" t="s">
        <v>1697</v>
      </c>
      <c r="C861">
        <v>77</v>
      </c>
      <c r="D861" s="14" t="s">
        <v>30</v>
      </c>
      <c r="E861" s="1">
        <v>46029</v>
      </c>
      <c r="F861" s="1">
        <v>45472</v>
      </c>
      <c r="G861" s="14" t="s">
        <v>1698</v>
      </c>
      <c r="H861" s="14" t="s">
        <v>12</v>
      </c>
      <c r="I861">
        <v>298.89</v>
      </c>
      <c r="J861" s="14" t="s">
        <v>28</v>
      </c>
    </row>
    <row r="862" spans="1:10" x14ac:dyDescent="0.25">
      <c r="A862">
        <v>1100</v>
      </c>
      <c r="B862" s="14" t="s">
        <v>1699</v>
      </c>
      <c r="C862">
        <v>46</v>
      </c>
      <c r="D862" s="14" t="s">
        <v>50</v>
      </c>
      <c r="E862" s="1">
        <v>46054</v>
      </c>
      <c r="F862" s="1">
        <v>45835</v>
      </c>
      <c r="G862" s="14" t="s">
        <v>1700</v>
      </c>
      <c r="H862" s="14" t="s">
        <v>12</v>
      </c>
      <c r="I862">
        <v>182.71</v>
      </c>
      <c r="J862" s="14" t="s">
        <v>28</v>
      </c>
    </row>
    <row r="863" spans="1:10" x14ac:dyDescent="0.25">
      <c r="A863">
        <v>1074</v>
      </c>
      <c r="B863" s="14" t="s">
        <v>1701</v>
      </c>
      <c r="C863">
        <v>90</v>
      </c>
      <c r="D863" s="14" t="s">
        <v>30</v>
      </c>
      <c r="E863" s="1">
        <v>45966</v>
      </c>
      <c r="F863" s="1">
        <v>45449</v>
      </c>
      <c r="G863" s="14" t="s">
        <v>1702</v>
      </c>
      <c r="H863" s="14" t="s">
        <v>21</v>
      </c>
      <c r="I863">
        <v>350.12</v>
      </c>
      <c r="J863" s="14" t="s">
        <v>22</v>
      </c>
    </row>
    <row r="864" spans="1:10" x14ac:dyDescent="0.25">
      <c r="A864">
        <v>1037</v>
      </c>
      <c r="B864" s="14" t="s">
        <v>1703</v>
      </c>
      <c r="C864">
        <v>26</v>
      </c>
      <c r="D864" s="14" t="s">
        <v>50</v>
      </c>
      <c r="E864" s="1">
        <v>46039</v>
      </c>
      <c r="F864" s="1">
        <v>45471</v>
      </c>
      <c r="G864" s="14" t="s">
        <v>1704</v>
      </c>
      <c r="H864" s="14" t="s">
        <v>21</v>
      </c>
      <c r="I864">
        <v>158.91</v>
      </c>
      <c r="J864" s="14" t="s">
        <v>22</v>
      </c>
    </row>
    <row r="865" spans="1:10" x14ac:dyDescent="0.25">
      <c r="A865">
        <v>1094</v>
      </c>
      <c r="B865" s="14" t="s">
        <v>1705</v>
      </c>
      <c r="C865">
        <v>22</v>
      </c>
      <c r="D865" s="14" t="s">
        <v>30</v>
      </c>
      <c r="E865" s="1">
        <v>46097</v>
      </c>
      <c r="F865" s="1">
        <v>45622</v>
      </c>
      <c r="G865" s="14" t="s">
        <v>1706</v>
      </c>
      <c r="H865" s="14" t="s">
        <v>15</v>
      </c>
      <c r="I865">
        <v>457.94</v>
      </c>
      <c r="J865" s="14" t="s">
        <v>28</v>
      </c>
    </row>
    <row r="866" spans="1:10" x14ac:dyDescent="0.25">
      <c r="A866">
        <v>1066</v>
      </c>
      <c r="B866" s="14" t="s">
        <v>1707</v>
      </c>
      <c r="C866">
        <v>36</v>
      </c>
      <c r="D866" s="14" t="s">
        <v>30</v>
      </c>
      <c r="E866" s="1">
        <v>46033</v>
      </c>
      <c r="F866" s="1">
        <v>45930</v>
      </c>
      <c r="G866" s="14" t="s">
        <v>1708</v>
      </c>
      <c r="H866" s="14" t="s">
        <v>12</v>
      </c>
      <c r="I866">
        <v>130.9</v>
      </c>
      <c r="J866" s="14" t="s">
        <v>22</v>
      </c>
    </row>
    <row r="867" spans="1:10" x14ac:dyDescent="0.25">
      <c r="A867">
        <v>1084</v>
      </c>
      <c r="B867" s="14" t="s">
        <v>1709</v>
      </c>
      <c r="C867">
        <v>83</v>
      </c>
      <c r="D867" s="14" t="s">
        <v>30</v>
      </c>
      <c r="E867" s="1">
        <v>45865</v>
      </c>
      <c r="F867" s="1">
        <v>45744</v>
      </c>
      <c r="G867" s="14" t="s">
        <v>1710</v>
      </c>
      <c r="H867" s="14" t="s">
        <v>15</v>
      </c>
      <c r="I867">
        <v>318.44</v>
      </c>
      <c r="J867" s="14" t="s">
        <v>22</v>
      </c>
    </row>
    <row r="868" spans="1:10" x14ac:dyDescent="0.25">
      <c r="A868">
        <v>1008</v>
      </c>
      <c r="B868" s="14" t="s">
        <v>1711</v>
      </c>
      <c r="C868">
        <v>44</v>
      </c>
      <c r="D868" s="14" t="s">
        <v>30</v>
      </c>
      <c r="E868" s="1">
        <v>45937</v>
      </c>
      <c r="F868" s="1">
        <v>45613</v>
      </c>
      <c r="G868" s="14" t="s">
        <v>1712</v>
      </c>
      <c r="H868" s="14" t="s">
        <v>18</v>
      </c>
      <c r="I868">
        <v>291.99</v>
      </c>
      <c r="J868" s="14" t="s">
        <v>22</v>
      </c>
    </row>
    <row r="869" spans="1:10" x14ac:dyDescent="0.25">
      <c r="A869">
        <v>1039</v>
      </c>
      <c r="B869" s="14" t="s">
        <v>1713</v>
      </c>
      <c r="C869">
        <v>69</v>
      </c>
      <c r="D869" s="14" t="s">
        <v>30</v>
      </c>
      <c r="E869" s="1">
        <v>46057</v>
      </c>
      <c r="F869" s="1">
        <v>45582</v>
      </c>
      <c r="G869" s="14" t="s">
        <v>1714</v>
      </c>
      <c r="H869" s="14" t="s">
        <v>12</v>
      </c>
      <c r="I869">
        <v>161.56</v>
      </c>
      <c r="J869" s="14" t="s">
        <v>28</v>
      </c>
    </row>
    <row r="870" spans="1:10" x14ac:dyDescent="0.25">
      <c r="A870">
        <v>1092</v>
      </c>
      <c r="B870" s="14" t="s">
        <v>1715</v>
      </c>
      <c r="C870">
        <v>58</v>
      </c>
      <c r="D870" s="14" t="s">
        <v>50</v>
      </c>
      <c r="E870" s="1">
        <v>45843</v>
      </c>
      <c r="F870" s="1">
        <v>45793</v>
      </c>
      <c r="G870" s="14" t="s">
        <v>1716</v>
      </c>
      <c r="H870" s="14" t="s">
        <v>21</v>
      </c>
      <c r="I870">
        <v>79.8</v>
      </c>
      <c r="J870" s="14" t="s">
        <v>28</v>
      </c>
    </row>
    <row r="871" spans="1:10" x14ac:dyDescent="0.25">
      <c r="A871">
        <v>1023</v>
      </c>
      <c r="B871" s="14" t="s">
        <v>1717</v>
      </c>
      <c r="C871">
        <v>76</v>
      </c>
      <c r="D871" s="14" t="s">
        <v>50</v>
      </c>
      <c r="E871" s="1">
        <v>45888</v>
      </c>
      <c r="F871" s="1">
        <v>45884</v>
      </c>
      <c r="G871" s="14" t="s">
        <v>1718</v>
      </c>
      <c r="H871" s="14" t="s">
        <v>21</v>
      </c>
      <c r="I871">
        <v>151.58000000000001</v>
      </c>
      <c r="J871" s="14" t="s">
        <v>28</v>
      </c>
    </row>
    <row r="872" spans="1:10" x14ac:dyDescent="0.25">
      <c r="A872">
        <v>1004</v>
      </c>
      <c r="B872" s="14" t="s">
        <v>1719</v>
      </c>
      <c r="C872">
        <v>67</v>
      </c>
      <c r="D872" s="14" t="s">
        <v>50</v>
      </c>
      <c r="E872" s="1">
        <v>45981</v>
      </c>
      <c r="F872" s="1">
        <v>45871</v>
      </c>
      <c r="G872" s="14" t="s">
        <v>1720</v>
      </c>
      <c r="H872" s="14" t="s">
        <v>18</v>
      </c>
      <c r="I872">
        <v>338.13</v>
      </c>
      <c r="J872" s="14" t="s">
        <v>28</v>
      </c>
    </row>
    <row r="873" spans="1:10" x14ac:dyDescent="0.25">
      <c r="A873">
        <v>1056</v>
      </c>
      <c r="B873" s="14" t="s">
        <v>1721</v>
      </c>
      <c r="C873">
        <v>30</v>
      </c>
      <c r="D873" s="14" t="s">
        <v>24</v>
      </c>
      <c r="E873" s="1">
        <v>45806</v>
      </c>
      <c r="F873" s="1">
        <v>45443</v>
      </c>
      <c r="G873" s="14" t="s">
        <v>1722</v>
      </c>
      <c r="H873" s="14" t="s">
        <v>15</v>
      </c>
      <c r="I873">
        <v>441.92</v>
      </c>
      <c r="J873" s="14" t="s">
        <v>28</v>
      </c>
    </row>
    <row r="874" spans="1:10" x14ac:dyDescent="0.25">
      <c r="A874">
        <v>1077</v>
      </c>
      <c r="B874" s="14" t="s">
        <v>1723</v>
      </c>
      <c r="C874">
        <v>78</v>
      </c>
      <c r="D874" s="14" t="s">
        <v>50</v>
      </c>
      <c r="E874" s="1">
        <v>45970</v>
      </c>
      <c r="F874" s="1">
        <v>45852</v>
      </c>
      <c r="G874" s="14" t="s">
        <v>1724</v>
      </c>
      <c r="H874" s="14" t="s">
        <v>15</v>
      </c>
      <c r="I874">
        <v>114.73</v>
      </c>
      <c r="J874" s="14" t="s">
        <v>28</v>
      </c>
    </row>
    <row r="875" spans="1:10" x14ac:dyDescent="0.25">
      <c r="A875">
        <v>1081</v>
      </c>
      <c r="B875" s="14" t="s">
        <v>1607</v>
      </c>
      <c r="C875">
        <v>45</v>
      </c>
      <c r="D875" s="14" t="s">
        <v>50</v>
      </c>
      <c r="E875" s="1">
        <v>46102</v>
      </c>
      <c r="F875" s="1">
        <v>45416</v>
      </c>
      <c r="G875" s="14" t="s">
        <v>1725</v>
      </c>
      <c r="H875" s="14" t="s">
        <v>21</v>
      </c>
      <c r="I875">
        <v>405.59</v>
      </c>
      <c r="J875" s="14" t="s">
        <v>28</v>
      </c>
    </row>
    <row r="876" spans="1:10" x14ac:dyDescent="0.25">
      <c r="A876">
        <v>1078</v>
      </c>
      <c r="B876" s="14" t="s">
        <v>1726</v>
      </c>
      <c r="C876">
        <v>25</v>
      </c>
      <c r="D876" s="14" t="s">
        <v>30</v>
      </c>
      <c r="E876" s="1">
        <v>45977</v>
      </c>
      <c r="F876" s="1">
        <v>45557</v>
      </c>
      <c r="G876" s="14" t="s">
        <v>1727</v>
      </c>
      <c r="H876" s="14" t="s">
        <v>12</v>
      </c>
      <c r="I876">
        <v>368.56</v>
      </c>
      <c r="J876" s="14" t="s">
        <v>22</v>
      </c>
    </row>
    <row r="877" spans="1:10" x14ac:dyDescent="0.25">
      <c r="A877">
        <v>1054</v>
      </c>
      <c r="B877" s="14" t="s">
        <v>1728</v>
      </c>
      <c r="C877">
        <v>50</v>
      </c>
      <c r="D877" s="14" t="s">
        <v>30</v>
      </c>
      <c r="E877" s="1">
        <v>45813</v>
      </c>
      <c r="F877" s="1">
        <v>45645</v>
      </c>
      <c r="G877" s="14" t="s">
        <v>1729</v>
      </c>
      <c r="H877" s="14" t="s">
        <v>21</v>
      </c>
      <c r="I877">
        <v>496.31</v>
      </c>
      <c r="J877" s="14" t="s">
        <v>22</v>
      </c>
    </row>
    <row r="878" spans="1:10" x14ac:dyDescent="0.25">
      <c r="A878">
        <v>1085</v>
      </c>
      <c r="B878" s="14" t="s">
        <v>1730</v>
      </c>
      <c r="C878">
        <v>85</v>
      </c>
      <c r="D878" s="14" t="s">
        <v>50</v>
      </c>
      <c r="E878" s="1">
        <v>46031</v>
      </c>
      <c r="F878" s="1">
        <v>45780</v>
      </c>
      <c r="G878" s="14" t="s">
        <v>1731</v>
      </c>
      <c r="H878" s="14" t="s">
        <v>12</v>
      </c>
      <c r="I878">
        <v>213.17</v>
      </c>
      <c r="J878" s="14" t="s">
        <v>22</v>
      </c>
    </row>
    <row r="879" spans="1:10" x14ac:dyDescent="0.25">
      <c r="A879">
        <v>1028</v>
      </c>
      <c r="B879" s="14" t="s">
        <v>1732</v>
      </c>
      <c r="C879">
        <v>22</v>
      </c>
      <c r="D879" s="14" t="s">
        <v>50</v>
      </c>
      <c r="E879" s="1">
        <v>46008</v>
      </c>
      <c r="F879" s="1">
        <v>45875</v>
      </c>
      <c r="G879" s="14" t="s">
        <v>1733</v>
      </c>
      <c r="H879" s="14" t="s">
        <v>15</v>
      </c>
      <c r="I879">
        <v>150.15</v>
      </c>
      <c r="J879" s="14" t="s">
        <v>22</v>
      </c>
    </row>
    <row r="880" spans="1:10" x14ac:dyDescent="0.25">
      <c r="A880">
        <v>1048</v>
      </c>
      <c r="B880" s="14" t="s">
        <v>1734</v>
      </c>
      <c r="C880">
        <v>89</v>
      </c>
      <c r="D880" s="14" t="s">
        <v>30</v>
      </c>
      <c r="E880" s="1">
        <v>45858</v>
      </c>
      <c r="F880" s="1">
        <v>45455</v>
      </c>
      <c r="G880" s="14" t="s">
        <v>1735</v>
      </c>
      <c r="H880" s="14" t="s">
        <v>18</v>
      </c>
      <c r="I880">
        <v>371.69</v>
      </c>
      <c r="J880" s="14" t="s">
        <v>22</v>
      </c>
    </row>
    <row r="881" spans="1:10" x14ac:dyDescent="0.25">
      <c r="A881">
        <v>1008</v>
      </c>
      <c r="B881" s="14" t="s">
        <v>1736</v>
      </c>
      <c r="C881">
        <v>34</v>
      </c>
      <c r="D881" s="14" t="s">
        <v>30</v>
      </c>
      <c r="E881" s="1">
        <v>45940</v>
      </c>
      <c r="F881" s="1">
        <v>45779</v>
      </c>
      <c r="G881" s="14" t="s">
        <v>1737</v>
      </c>
      <c r="H881" s="14" t="s">
        <v>18</v>
      </c>
      <c r="I881">
        <v>431.45</v>
      </c>
      <c r="J881" s="14" t="s">
        <v>22</v>
      </c>
    </row>
    <row r="882" spans="1:10" x14ac:dyDescent="0.25">
      <c r="A882">
        <v>1002</v>
      </c>
      <c r="B882" s="14" t="s">
        <v>1738</v>
      </c>
      <c r="C882">
        <v>22</v>
      </c>
      <c r="D882" s="14" t="s">
        <v>50</v>
      </c>
      <c r="E882" s="1">
        <v>45886</v>
      </c>
      <c r="F882" s="1">
        <v>45662</v>
      </c>
      <c r="G882" s="14" t="s">
        <v>1739</v>
      </c>
      <c r="H882" s="14" t="s">
        <v>15</v>
      </c>
      <c r="I882">
        <v>189.17</v>
      </c>
      <c r="J882" s="14" t="s">
        <v>22</v>
      </c>
    </row>
    <row r="883" spans="1:10" x14ac:dyDescent="0.25">
      <c r="A883">
        <v>1013</v>
      </c>
      <c r="B883" s="14" t="s">
        <v>1740</v>
      </c>
      <c r="C883">
        <v>24</v>
      </c>
      <c r="D883" s="14" t="s">
        <v>24</v>
      </c>
      <c r="E883" s="1">
        <v>45757</v>
      </c>
      <c r="F883" s="1">
        <v>45738</v>
      </c>
      <c r="G883" s="14" t="s">
        <v>1741</v>
      </c>
      <c r="H883" s="14" t="s">
        <v>15</v>
      </c>
      <c r="I883">
        <v>281.70999999999998</v>
      </c>
      <c r="J883" s="14" t="s">
        <v>22</v>
      </c>
    </row>
    <row r="884" spans="1:10" x14ac:dyDescent="0.25">
      <c r="A884">
        <v>1032</v>
      </c>
      <c r="B884" s="14" t="s">
        <v>1742</v>
      </c>
      <c r="C884">
        <v>21</v>
      </c>
      <c r="D884" s="14" t="s">
        <v>50</v>
      </c>
      <c r="E884" s="1">
        <v>46061</v>
      </c>
      <c r="F884" s="1">
        <v>45791</v>
      </c>
      <c r="G884" s="14" t="s">
        <v>1405</v>
      </c>
      <c r="H884" s="14" t="s">
        <v>21</v>
      </c>
      <c r="I884">
        <v>309.31</v>
      </c>
      <c r="J884" s="14" t="s">
        <v>22</v>
      </c>
    </row>
    <row r="885" spans="1:10" x14ac:dyDescent="0.25">
      <c r="A885">
        <v>1074</v>
      </c>
      <c r="B885" s="14" t="s">
        <v>1743</v>
      </c>
      <c r="C885">
        <v>23</v>
      </c>
      <c r="D885" s="14" t="s">
        <v>50</v>
      </c>
      <c r="E885" s="1">
        <v>45803</v>
      </c>
      <c r="F885" s="1">
        <v>45674</v>
      </c>
      <c r="G885" s="14" t="s">
        <v>1744</v>
      </c>
      <c r="H885" s="14" t="s">
        <v>18</v>
      </c>
      <c r="I885">
        <v>57.03</v>
      </c>
      <c r="J885" s="14" t="s">
        <v>28</v>
      </c>
    </row>
    <row r="886" spans="1:10" x14ac:dyDescent="0.25">
      <c r="A886">
        <v>1025</v>
      </c>
      <c r="B886" s="14" t="s">
        <v>1745</v>
      </c>
      <c r="C886">
        <v>52</v>
      </c>
      <c r="D886" s="14" t="s">
        <v>30</v>
      </c>
      <c r="E886" s="1">
        <v>45813</v>
      </c>
      <c r="F886" s="1">
        <v>45602</v>
      </c>
      <c r="G886" s="14" t="s">
        <v>1746</v>
      </c>
      <c r="H886" s="14" t="s">
        <v>15</v>
      </c>
      <c r="I886">
        <v>219.97</v>
      </c>
      <c r="J886" s="14" t="s">
        <v>22</v>
      </c>
    </row>
    <row r="887" spans="1:10" x14ac:dyDescent="0.25">
      <c r="A887">
        <v>1040</v>
      </c>
      <c r="B887" s="14" t="s">
        <v>1747</v>
      </c>
      <c r="C887">
        <v>36</v>
      </c>
      <c r="D887" s="14" t="s">
        <v>24</v>
      </c>
      <c r="E887" s="1">
        <v>45804</v>
      </c>
      <c r="F887" s="1">
        <v>45628</v>
      </c>
      <c r="G887" s="14" t="s">
        <v>1748</v>
      </c>
      <c r="H887" s="14" t="s">
        <v>15</v>
      </c>
      <c r="I887">
        <v>186.51</v>
      </c>
      <c r="J887" s="14" t="s">
        <v>22</v>
      </c>
    </row>
    <row r="888" spans="1:10" x14ac:dyDescent="0.25">
      <c r="A888">
        <v>1089</v>
      </c>
      <c r="B888" s="14" t="s">
        <v>1749</v>
      </c>
      <c r="C888">
        <v>20</v>
      </c>
      <c r="D888" s="14" t="s">
        <v>50</v>
      </c>
      <c r="E888" s="1">
        <v>45933</v>
      </c>
      <c r="F888" s="1">
        <v>45868</v>
      </c>
      <c r="G888" s="14" t="s">
        <v>1750</v>
      </c>
      <c r="H888" s="14" t="s">
        <v>18</v>
      </c>
      <c r="I888">
        <v>77.05</v>
      </c>
      <c r="J888" s="14" t="s">
        <v>22</v>
      </c>
    </row>
    <row r="889" spans="1:10" x14ac:dyDescent="0.25">
      <c r="A889">
        <v>1069</v>
      </c>
      <c r="B889" s="14" t="s">
        <v>1751</v>
      </c>
      <c r="C889">
        <v>32</v>
      </c>
      <c r="D889" s="14" t="s">
        <v>30</v>
      </c>
      <c r="E889" s="1">
        <v>46076</v>
      </c>
      <c r="F889" s="1">
        <v>45671</v>
      </c>
      <c r="G889" s="14" t="s">
        <v>1752</v>
      </c>
      <c r="H889" s="14" t="s">
        <v>21</v>
      </c>
      <c r="I889">
        <v>208.72</v>
      </c>
      <c r="J889" s="14" t="s">
        <v>28</v>
      </c>
    </row>
    <row r="890" spans="1:10" x14ac:dyDescent="0.25">
      <c r="A890">
        <v>1070</v>
      </c>
      <c r="B890" s="14" t="s">
        <v>1753</v>
      </c>
      <c r="C890">
        <v>38</v>
      </c>
      <c r="D890" s="14" t="s">
        <v>50</v>
      </c>
      <c r="E890" s="1">
        <v>45844</v>
      </c>
      <c r="F890" s="1">
        <v>45770</v>
      </c>
      <c r="G890" s="14" t="s">
        <v>1754</v>
      </c>
      <c r="H890" s="14" t="s">
        <v>18</v>
      </c>
      <c r="I890">
        <v>390.16</v>
      </c>
      <c r="J890" s="14" t="s">
        <v>28</v>
      </c>
    </row>
    <row r="891" spans="1:10" x14ac:dyDescent="0.25">
      <c r="A891">
        <v>1070</v>
      </c>
      <c r="B891" s="14" t="s">
        <v>1755</v>
      </c>
      <c r="C891">
        <v>53</v>
      </c>
      <c r="D891" s="14" t="s">
        <v>24</v>
      </c>
      <c r="E891" s="1">
        <v>46040</v>
      </c>
      <c r="F891" s="1">
        <v>45727</v>
      </c>
      <c r="G891" s="14" t="s">
        <v>1756</v>
      </c>
      <c r="H891" s="14" t="s">
        <v>18</v>
      </c>
      <c r="I891">
        <v>74.78</v>
      </c>
      <c r="J891" s="14" t="s">
        <v>28</v>
      </c>
    </row>
    <row r="892" spans="1:10" x14ac:dyDescent="0.25">
      <c r="A892">
        <v>1077</v>
      </c>
      <c r="B892" s="14" t="s">
        <v>1757</v>
      </c>
      <c r="C892">
        <v>58</v>
      </c>
      <c r="D892" s="14" t="s">
        <v>30</v>
      </c>
      <c r="E892" s="1">
        <v>46106</v>
      </c>
      <c r="F892" s="1">
        <v>45954</v>
      </c>
      <c r="G892" s="14" t="s">
        <v>1758</v>
      </c>
      <c r="H892" s="14" t="s">
        <v>18</v>
      </c>
      <c r="I892">
        <v>199.03</v>
      </c>
      <c r="J892" s="14" t="s">
        <v>22</v>
      </c>
    </row>
    <row r="893" spans="1:10" x14ac:dyDescent="0.25">
      <c r="A893">
        <v>1082</v>
      </c>
      <c r="B893" s="14" t="s">
        <v>1759</v>
      </c>
      <c r="C893">
        <v>61</v>
      </c>
      <c r="D893" s="14" t="s">
        <v>50</v>
      </c>
      <c r="E893" s="1">
        <v>45966</v>
      </c>
      <c r="F893" s="1">
        <v>45920</v>
      </c>
      <c r="G893" s="14" t="s">
        <v>689</v>
      </c>
      <c r="H893" s="14" t="s">
        <v>12</v>
      </c>
      <c r="I893">
        <v>245.09</v>
      </c>
      <c r="J893" s="14" t="s">
        <v>22</v>
      </c>
    </row>
    <row r="894" spans="1:10" x14ac:dyDescent="0.25">
      <c r="A894">
        <v>1053</v>
      </c>
      <c r="B894" s="14" t="s">
        <v>1760</v>
      </c>
      <c r="C894">
        <v>66</v>
      </c>
      <c r="D894" s="14" t="s">
        <v>30</v>
      </c>
      <c r="E894" s="1">
        <v>45893</v>
      </c>
      <c r="F894" s="1">
        <v>45431</v>
      </c>
      <c r="G894" s="14" t="s">
        <v>1761</v>
      </c>
      <c r="H894" s="14" t="s">
        <v>15</v>
      </c>
      <c r="I894">
        <v>282.02999999999997</v>
      </c>
      <c r="J894" s="14" t="s">
        <v>22</v>
      </c>
    </row>
    <row r="895" spans="1:10" x14ac:dyDescent="0.25">
      <c r="A895">
        <v>1083</v>
      </c>
      <c r="B895" s="14" t="s">
        <v>1762</v>
      </c>
      <c r="C895">
        <v>18</v>
      </c>
      <c r="D895" s="14" t="s">
        <v>50</v>
      </c>
      <c r="E895" s="1">
        <v>45768</v>
      </c>
      <c r="F895" s="1">
        <v>45539</v>
      </c>
      <c r="G895" s="14" t="s">
        <v>1763</v>
      </c>
      <c r="H895" s="14" t="s">
        <v>18</v>
      </c>
      <c r="I895">
        <v>411.85</v>
      </c>
      <c r="J895" s="14" t="s">
        <v>28</v>
      </c>
    </row>
    <row r="896" spans="1:10" x14ac:dyDescent="0.25">
      <c r="A896">
        <v>1096</v>
      </c>
      <c r="B896" s="14" t="s">
        <v>1764</v>
      </c>
      <c r="C896">
        <v>70</v>
      </c>
      <c r="D896" s="14" t="s">
        <v>50</v>
      </c>
      <c r="E896" s="1">
        <v>45820</v>
      </c>
      <c r="F896" s="1">
        <v>45623</v>
      </c>
      <c r="G896" s="14" t="s">
        <v>1765</v>
      </c>
      <c r="H896" s="14" t="s">
        <v>18</v>
      </c>
      <c r="I896">
        <v>144.88999999999999</v>
      </c>
      <c r="J896" s="14" t="s">
        <v>28</v>
      </c>
    </row>
    <row r="897" spans="1:10" x14ac:dyDescent="0.25">
      <c r="A897">
        <v>1043</v>
      </c>
      <c r="B897" s="14" t="s">
        <v>1766</v>
      </c>
      <c r="C897">
        <v>31</v>
      </c>
      <c r="D897" s="14" t="s">
        <v>50</v>
      </c>
      <c r="E897" s="1">
        <v>45982</v>
      </c>
      <c r="F897" s="1">
        <v>45885</v>
      </c>
      <c r="G897" s="14" t="s">
        <v>1767</v>
      </c>
      <c r="H897" s="14" t="s">
        <v>18</v>
      </c>
      <c r="I897">
        <v>198.95</v>
      </c>
      <c r="J897" s="14" t="s">
        <v>22</v>
      </c>
    </row>
    <row r="898" spans="1:10" x14ac:dyDescent="0.25">
      <c r="A898">
        <v>1058</v>
      </c>
      <c r="B898" s="14" t="s">
        <v>1768</v>
      </c>
      <c r="C898">
        <v>64</v>
      </c>
      <c r="D898" s="14" t="s">
        <v>50</v>
      </c>
      <c r="E898" s="1">
        <v>45761</v>
      </c>
      <c r="F898" s="1">
        <v>45692</v>
      </c>
      <c r="G898" s="14" t="s">
        <v>1769</v>
      </c>
      <c r="H898" s="14" t="s">
        <v>18</v>
      </c>
      <c r="I898">
        <v>246.05</v>
      </c>
      <c r="J898" s="14" t="s">
        <v>28</v>
      </c>
    </row>
    <row r="899" spans="1:10" x14ac:dyDescent="0.25">
      <c r="A899">
        <v>1080</v>
      </c>
      <c r="B899" s="14" t="s">
        <v>1770</v>
      </c>
      <c r="C899">
        <v>21</v>
      </c>
      <c r="D899" s="14" t="s">
        <v>50</v>
      </c>
      <c r="E899" s="1">
        <v>45774</v>
      </c>
      <c r="F899" s="1">
        <v>45729</v>
      </c>
      <c r="G899" s="14" t="s">
        <v>1771</v>
      </c>
      <c r="H899" s="14" t="s">
        <v>18</v>
      </c>
      <c r="I899">
        <v>164.43</v>
      </c>
      <c r="J899" s="14" t="s">
        <v>28</v>
      </c>
    </row>
    <row r="900" spans="1:10" x14ac:dyDescent="0.25">
      <c r="A900">
        <v>1097</v>
      </c>
      <c r="B900" s="14" t="s">
        <v>1772</v>
      </c>
      <c r="C900">
        <v>51</v>
      </c>
      <c r="D900" s="14" t="s">
        <v>30</v>
      </c>
      <c r="E900" s="1">
        <v>45911</v>
      </c>
      <c r="F900" s="1">
        <v>45456</v>
      </c>
      <c r="G900" s="14" t="s">
        <v>1773</v>
      </c>
      <c r="H900" s="14" t="s">
        <v>21</v>
      </c>
      <c r="I900">
        <v>381.59</v>
      </c>
      <c r="J900" s="14" t="s">
        <v>22</v>
      </c>
    </row>
    <row r="901" spans="1:10" x14ac:dyDescent="0.25">
      <c r="A901">
        <v>1054</v>
      </c>
      <c r="B901" s="14" t="s">
        <v>1774</v>
      </c>
      <c r="C901">
        <v>29</v>
      </c>
      <c r="D901" s="14" t="s">
        <v>50</v>
      </c>
      <c r="E901" s="1">
        <v>45794</v>
      </c>
      <c r="F901" s="1">
        <v>45571</v>
      </c>
      <c r="G901" s="14" t="s">
        <v>1775</v>
      </c>
      <c r="H901" s="14" t="s">
        <v>18</v>
      </c>
      <c r="I901">
        <v>341.42</v>
      </c>
      <c r="J901" s="14" t="s">
        <v>22</v>
      </c>
    </row>
    <row r="902" spans="1:10" x14ac:dyDescent="0.25">
      <c r="A902">
        <v>1075</v>
      </c>
      <c r="B902" s="14" t="s">
        <v>1776</v>
      </c>
      <c r="C902">
        <v>51</v>
      </c>
      <c r="D902" s="14" t="s">
        <v>50</v>
      </c>
      <c r="E902" s="1">
        <v>46002</v>
      </c>
      <c r="F902" s="1">
        <v>45949</v>
      </c>
      <c r="G902" s="14" t="s">
        <v>1777</v>
      </c>
      <c r="H902" s="14" t="s">
        <v>18</v>
      </c>
      <c r="I902">
        <v>456.12</v>
      </c>
      <c r="J902" s="14" t="s">
        <v>22</v>
      </c>
    </row>
    <row r="903" spans="1:10" x14ac:dyDescent="0.25">
      <c r="A903">
        <v>1036</v>
      </c>
      <c r="B903" s="14" t="s">
        <v>1778</v>
      </c>
      <c r="C903">
        <v>82</v>
      </c>
      <c r="D903" s="14" t="s">
        <v>50</v>
      </c>
      <c r="E903" s="1">
        <v>45999</v>
      </c>
      <c r="F903" s="1">
        <v>45389</v>
      </c>
      <c r="G903" s="14" t="s">
        <v>1779</v>
      </c>
      <c r="H903" s="14" t="s">
        <v>21</v>
      </c>
      <c r="I903">
        <v>371.84</v>
      </c>
      <c r="J903" s="14" t="s">
        <v>28</v>
      </c>
    </row>
    <row r="904" spans="1:10" x14ac:dyDescent="0.25">
      <c r="A904">
        <v>1064</v>
      </c>
      <c r="B904" s="14" t="s">
        <v>1780</v>
      </c>
      <c r="C904">
        <v>78</v>
      </c>
      <c r="D904" s="14" t="s">
        <v>30</v>
      </c>
      <c r="E904" s="1">
        <v>46036</v>
      </c>
      <c r="F904" s="1">
        <v>45784</v>
      </c>
      <c r="G904" s="14" t="s">
        <v>1781</v>
      </c>
      <c r="H904" s="14" t="s">
        <v>15</v>
      </c>
      <c r="I904">
        <v>263.23</v>
      </c>
      <c r="J904" s="14" t="s">
        <v>22</v>
      </c>
    </row>
    <row r="905" spans="1:10" x14ac:dyDescent="0.25">
      <c r="A905">
        <v>1015</v>
      </c>
      <c r="B905" s="14" t="s">
        <v>1782</v>
      </c>
      <c r="C905">
        <v>63</v>
      </c>
      <c r="D905" s="14" t="s">
        <v>50</v>
      </c>
      <c r="E905" s="1">
        <v>45989</v>
      </c>
      <c r="F905" s="1">
        <v>45559</v>
      </c>
      <c r="G905" s="14" t="s">
        <v>1783</v>
      </c>
      <c r="H905" s="14" t="s">
        <v>18</v>
      </c>
      <c r="I905">
        <v>427.62</v>
      </c>
      <c r="J905" s="14" t="s">
        <v>28</v>
      </c>
    </row>
    <row r="906" spans="1:10" x14ac:dyDescent="0.25">
      <c r="A906">
        <v>1045</v>
      </c>
      <c r="B906" s="14" t="s">
        <v>1784</v>
      </c>
      <c r="C906">
        <v>66</v>
      </c>
      <c r="D906" s="14" t="s">
        <v>50</v>
      </c>
      <c r="E906" s="1">
        <v>45800</v>
      </c>
      <c r="F906" s="1">
        <v>45411</v>
      </c>
      <c r="G906" s="14" t="s">
        <v>1785</v>
      </c>
      <c r="H906" s="14" t="s">
        <v>15</v>
      </c>
      <c r="I906">
        <v>100.78</v>
      </c>
      <c r="J906" s="14" t="s">
        <v>28</v>
      </c>
    </row>
    <row r="907" spans="1:10" x14ac:dyDescent="0.25">
      <c r="A907">
        <v>1016</v>
      </c>
      <c r="B907" s="14" t="s">
        <v>1786</v>
      </c>
      <c r="C907">
        <v>49</v>
      </c>
      <c r="D907" s="14" t="s">
        <v>50</v>
      </c>
      <c r="E907" s="1">
        <v>45916</v>
      </c>
      <c r="F907" s="1">
        <v>45779</v>
      </c>
      <c r="G907" s="14" t="s">
        <v>1787</v>
      </c>
      <c r="H907" s="14" t="s">
        <v>15</v>
      </c>
      <c r="J907" s="14" t="s">
        <v>22</v>
      </c>
    </row>
    <row r="908" spans="1:10" x14ac:dyDescent="0.25">
      <c r="A908">
        <v>1006</v>
      </c>
      <c r="B908" s="14" t="s">
        <v>1788</v>
      </c>
      <c r="C908">
        <v>61</v>
      </c>
      <c r="D908" s="14" t="s">
        <v>50</v>
      </c>
      <c r="E908" s="1">
        <v>45975</v>
      </c>
      <c r="F908" s="1">
        <v>45422</v>
      </c>
      <c r="G908" s="14" t="s">
        <v>1789</v>
      </c>
      <c r="H908" s="14" t="s">
        <v>15</v>
      </c>
      <c r="I908">
        <v>308.27999999999997</v>
      </c>
      <c r="J908" s="14" t="s">
        <v>22</v>
      </c>
    </row>
    <row r="909" spans="1:10" x14ac:dyDescent="0.25">
      <c r="A909">
        <v>1058</v>
      </c>
      <c r="B909" s="14" t="s">
        <v>1790</v>
      </c>
      <c r="C909">
        <v>30</v>
      </c>
      <c r="D909" s="14" t="s">
        <v>30</v>
      </c>
      <c r="E909" s="1">
        <v>46079</v>
      </c>
      <c r="F909" s="1">
        <v>46060</v>
      </c>
      <c r="G909" s="14" t="s">
        <v>1791</v>
      </c>
      <c r="H909" s="14" t="s">
        <v>21</v>
      </c>
      <c r="I909">
        <v>471.3</v>
      </c>
      <c r="J909" s="14" t="s">
        <v>22</v>
      </c>
    </row>
    <row r="910" spans="1:10" x14ac:dyDescent="0.25">
      <c r="A910">
        <v>1050</v>
      </c>
      <c r="B910" s="14" t="s">
        <v>1792</v>
      </c>
      <c r="C910">
        <v>23</v>
      </c>
      <c r="D910" s="14" t="s">
        <v>50</v>
      </c>
      <c r="E910" s="1">
        <v>45957</v>
      </c>
      <c r="F910" s="1">
        <v>45830</v>
      </c>
      <c r="G910" s="14" t="s">
        <v>1793</v>
      </c>
      <c r="H910" s="14" t="s">
        <v>12</v>
      </c>
      <c r="I910">
        <v>437.95</v>
      </c>
      <c r="J910" s="14" t="s">
        <v>28</v>
      </c>
    </row>
    <row r="911" spans="1:10" x14ac:dyDescent="0.25">
      <c r="A911">
        <v>1016</v>
      </c>
      <c r="B911" s="14" t="s">
        <v>1794</v>
      </c>
      <c r="C911">
        <v>87</v>
      </c>
      <c r="D911" s="14" t="s">
        <v>30</v>
      </c>
      <c r="E911" s="1">
        <v>46046</v>
      </c>
      <c r="F911" s="1">
        <v>45635</v>
      </c>
      <c r="G911" s="14" t="s">
        <v>1795</v>
      </c>
      <c r="H911" s="14" t="s">
        <v>21</v>
      </c>
      <c r="I911">
        <v>461.32</v>
      </c>
      <c r="J911" s="14" t="s">
        <v>28</v>
      </c>
    </row>
    <row r="912" spans="1:10" x14ac:dyDescent="0.25">
      <c r="A912">
        <v>1014</v>
      </c>
      <c r="B912" s="14" t="s">
        <v>1796</v>
      </c>
      <c r="C912">
        <v>31</v>
      </c>
      <c r="D912" s="14" t="s">
        <v>30</v>
      </c>
      <c r="E912" s="1">
        <v>45899</v>
      </c>
      <c r="F912" s="1">
        <v>45674</v>
      </c>
      <c r="G912" s="14" t="s">
        <v>1797</v>
      </c>
      <c r="H912" s="14" t="s">
        <v>21</v>
      </c>
      <c r="I912">
        <v>424.17</v>
      </c>
      <c r="J912" s="14" t="s">
        <v>28</v>
      </c>
    </row>
    <row r="913" spans="1:10" x14ac:dyDescent="0.25">
      <c r="A913">
        <v>1070</v>
      </c>
      <c r="B913" s="14" t="s">
        <v>1798</v>
      </c>
      <c r="C913">
        <v>49</v>
      </c>
      <c r="D913" s="14" t="s">
        <v>30</v>
      </c>
      <c r="E913" s="1">
        <v>45797</v>
      </c>
      <c r="F913" s="1">
        <v>45547</v>
      </c>
      <c r="G913" s="14" t="s">
        <v>1799</v>
      </c>
      <c r="H913" s="14" t="s">
        <v>21</v>
      </c>
      <c r="I913">
        <v>428.7</v>
      </c>
      <c r="J913" s="14" t="s">
        <v>28</v>
      </c>
    </row>
    <row r="914" spans="1:10" x14ac:dyDescent="0.25">
      <c r="A914">
        <v>1068</v>
      </c>
      <c r="B914" s="14" t="s">
        <v>1800</v>
      </c>
      <c r="C914">
        <v>52</v>
      </c>
      <c r="D914" s="14" t="s">
        <v>30</v>
      </c>
      <c r="E914" s="1">
        <v>46034</v>
      </c>
      <c r="F914" s="1">
        <v>45543</v>
      </c>
      <c r="G914" s="14" t="s">
        <v>1801</v>
      </c>
      <c r="H914" s="14" t="s">
        <v>18</v>
      </c>
      <c r="I914">
        <v>159.11000000000001</v>
      </c>
      <c r="J914" s="14" t="s">
        <v>22</v>
      </c>
    </row>
    <row r="915" spans="1:10" x14ac:dyDescent="0.25">
      <c r="A915">
        <v>1088</v>
      </c>
      <c r="B915" s="14" t="s">
        <v>1802</v>
      </c>
      <c r="C915">
        <v>65</v>
      </c>
      <c r="D915" s="14" t="s">
        <v>50</v>
      </c>
      <c r="E915" s="1">
        <v>45861</v>
      </c>
      <c r="F915" s="1">
        <v>45692</v>
      </c>
      <c r="G915" s="14" t="s">
        <v>1803</v>
      </c>
      <c r="H915" s="14" t="s">
        <v>18</v>
      </c>
      <c r="I915">
        <v>159.06</v>
      </c>
      <c r="J915" s="14" t="s">
        <v>28</v>
      </c>
    </row>
    <row r="916" spans="1:10" x14ac:dyDescent="0.25">
      <c r="A916">
        <v>1012</v>
      </c>
      <c r="B916" s="14" t="s">
        <v>1804</v>
      </c>
      <c r="C916">
        <v>18</v>
      </c>
      <c r="D916" s="14" t="s">
        <v>30</v>
      </c>
      <c r="E916" s="1">
        <v>46041</v>
      </c>
      <c r="F916" s="1">
        <v>45809</v>
      </c>
      <c r="G916" s="14" t="s">
        <v>1805</v>
      </c>
      <c r="H916" s="14" t="s">
        <v>18</v>
      </c>
      <c r="I916">
        <v>317.16000000000003</v>
      </c>
      <c r="J916" s="14" t="s">
        <v>28</v>
      </c>
    </row>
    <row r="917" spans="1:10" x14ac:dyDescent="0.25">
      <c r="A917">
        <v>1066</v>
      </c>
      <c r="B917" s="14" t="s">
        <v>1345</v>
      </c>
      <c r="C917">
        <v>37</v>
      </c>
      <c r="D917" s="14" t="s">
        <v>30</v>
      </c>
      <c r="E917" s="1">
        <v>45802</v>
      </c>
      <c r="F917" s="1">
        <v>45577</v>
      </c>
      <c r="G917" s="14" t="s">
        <v>1806</v>
      </c>
      <c r="H917" s="14" t="s">
        <v>21</v>
      </c>
      <c r="I917">
        <v>470.63</v>
      </c>
      <c r="J917" s="14" t="s">
        <v>28</v>
      </c>
    </row>
    <row r="918" spans="1:10" x14ac:dyDescent="0.25">
      <c r="A918">
        <v>1071</v>
      </c>
      <c r="B918" s="14" t="s">
        <v>1807</v>
      </c>
      <c r="C918">
        <v>74</v>
      </c>
      <c r="D918" s="14" t="s">
        <v>50</v>
      </c>
      <c r="E918" s="1">
        <v>45892</v>
      </c>
      <c r="F918" s="1">
        <v>45559</v>
      </c>
      <c r="G918" s="14" t="s">
        <v>1808</v>
      </c>
      <c r="H918" s="14" t="s">
        <v>12</v>
      </c>
      <c r="I918">
        <v>153.44</v>
      </c>
      <c r="J918" s="14" t="s">
        <v>22</v>
      </c>
    </row>
    <row r="919" spans="1:10" x14ac:dyDescent="0.25">
      <c r="A919">
        <v>1094</v>
      </c>
      <c r="B919" s="14" t="s">
        <v>1809</v>
      </c>
      <c r="C919">
        <v>60</v>
      </c>
      <c r="D919" s="14" t="s">
        <v>24</v>
      </c>
      <c r="E919" s="1">
        <v>46017</v>
      </c>
      <c r="F919" s="1">
        <v>45434</v>
      </c>
      <c r="G919" s="14" t="s">
        <v>1810</v>
      </c>
      <c r="H919" s="14" t="s">
        <v>21</v>
      </c>
      <c r="I919">
        <v>416.08</v>
      </c>
      <c r="J919" s="14" t="s">
        <v>22</v>
      </c>
    </row>
    <row r="920" spans="1:10" x14ac:dyDescent="0.25">
      <c r="A920">
        <v>1075</v>
      </c>
      <c r="B920" s="14" t="s">
        <v>1811</v>
      </c>
      <c r="C920">
        <v>43</v>
      </c>
      <c r="D920" s="14" t="s">
        <v>50</v>
      </c>
      <c r="E920" s="1">
        <v>46005</v>
      </c>
      <c r="F920" s="1">
        <v>45716</v>
      </c>
      <c r="G920" s="14" t="s">
        <v>1812</v>
      </c>
      <c r="H920" s="14" t="s">
        <v>18</v>
      </c>
      <c r="I920">
        <v>458.79</v>
      </c>
      <c r="J920" s="14" t="s">
        <v>28</v>
      </c>
    </row>
    <row r="921" spans="1:10" x14ac:dyDescent="0.25">
      <c r="A921">
        <v>1077</v>
      </c>
      <c r="B921" s="14" t="s">
        <v>1813</v>
      </c>
      <c r="C921">
        <v>30</v>
      </c>
      <c r="D921" s="14" t="s">
        <v>50</v>
      </c>
      <c r="E921" s="1">
        <v>45806</v>
      </c>
      <c r="F921" s="1">
        <v>45683</v>
      </c>
      <c r="G921" s="14" t="s">
        <v>1814</v>
      </c>
      <c r="H921" s="14" t="s">
        <v>15</v>
      </c>
      <c r="I921">
        <v>125.8</v>
      </c>
      <c r="J921" s="14" t="s">
        <v>22</v>
      </c>
    </row>
    <row r="922" spans="1:10" x14ac:dyDescent="0.25">
      <c r="A922">
        <v>1044</v>
      </c>
      <c r="B922" s="14" t="s">
        <v>1815</v>
      </c>
      <c r="C922">
        <v>43</v>
      </c>
      <c r="D922" s="14" t="s">
        <v>50</v>
      </c>
      <c r="E922" s="1">
        <v>45749</v>
      </c>
      <c r="F922" s="1">
        <v>45481</v>
      </c>
      <c r="G922" s="14" t="s">
        <v>1816</v>
      </c>
      <c r="H922" s="14" t="s">
        <v>21</v>
      </c>
      <c r="I922">
        <v>352.94</v>
      </c>
      <c r="J922" s="14" t="s">
        <v>22</v>
      </c>
    </row>
    <row r="923" spans="1:10" x14ac:dyDescent="0.25">
      <c r="A923">
        <v>1084</v>
      </c>
      <c r="B923" s="14" t="s">
        <v>1817</v>
      </c>
      <c r="C923">
        <v>68</v>
      </c>
      <c r="D923" s="14" t="s">
        <v>50</v>
      </c>
      <c r="E923" s="1">
        <v>45860</v>
      </c>
      <c r="F923" s="1">
        <v>45836</v>
      </c>
      <c r="G923" s="14" t="s">
        <v>2005</v>
      </c>
      <c r="H923" s="14" t="s">
        <v>21</v>
      </c>
      <c r="I923">
        <v>111.4</v>
      </c>
      <c r="J923" s="14" t="s">
        <v>22</v>
      </c>
    </row>
    <row r="924" spans="1:10" x14ac:dyDescent="0.25">
      <c r="A924">
        <v>1060</v>
      </c>
      <c r="B924" s="14" t="s">
        <v>1818</v>
      </c>
      <c r="C924">
        <v>85</v>
      </c>
      <c r="D924" s="14" t="s">
        <v>30</v>
      </c>
      <c r="E924" s="1">
        <v>45919</v>
      </c>
      <c r="F924" s="1">
        <v>45916</v>
      </c>
      <c r="G924" s="14" t="s">
        <v>1819</v>
      </c>
      <c r="H924" s="14" t="s">
        <v>12</v>
      </c>
      <c r="I924">
        <v>161.54</v>
      </c>
      <c r="J924" s="14" t="s">
        <v>28</v>
      </c>
    </row>
    <row r="925" spans="1:10" x14ac:dyDescent="0.25">
      <c r="A925">
        <v>1055</v>
      </c>
      <c r="B925" s="14" t="s">
        <v>1820</v>
      </c>
      <c r="C925">
        <v>69</v>
      </c>
      <c r="D925" s="14" t="s">
        <v>50</v>
      </c>
      <c r="E925" s="1">
        <v>45747</v>
      </c>
      <c r="F925" s="1">
        <v>45601</v>
      </c>
      <c r="G925" s="14" t="s">
        <v>1821</v>
      </c>
      <c r="H925" s="14" t="s">
        <v>15</v>
      </c>
      <c r="I925">
        <v>479.37</v>
      </c>
      <c r="J925" s="14" t="s">
        <v>28</v>
      </c>
    </row>
    <row r="926" spans="1:10" x14ac:dyDescent="0.25">
      <c r="A926">
        <v>1046</v>
      </c>
      <c r="B926" s="14" t="s">
        <v>1822</v>
      </c>
      <c r="C926">
        <v>29</v>
      </c>
      <c r="D926" s="14" t="s">
        <v>50</v>
      </c>
      <c r="E926" s="1">
        <v>45754</v>
      </c>
      <c r="F926" s="1">
        <v>45445</v>
      </c>
      <c r="G926" s="14" t="s">
        <v>1823</v>
      </c>
      <c r="H926" s="14" t="s">
        <v>12</v>
      </c>
      <c r="I926">
        <v>306.94</v>
      </c>
      <c r="J926" s="14" t="s">
        <v>28</v>
      </c>
    </row>
    <row r="927" spans="1:10" x14ac:dyDescent="0.25">
      <c r="A927">
        <v>1087</v>
      </c>
      <c r="B927" s="14" t="s">
        <v>1824</v>
      </c>
      <c r="C927">
        <v>31</v>
      </c>
      <c r="D927" s="14" t="s">
        <v>30</v>
      </c>
      <c r="E927" s="1">
        <v>45808</v>
      </c>
      <c r="F927" s="1">
        <v>45801</v>
      </c>
      <c r="G927" s="14" t="s">
        <v>1359</v>
      </c>
      <c r="H927" s="14" t="s">
        <v>12</v>
      </c>
      <c r="I927">
        <v>194.95</v>
      </c>
      <c r="J927" s="14" t="s">
        <v>28</v>
      </c>
    </row>
    <row r="928" spans="1:10" x14ac:dyDescent="0.25">
      <c r="A928">
        <v>1020</v>
      </c>
      <c r="B928" s="14" t="s">
        <v>1825</v>
      </c>
      <c r="C928">
        <v>56</v>
      </c>
      <c r="D928" s="14" t="s">
        <v>50</v>
      </c>
      <c r="E928" s="1">
        <v>45767</v>
      </c>
      <c r="F928" s="1">
        <v>45633</v>
      </c>
      <c r="G928" s="14" t="s">
        <v>1826</v>
      </c>
      <c r="H928" s="14" t="s">
        <v>18</v>
      </c>
      <c r="I928">
        <v>91.05</v>
      </c>
      <c r="J928" s="14" t="s">
        <v>28</v>
      </c>
    </row>
    <row r="929" spans="1:10" x14ac:dyDescent="0.25">
      <c r="A929">
        <v>1047</v>
      </c>
      <c r="B929" s="14" t="s">
        <v>1827</v>
      </c>
      <c r="C929">
        <v>63</v>
      </c>
      <c r="D929" s="14" t="s">
        <v>30</v>
      </c>
      <c r="E929" s="1">
        <v>45768</v>
      </c>
      <c r="F929" s="1">
        <v>45722</v>
      </c>
      <c r="G929" s="14" t="s">
        <v>1828</v>
      </c>
      <c r="H929" s="14" t="s">
        <v>18</v>
      </c>
      <c r="I929">
        <v>290.36</v>
      </c>
      <c r="J929" s="14" t="s">
        <v>22</v>
      </c>
    </row>
    <row r="930" spans="1:10" x14ac:dyDescent="0.25">
      <c r="A930">
        <v>1053</v>
      </c>
      <c r="B930" s="14" t="s">
        <v>1829</v>
      </c>
      <c r="C930">
        <v>86</v>
      </c>
      <c r="D930" s="14" t="s">
        <v>30</v>
      </c>
      <c r="E930" s="1">
        <v>45943</v>
      </c>
      <c r="F930" s="1">
        <v>45516</v>
      </c>
      <c r="G930" s="14" t="s">
        <v>1830</v>
      </c>
      <c r="H930" s="14" t="s">
        <v>21</v>
      </c>
      <c r="I930">
        <v>85.53</v>
      </c>
      <c r="J930" s="14" t="s">
        <v>28</v>
      </c>
    </row>
    <row r="931" spans="1:10" x14ac:dyDescent="0.25">
      <c r="A931">
        <v>1031</v>
      </c>
      <c r="B931" s="14" t="s">
        <v>1831</v>
      </c>
      <c r="C931">
        <v>31</v>
      </c>
      <c r="D931" s="14" t="s">
        <v>30</v>
      </c>
      <c r="E931" s="1">
        <v>46098</v>
      </c>
      <c r="F931" s="1">
        <v>45871</v>
      </c>
      <c r="G931" s="14" t="s">
        <v>1202</v>
      </c>
      <c r="H931" s="14" t="s">
        <v>12</v>
      </c>
      <c r="I931">
        <v>419.74</v>
      </c>
      <c r="J931" s="14" t="s">
        <v>28</v>
      </c>
    </row>
    <row r="932" spans="1:10" x14ac:dyDescent="0.25">
      <c r="A932">
        <v>1041</v>
      </c>
      <c r="B932" s="14" t="s">
        <v>1832</v>
      </c>
      <c r="C932">
        <v>81</v>
      </c>
      <c r="D932" s="14" t="s">
        <v>50</v>
      </c>
      <c r="E932" s="1">
        <v>45926</v>
      </c>
      <c r="F932" s="1">
        <v>45689</v>
      </c>
      <c r="G932" s="14" t="s">
        <v>1833</v>
      </c>
      <c r="H932" s="14" t="s">
        <v>15</v>
      </c>
      <c r="J932" s="14" t="s">
        <v>22</v>
      </c>
    </row>
    <row r="933" spans="1:10" x14ac:dyDescent="0.25">
      <c r="A933">
        <v>1047</v>
      </c>
      <c r="B933" s="14" t="s">
        <v>1834</v>
      </c>
      <c r="C933">
        <v>76</v>
      </c>
      <c r="D933" s="14" t="s">
        <v>50</v>
      </c>
      <c r="E933" s="1">
        <v>45887</v>
      </c>
      <c r="F933" s="1">
        <v>45822</v>
      </c>
      <c r="G933" s="14" t="s">
        <v>1835</v>
      </c>
      <c r="H933" s="14" t="s">
        <v>15</v>
      </c>
      <c r="I933">
        <v>83.67</v>
      </c>
      <c r="J933" s="14" t="s">
        <v>22</v>
      </c>
    </row>
    <row r="934" spans="1:10" x14ac:dyDescent="0.25">
      <c r="A934">
        <v>1012</v>
      </c>
      <c r="B934" s="14" t="s">
        <v>1836</v>
      </c>
      <c r="C934">
        <v>76</v>
      </c>
      <c r="D934" s="14" t="s">
        <v>50</v>
      </c>
      <c r="E934" s="1">
        <v>46060</v>
      </c>
      <c r="F934" s="1">
        <v>46037</v>
      </c>
      <c r="G934" s="14" t="s">
        <v>1837</v>
      </c>
      <c r="H934" s="14" t="s">
        <v>15</v>
      </c>
      <c r="I934">
        <v>255.43</v>
      </c>
      <c r="J934" s="14" t="s">
        <v>22</v>
      </c>
    </row>
    <row r="935" spans="1:10" x14ac:dyDescent="0.25">
      <c r="A935">
        <v>1034</v>
      </c>
      <c r="B935" s="14" t="s">
        <v>1838</v>
      </c>
      <c r="C935">
        <v>90</v>
      </c>
      <c r="D935" s="14" t="s">
        <v>50</v>
      </c>
      <c r="E935" s="1">
        <v>46088</v>
      </c>
      <c r="F935" s="1">
        <v>45468</v>
      </c>
      <c r="G935" s="14" t="s">
        <v>1839</v>
      </c>
      <c r="H935" s="14" t="s">
        <v>21</v>
      </c>
      <c r="J935" s="14" t="s">
        <v>22</v>
      </c>
    </row>
    <row r="936" spans="1:10" x14ac:dyDescent="0.25">
      <c r="A936">
        <v>1091</v>
      </c>
      <c r="B936" s="14" t="s">
        <v>1840</v>
      </c>
      <c r="C936">
        <v>62</v>
      </c>
      <c r="D936" s="14" t="s">
        <v>50</v>
      </c>
      <c r="E936" s="1">
        <v>46103</v>
      </c>
      <c r="F936" s="1">
        <v>45989</v>
      </c>
      <c r="G936" s="14" t="s">
        <v>1841</v>
      </c>
      <c r="H936" s="14" t="s">
        <v>18</v>
      </c>
      <c r="I936">
        <v>433.63</v>
      </c>
      <c r="J936" s="14" t="s">
        <v>28</v>
      </c>
    </row>
    <row r="937" spans="1:10" x14ac:dyDescent="0.25">
      <c r="A937">
        <v>1034</v>
      </c>
      <c r="B937" s="14" t="s">
        <v>1842</v>
      </c>
      <c r="C937">
        <v>71</v>
      </c>
      <c r="D937" s="14" t="s">
        <v>50</v>
      </c>
      <c r="E937" s="1">
        <v>46017</v>
      </c>
      <c r="F937" s="1">
        <v>45409</v>
      </c>
      <c r="G937" s="14" t="s">
        <v>1843</v>
      </c>
      <c r="H937" s="14" t="s">
        <v>18</v>
      </c>
      <c r="I937">
        <v>461.04</v>
      </c>
      <c r="J937" s="14" t="s">
        <v>22</v>
      </c>
    </row>
    <row r="938" spans="1:10" x14ac:dyDescent="0.25">
      <c r="A938">
        <v>1072</v>
      </c>
      <c r="B938" s="14" t="s">
        <v>1844</v>
      </c>
      <c r="C938">
        <v>59</v>
      </c>
      <c r="D938" s="14" t="s">
        <v>30</v>
      </c>
      <c r="E938" s="1">
        <v>45772</v>
      </c>
      <c r="F938" s="1">
        <v>45412</v>
      </c>
      <c r="G938" s="14" t="s">
        <v>1845</v>
      </c>
      <c r="H938" s="14" t="s">
        <v>12</v>
      </c>
      <c r="I938">
        <v>261.01</v>
      </c>
      <c r="J938" s="14" t="s">
        <v>28</v>
      </c>
    </row>
    <row r="939" spans="1:10" x14ac:dyDescent="0.25">
      <c r="A939">
        <v>1048</v>
      </c>
      <c r="B939" s="14" t="s">
        <v>1846</v>
      </c>
      <c r="C939">
        <v>84</v>
      </c>
      <c r="D939" s="14" t="s">
        <v>30</v>
      </c>
      <c r="E939" s="1">
        <v>45806</v>
      </c>
      <c r="F939" s="1">
        <v>45686</v>
      </c>
      <c r="G939" s="14" t="s">
        <v>1847</v>
      </c>
      <c r="H939" s="14" t="s">
        <v>18</v>
      </c>
      <c r="J939" s="14" t="s">
        <v>22</v>
      </c>
    </row>
    <row r="940" spans="1:10" x14ac:dyDescent="0.25">
      <c r="A940">
        <v>1068</v>
      </c>
      <c r="B940" s="14" t="s">
        <v>1848</v>
      </c>
      <c r="C940">
        <v>40</v>
      </c>
      <c r="D940" s="14" t="s">
        <v>50</v>
      </c>
      <c r="E940" s="1">
        <v>46067</v>
      </c>
      <c r="F940" s="1">
        <v>45909</v>
      </c>
      <c r="G940" s="14" t="s">
        <v>1849</v>
      </c>
      <c r="H940" s="14" t="s">
        <v>18</v>
      </c>
      <c r="J940" s="14" t="s">
        <v>28</v>
      </c>
    </row>
    <row r="941" spans="1:10" x14ac:dyDescent="0.25">
      <c r="A941">
        <v>1063</v>
      </c>
      <c r="B941" s="14" t="s">
        <v>1850</v>
      </c>
      <c r="C941">
        <v>75</v>
      </c>
      <c r="D941" s="14" t="s">
        <v>30</v>
      </c>
      <c r="E941" s="1">
        <v>45811</v>
      </c>
      <c r="F941" s="1">
        <v>45605</v>
      </c>
      <c r="G941" s="14" t="s">
        <v>1851</v>
      </c>
      <c r="H941" s="14" t="s">
        <v>12</v>
      </c>
      <c r="I941">
        <v>96.19</v>
      </c>
      <c r="J941" s="14" t="s">
        <v>28</v>
      </c>
    </row>
    <row r="942" spans="1:10" x14ac:dyDescent="0.25">
      <c r="A942">
        <v>1063</v>
      </c>
      <c r="B942" s="14" t="s">
        <v>1852</v>
      </c>
      <c r="C942">
        <v>58</v>
      </c>
      <c r="D942" s="14" t="s">
        <v>30</v>
      </c>
      <c r="E942" s="1">
        <v>46078</v>
      </c>
      <c r="F942" s="1">
        <v>45594</v>
      </c>
      <c r="G942" s="14" t="s">
        <v>1853</v>
      </c>
      <c r="H942" s="14" t="s">
        <v>18</v>
      </c>
      <c r="I942">
        <v>248.76</v>
      </c>
      <c r="J942" s="14" t="s">
        <v>22</v>
      </c>
    </row>
    <row r="943" spans="1:10" x14ac:dyDescent="0.25">
      <c r="A943">
        <v>1045</v>
      </c>
      <c r="B943" s="14" t="s">
        <v>1854</v>
      </c>
      <c r="C943">
        <v>24</v>
      </c>
      <c r="D943" s="14" t="s">
        <v>30</v>
      </c>
      <c r="E943" s="1">
        <v>45993</v>
      </c>
      <c r="F943" s="1">
        <v>45760</v>
      </c>
      <c r="G943" s="14" t="s">
        <v>1855</v>
      </c>
      <c r="H943" s="14" t="s">
        <v>21</v>
      </c>
      <c r="I943">
        <v>246.63</v>
      </c>
      <c r="J943" s="14" t="s">
        <v>22</v>
      </c>
    </row>
    <row r="944" spans="1:10" x14ac:dyDescent="0.25">
      <c r="A944">
        <v>1028</v>
      </c>
      <c r="B944" s="14" t="s">
        <v>1856</v>
      </c>
      <c r="C944">
        <v>88</v>
      </c>
      <c r="D944" s="14" t="s">
        <v>50</v>
      </c>
      <c r="E944" s="1">
        <v>45959</v>
      </c>
      <c r="F944" s="1">
        <v>45738</v>
      </c>
      <c r="G944" s="14" t="s">
        <v>23</v>
      </c>
      <c r="H944" s="14" t="s">
        <v>12</v>
      </c>
      <c r="I944">
        <v>256.58999999999997</v>
      </c>
      <c r="J944" s="14" t="s">
        <v>28</v>
      </c>
    </row>
    <row r="945" spans="1:10" x14ac:dyDescent="0.25">
      <c r="A945">
        <v>1025</v>
      </c>
      <c r="B945" s="14" t="s">
        <v>1857</v>
      </c>
      <c r="C945">
        <v>84</v>
      </c>
      <c r="D945" s="14" t="s">
        <v>30</v>
      </c>
      <c r="E945" s="1">
        <v>45926</v>
      </c>
      <c r="F945" s="1">
        <v>45824</v>
      </c>
      <c r="G945" s="14" t="s">
        <v>1858</v>
      </c>
      <c r="H945" s="14" t="s">
        <v>18</v>
      </c>
      <c r="I945">
        <v>326.83999999999997</v>
      </c>
      <c r="J945" s="14" t="s">
        <v>28</v>
      </c>
    </row>
    <row r="946" spans="1:10" x14ac:dyDescent="0.25">
      <c r="A946">
        <v>1046</v>
      </c>
      <c r="B946" s="14" t="s">
        <v>1859</v>
      </c>
      <c r="C946">
        <v>64</v>
      </c>
      <c r="D946" s="14" t="s">
        <v>50</v>
      </c>
      <c r="E946" s="1">
        <v>45808</v>
      </c>
      <c r="F946" s="1">
        <v>45525</v>
      </c>
      <c r="G946" s="14" t="s">
        <v>1860</v>
      </c>
      <c r="H946" s="14" t="s">
        <v>15</v>
      </c>
      <c r="I946">
        <v>476.97</v>
      </c>
      <c r="J946" s="14" t="s">
        <v>22</v>
      </c>
    </row>
    <row r="947" spans="1:10" x14ac:dyDescent="0.25">
      <c r="A947">
        <v>1036</v>
      </c>
      <c r="B947" s="14" t="s">
        <v>1861</v>
      </c>
      <c r="C947">
        <v>76</v>
      </c>
      <c r="D947" s="14" t="s">
        <v>30</v>
      </c>
      <c r="E947" s="1">
        <v>46032</v>
      </c>
      <c r="F947" s="1">
        <v>45869</v>
      </c>
      <c r="G947" s="14" t="s">
        <v>1862</v>
      </c>
      <c r="H947" s="14" t="s">
        <v>21</v>
      </c>
      <c r="I947">
        <v>136.77000000000001</v>
      </c>
      <c r="J947" s="14" t="s">
        <v>28</v>
      </c>
    </row>
    <row r="948" spans="1:10" x14ac:dyDescent="0.25">
      <c r="A948">
        <v>1026</v>
      </c>
      <c r="B948" s="14" t="s">
        <v>1863</v>
      </c>
      <c r="C948">
        <v>49</v>
      </c>
      <c r="D948" s="14" t="s">
        <v>50</v>
      </c>
      <c r="E948" s="1">
        <v>46067</v>
      </c>
      <c r="F948" s="1">
        <v>45727</v>
      </c>
      <c r="G948" s="14" t="s">
        <v>1864</v>
      </c>
      <c r="H948" s="14" t="s">
        <v>18</v>
      </c>
      <c r="I948">
        <v>466.59</v>
      </c>
      <c r="J948" s="14" t="s">
        <v>22</v>
      </c>
    </row>
    <row r="949" spans="1:10" x14ac:dyDescent="0.25">
      <c r="A949">
        <v>1097</v>
      </c>
      <c r="B949" s="14" t="s">
        <v>1865</v>
      </c>
      <c r="C949">
        <v>27</v>
      </c>
      <c r="D949" s="14" t="s">
        <v>50</v>
      </c>
      <c r="E949" s="1">
        <v>45963</v>
      </c>
      <c r="F949" s="1">
        <v>45407</v>
      </c>
      <c r="G949" s="14" t="s">
        <v>1866</v>
      </c>
      <c r="H949" s="14" t="s">
        <v>21</v>
      </c>
      <c r="I949">
        <v>342.3</v>
      </c>
      <c r="J949" s="14" t="s">
        <v>28</v>
      </c>
    </row>
    <row r="950" spans="1:10" x14ac:dyDescent="0.25">
      <c r="A950">
        <v>1014</v>
      </c>
      <c r="B950" s="14" t="s">
        <v>1867</v>
      </c>
      <c r="C950">
        <v>29</v>
      </c>
      <c r="D950" s="14" t="s">
        <v>50</v>
      </c>
      <c r="E950" s="1">
        <v>46021</v>
      </c>
      <c r="F950" s="1">
        <v>45877</v>
      </c>
      <c r="G950" s="14" t="s">
        <v>1868</v>
      </c>
      <c r="H950" s="14" t="s">
        <v>18</v>
      </c>
      <c r="I950">
        <v>444.2</v>
      </c>
      <c r="J950" s="14" t="s">
        <v>22</v>
      </c>
    </row>
    <row r="951" spans="1:10" x14ac:dyDescent="0.25">
      <c r="A951">
        <v>1085</v>
      </c>
      <c r="B951" s="14" t="s">
        <v>1869</v>
      </c>
      <c r="C951">
        <v>63</v>
      </c>
      <c r="D951" s="14" t="s">
        <v>50</v>
      </c>
      <c r="E951" s="1">
        <v>45881</v>
      </c>
      <c r="F951" s="1">
        <v>45599</v>
      </c>
      <c r="G951" s="14" t="s">
        <v>1870</v>
      </c>
      <c r="H951" s="14" t="s">
        <v>15</v>
      </c>
      <c r="I951">
        <v>421.18</v>
      </c>
      <c r="J951" s="14" t="s">
        <v>28</v>
      </c>
    </row>
    <row r="952" spans="1:10" x14ac:dyDescent="0.25">
      <c r="A952">
        <v>1005</v>
      </c>
      <c r="B952" s="14" t="s">
        <v>1871</v>
      </c>
      <c r="C952">
        <v>54</v>
      </c>
      <c r="D952" s="14" t="s">
        <v>50</v>
      </c>
      <c r="E952" s="1">
        <v>45784</v>
      </c>
      <c r="F952" s="1">
        <v>45465</v>
      </c>
      <c r="G952" s="14" t="s">
        <v>1872</v>
      </c>
      <c r="H952" s="14" t="s">
        <v>21</v>
      </c>
      <c r="I952">
        <v>386.3</v>
      </c>
      <c r="J952" s="14" t="s">
        <v>22</v>
      </c>
    </row>
    <row r="953" spans="1:10" x14ac:dyDescent="0.25">
      <c r="A953">
        <v>1075</v>
      </c>
      <c r="B953" s="14" t="s">
        <v>1873</v>
      </c>
      <c r="C953">
        <v>59</v>
      </c>
      <c r="D953" s="14" t="s">
        <v>50</v>
      </c>
      <c r="E953" s="1">
        <v>46101</v>
      </c>
      <c r="F953" s="1">
        <v>46015</v>
      </c>
      <c r="G953" s="14" t="s">
        <v>2006</v>
      </c>
      <c r="H953" s="14" t="s">
        <v>12</v>
      </c>
      <c r="I953">
        <v>107.04</v>
      </c>
      <c r="J953" s="14" t="s">
        <v>28</v>
      </c>
    </row>
    <row r="954" spans="1:10" x14ac:dyDescent="0.25">
      <c r="A954">
        <v>1082</v>
      </c>
      <c r="B954" s="14" t="s">
        <v>1874</v>
      </c>
      <c r="C954">
        <v>37</v>
      </c>
      <c r="D954" s="14" t="s">
        <v>50</v>
      </c>
      <c r="E954" s="1">
        <v>45766</v>
      </c>
      <c r="F954" s="1">
        <v>45411</v>
      </c>
      <c r="G954" s="14" t="s">
        <v>1875</v>
      </c>
      <c r="H954" s="14" t="s">
        <v>15</v>
      </c>
      <c r="I954">
        <v>381.15</v>
      </c>
      <c r="J954" s="14" t="s">
        <v>22</v>
      </c>
    </row>
    <row r="955" spans="1:10" x14ac:dyDescent="0.25">
      <c r="A955">
        <v>1089</v>
      </c>
      <c r="B955" s="14" t="s">
        <v>1876</v>
      </c>
      <c r="C955">
        <v>69</v>
      </c>
      <c r="D955" s="14" t="s">
        <v>50</v>
      </c>
      <c r="E955" s="1">
        <v>45934</v>
      </c>
      <c r="F955" s="1">
        <v>45869</v>
      </c>
      <c r="G955" s="14" t="s">
        <v>1877</v>
      </c>
      <c r="H955" s="14" t="s">
        <v>21</v>
      </c>
      <c r="I955">
        <v>477.98</v>
      </c>
      <c r="J955" s="14" t="s">
        <v>28</v>
      </c>
    </row>
    <row r="956" spans="1:10" x14ac:dyDescent="0.25">
      <c r="A956">
        <v>1092</v>
      </c>
      <c r="B956" s="14" t="s">
        <v>1878</v>
      </c>
      <c r="C956">
        <v>53</v>
      </c>
      <c r="D956" s="14" t="s">
        <v>30</v>
      </c>
      <c r="E956" s="1">
        <v>45955</v>
      </c>
      <c r="F956" s="1">
        <v>45435</v>
      </c>
      <c r="G956" s="14" t="s">
        <v>1879</v>
      </c>
      <c r="H956" s="14" t="s">
        <v>15</v>
      </c>
      <c r="I956">
        <v>418.27</v>
      </c>
      <c r="J956" s="14" t="s">
        <v>28</v>
      </c>
    </row>
    <row r="957" spans="1:10" x14ac:dyDescent="0.25">
      <c r="A957">
        <v>1066</v>
      </c>
      <c r="B957" s="14" t="s">
        <v>1880</v>
      </c>
      <c r="C957">
        <v>46</v>
      </c>
      <c r="D957" s="14" t="s">
        <v>50</v>
      </c>
      <c r="E957" s="1">
        <v>46107</v>
      </c>
      <c r="F957" s="1">
        <v>45829</v>
      </c>
      <c r="G957" s="14" t="s">
        <v>1881</v>
      </c>
      <c r="H957" s="14" t="s">
        <v>12</v>
      </c>
      <c r="I957">
        <v>300.52</v>
      </c>
      <c r="J957" s="14" t="s">
        <v>22</v>
      </c>
    </row>
    <row r="958" spans="1:10" x14ac:dyDescent="0.25">
      <c r="A958">
        <v>1016</v>
      </c>
      <c r="B958" s="14" t="s">
        <v>1882</v>
      </c>
      <c r="C958">
        <v>22</v>
      </c>
      <c r="D958" s="14" t="s">
        <v>50</v>
      </c>
      <c r="E958" s="1">
        <v>45777</v>
      </c>
      <c r="F958" s="1">
        <v>45483</v>
      </c>
      <c r="G958" s="14" t="s">
        <v>1883</v>
      </c>
      <c r="H958" s="14" t="s">
        <v>12</v>
      </c>
      <c r="J958" s="14" t="s">
        <v>22</v>
      </c>
    </row>
    <row r="959" spans="1:10" x14ac:dyDescent="0.25">
      <c r="A959">
        <v>1041</v>
      </c>
      <c r="B959" s="14" t="s">
        <v>1884</v>
      </c>
      <c r="C959">
        <v>43</v>
      </c>
      <c r="D959" s="14" t="s">
        <v>30</v>
      </c>
      <c r="E959" s="1">
        <v>45917</v>
      </c>
      <c r="F959" s="1">
        <v>45421</v>
      </c>
      <c r="G959" s="14" t="s">
        <v>1885</v>
      </c>
      <c r="H959" s="14" t="s">
        <v>15</v>
      </c>
      <c r="I959">
        <v>485.93</v>
      </c>
      <c r="J959" s="14" t="s">
        <v>22</v>
      </c>
    </row>
    <row r="960" spans="1:10" x14ac:dyDescent="0.25">
      <c r="A960">
        <v>1052</v>
      </c>
      <c r="B960" s="14" t="s">
        <v>1886</v>
      </c>
      <c r="C960">
        <v>88</v>
      </c>
      <c r="D960" s="14" t="s">
        <v>30</v>
      </c>
      <c r="E960" s="1">
        <v>46006</v>
      </c>
      <c r="F960" s="1">
        <v>45975</v>
      </c>
      <c r="G960" s="14" t="s">
        <v>1887</v>
      </c>
      <c r="H960" s="14" t="s">
        <v>15</v>
      </c>
      <c r="I960">
        <v>164.2</v>
      </c>
      <c r="J960" s="14" t="s">
        <v>28</v>
      </c>
    </row>
    <row r="961" spans="1:10" x14ac:dyDescent="0.25">
      <c r="A961">
        <v>1051</v>
      </c>
      <c r="B961" s="14" t="s">
        <v>1888</v>
      </c>
      <c r="C961">
        <v>64</v>
      </c>
      <c r="D961" s="14" t="s">
        <v>30</v>
      </c>
      <c r="E961" s="1">
        <v>45755</v>
      </c>
      <c r="F961" s="1">
        <v>45496</v>
      </c>
      <c r="G961" s="14" t="s">
        <v>1889</v>
      </c>
      <c r="H961" s="14" t="s">
        <v>12</v>
      </c>
      <c r="I961">
        <v>390.1</v>
      </c>
      <c r="J961" s="14" t="s">
        <v>22</v>
      </c>
    </row>
    <row r="962" spans="1:10" x14ac:dyDescent="0.25">
      <c r="A962">
        <v>1035</v>
      </c>
      <c r="B962" s="14" t="s">
        <v>1890</v>
      </c>
      <c r="C962">
        <v>33</v>
      </c>
      <c r="D962" s="14" t="s">
        <v>50</v>
      </c>
      <c r="E962" s="1">
        <v>45781</v>
      </c>
      <c r="F962" s="1">
        <v>45447</v>
      </c>
      <c r="G962" s="14" t="s">
        <v>640</v>
      </c>
      <c r="H962" s="14" t="s">
        <v>21</v>
      </c>
      <c r="I962">
        <v>407.7</v>
      </c>
      <c r="J962" s="14" t="s">
        <v>28</v>
      </c>
    </row>
    <row r="963" spans="1:10" x14ac:dyDescent="0.25">
      <c r="A963">
        <v>1074</v>
      </c>
      <c r="B963" s="14" t="s">
        <v>1891</v>
      </c>
      <c r="C963">
        <v>80</v>
      </c>
      <c r="D963" s="14" t="s">
        <v>50</v>
      </c>
      <c r="E963" s="1">
        <v>45972</v>
      </c>
      <c r="F963" s="1">
        <v>45797</v>
      </c>
      <c r="G963" s="14" t="s">
        <v>1892</v>
      </c>
      <c r="H963" s="14" t="s">
        <v>18</v>
      </c>
      <c r="I963">
        <v>467.55</v>
      </c>
      <c r="J963" s="14" t="s">
        <v>22</v>
      </c>
    </row>
    <row r="964" spans="1:10" x14ac:dyDescent="0.25">
      <c r="A964">
        <v>1098</v>
      </c>
      <c r="B964" s="14" t="s">
        <v>1893</v>
      </c>
      <c r="C964">
        <v>87</v>
      </c>
      <c r="D964" s="14" t="s">
        <v>50</v>
      </c>
      <c r="E964" s="1">
        <v>45840</v>
      </c>
      <c r="F964" s="1">
        <v>45621</v>
      </c>
      <c r="G964" s="14" t="s">
        <v>1894</v>
      </c>
      <c r="H964" s="14" t="s">
        <v>15</v>
      </c>
      <c r="I964">
        <v>119.41</v>
      </c>
      <c r="J964" s="14" t="s">
        <v>22</v>
      </c>
    </row>
    <row r="965" spans="1:10" x14ac:dyDescent="0.25">
      <c r="A965">
        <v>1100</v>
      </c>
      <c r="B965" s="14" t="s">
        <v>1895</v>
      </c>
      <c r="C965">
        <v>31</v>
      </c>
      <c r="D965" s="14" t="s">
        <v>50</v>
      </c>
      <c r="E965" s="1">
        <v>45931</v>
      </c>
      <c r="F965" s="1">
        <v>45590</v>
      </c>
      <c r="G965" s="14" t="s">
        <v>1896</v>
      </c>
      <c r="H965" s="14" t="s">
        <v>12</v>
      </c>
      <c r="I965">
        <v>441.89</v>
      </c>
      <c r="J965" s="14" t="s">
        <v>22</v>
      </c>
    </row>
    <row r="966" spans="1:10" x14ac:dyDescent="0.25">
      <c r="A966">
        <v>1049</v>
      </c>
      <c r="B966" s="14" t="s">
        <v>1897</v>
      </c>
      <c r="C966">
        <v>20</v>
      </c>
      <c r="D966" s="14" t="s">
        <v>50</v>
      </c>
      <c r="E966" s="1">
        <v>46020</v>
      </c>
      <c r="F966" s="1">
        <v>45831</v>
      </c>
      <c r="G966" s="14" t="s">
        <v>1898</v>
      </c>
      <c r="H966" s="14" t="s">
        <v>21</v>
      </c>
      <c r="I966">
        <v>184.38</v>
      </c>
      <c r="J966" s="14" t="s">
        <v>22</v>
      </c>
    </row>
    <row r="967" spans="1:10" x14ac:dyDescent="0.25">
      <c r="A967">
        <v>1021</v>
      </c>
      <c r="B967" s="14" t="s">
        <v>1899</v>
      </c>
      <c r="C967">
        <v>80</v>
      </c>
      <c r="D967" s="14" t="s">
        <v>50</v>
      </c>
      <c r="E967" s="1">
        <v>45823</v>
      </c>
      <c r="F967" s="1">
        <v>45521</v>
      </c>
      <c r="G967" s="14" t="s">
        <v>1900</v>
      </c>
      <c r="H967" s="14" t="s">
        <v>15</v>
      </c>
      <c r="I967">
        <v>269.35000000000002</v>
      </c>
      <c r="J967" s="14" t="s">
        <v>28</v>
      </c>
    </row>
    <row r="968" spans="1:10" x14ac:dyDescent="0.25">
      <c r="A968">
        <v>1069</v>
      </c>
      <c r="B968" s="14" t="s">
        <v>1901</v>
      </c>
      <c r="C968">
        <v>18</v>
      </c>
      <c r="D968" s="14" t="s">
        <v>50</v>
      </c>
      <c r="E968" s="1">
        <v>45947</v>
      </c>
      <c r="F968" s="1">
        <v>45419</v>
      </c>
      <c r="G968" s="14" t="s">
        <v>1902</v>
      </c>
      <c r="H968" s="14" t="s">
        <v>12</v>
      </c>
      <c r="I968">
        <v>363.94</v>
      </c>
      <c r="J968" s="14" t="s">
        <v>22</v>
      </c>
    </row>
    <row r="969" spans="1:10" x14ac:dyDescent="0.25">
      <c r="A969">
        <v>1056</v>
      </c>
      <c r="B969" s="14" t="s">
        <v>1903</v>
      </c>
      <c r="C969">
        <v>71</v>
      </c>
      <c r="D969" s="14" t="s">
        <v>30</v>
      </c>
      <c r="E969" s="1">
        <v>46031</v>
      </c>
      <c r="F969" s="1">
        <v>46006</v>
      </c>
      <c r="G969" s="14" t="s">
        <v>1904</v>
      </c>
      <c r="H969" s="14" t="s">
        <v>21</v>
      </c>
      <c r="I969">
        <v>323</v>
      </c>
      <c r="J969" s="14" t="s">
        <v>22</v>
      </c>
    </row>
    <row r="970" spans="1:10" x14ac:dyDescent="0.25">
      <c r="A970">
        <v>1036</v>
      </c>
      <c r="B970" s="14" t="s">
        <v>1905</v>
      </c>
      <c r="C970">
        <v>44</v>
      </c>
      <c r="D970" s="14" t="s">
        <v>30</v>
      </c>
      <c r="E970" s="1">
        <v>45774</v>
      </c>
      <c r="F970" s="1">
        <v>45639</v>
      </c>
      <c r="G970" s="14" t="s">
        <v>1906</v>
      </c>
      <c r="H970" s="14" t="s">
        <v>15</v>
      </c>
      <c r="I970">
        <v>163</v>
      </c>
      <c r="J970" s="14" t="s">
        <v>28</v>
      </c>
    </row>
    <row r="971" spans="1:10" x14ac:dyDescent="0.25">
      <c r="A971">
        <v>1063</v>
      </c>
      <c r="B971" s="14" t="s">
        <v>1907</v>
      </c>
      <c r="C971">
        <v>32</v>
      </c>
      <c r="D971" s="14" t="s">
        <v>50</v>
      </c>
      <c r="E971" s="1">
        <v>45843</v>
      </c>
      <c r="F971" s="1">
        <v>45661</v>
      </c>
      <c r="G971" s="14" t="s">
        <v>727</v>
      </c>
      <c r="H971" s="14" t="s">
        <v>15</v>
      </c>
      <c r="I971">
        <v>254.14</v>
      </c>
      <c r="J971" s="14" t="s">
        <v>28</v>
      </c>
    </row>
    <row r="972" spans="1:10" x14ac:dyDescent="0.25">
      <c r="A972">
        <v>1081</v>
      </c>
      <c r="B972" s="14" t="s">
        <v>1908</v>
      </c>
      <c r="C972">
        <v>32</v>
      </c>
      <c r="D972" s="14" t="s">
        <v>50</v>
      </c>
      <c r="E972" s="1">
        <v>46079</v>
      </c>
      <c r="F972" s="1">
        <v>45761</v>
      </c>
      <c r="G972" s="14" t="s">
        <v>1022</v>
      </c>
      <c r="H972" s="14" t="s">
        <v>18</v>
      </c>
      <c r="I972">
        <v>112.79</v>
      </c>
      <c r="J972" s="14" t="s">
        <v>22</v>
      </c>
    </row>
    <row r="973" spans="1:10" x14ac:dyDescent="0.25">
      <c r="A973">
        <v>1042</v>
      </c>
      <c r="B973" s="14" t="s">
        <v>1909</v>
      </c>
      <c r="C973">
        <v>48</v>
      </c>
      <c r="D973" s="14" t="s">
        <v>30</v>
      </c>
      <c r="E973" s="1">
        <v>45822</v>
      </c>
      <c r="F973" s="1">
        <v>45737</v>
      </c>
      <c r="G973" s="14" t="s">
        <v>1910</v>
      </c>
      <c r="H973" s="14" t="s">
        <v>12</v>
      </c>
      <c r="I973">
        <v>164.15</v>
      </c>
      <c r="J973" s="14" t="s">
        <v>28</v>
      </c>
    </row>
    <row r="974" spans="1:10" x14ac:dyDescent="0.25">
      <c r="A974">
        <v>1082</v>
      </c>
      <c r="B974" s="14" t="s">
        <v>1911</v>
      </c>
      <c r="C974">
        <v>69</v>
      </c>
      <c r="D974" s="14" t="s">
        <v>30</v>
      </c>
      <c r="E974" s="1">
        <v>45802</v>
      </c>
      <c r="F974" s="1">
        <v>45458</v>
      </c>
      <c r="G974" s="14" t="s">
        <v>1912</v>
      </c>
      <c r="H974" s="14" t="s">
        <v>12</v>
      </c>
      <c r="I974">
        <v>94.37</v>
      </c>
      <c r="J974" s="14" t="s">
        <v>28</v>
      </c>
    </row>
    <row r="975" spans="1:10" x14ac:dyDescent="0.25">
      <c r="A975">
        <v>1002</v>
      </c>
      <c r="B975" s="14" t="s">
        <v>1913</v>
      </c>
      <c r="C975">
        <v>88</v>
      </c>
      <c r="D975" s="14" t="s">
        <v>30</v>
      </c>
      <c r="E975" s="1">
        <v>45947</v>
      </c>
      <c r="F975" s="1">
        <v>45801</v>
      </c>
      <c r="G975" s="14" t="s">
        <v>1914</v>
      </c>
      <c r="H975" s="14" t="s">
        <v>12</v>
      </c>
      <c r="I975">
        <v>368.53</v>
      </c>
      <c r="J975" s="14" t="s">
        <v>22</v>
      </c>
    </row>
    <row r="976" spans="1:10" x14ac:dyDescent="0.25">
      <c r="A976">
        <v>1047</v>
      </c>
      <c r="B976" s="14" t="s">
        <v>1915</v>
      </c>
      <c r="C976">
        <v>36</v>
      </c>
      <c r="D976" s="14" t="s">
        <v>50</v>
      </c>
      <c r="E976" s="1">
        <v>46043</v>
      </c>
      <c r="F976" s="1">
        <v>45663</v>
      </c>
      <c r="G976" s="14" t="s">
        <v>1916</v>
      </c>
      <c r="H976" s="14" t="s">
        <v>15</v>
      </c>
      <c r="I976">
        <v>240.37</v>
      </c>
      <c r="J976" s="14" t="s">
        <v>22</v>
      </c>
    </row>
    <row r="977" spans="1:10" x14ac:dyDescent="0.25">
      <c r="A977">
        <v>1043</v>
      </c>
      <c r="B977" s="14" t="s">
        <v>2007</v>
      </c>
      <c r="C977">
        <v>64</v>
      </c>
      <c r="D977" s="14" t="s">
        <v>50</v>
      </c>
      <c r="E977" s="1">
        <v>45956</v>
      </c>
      <c r="F977" s="1">
        <v>45427</v>
      </c>
      <c r="G977" s="14" t="s">
        <v>1917</v>
      </c>
      <c r="H977" s="14" t="s">
        <v>18</v>
      </c>
      <c r="I977">
        <v>238.59</v>
      </c>
      <c r="J977" s="14" t="s">
        <v>28</v>
      </c>
    </row>
    <row r="978" spans="1:10" x14ac:dyDescent="0.25">
      <c r="A978">
        <v>1072</v>
      </c>
      <c r="B978" s="14" t="s">
        <v>1918</v>
      </c>
      <c r="C978">
        <v>38</v>
      </c>
      <c r="D978" s="14" t="s">
        <v>30</v>
      </c>
      <c r="E978" s="1">
        <v>45958</v>
      </c>
      <c r="F978" s="1">
        <v>45638</v>
      </c>
      <c r="G978" s="14" t="s">
        <v>1919</v>
      </c>
      <c r="H978" s="14" t="s">
        <v>21</v>
      </c>
      <c r="I978">
        <v>279.32</v>
      </c>
      <c r="J978" s="14" t="s">
        <v>22</v>
      </c>
    </row>
    <row r="979" spans="1:10" x14ac:dyDescent="0.25">
      <c r="A979">
        <v>1085</v>
      </c>
      <c r="B979" s="14" t="s">
        <v>1920</v>
      </c>
      <c r="C979">
        <v>34</v>
      </c>
      <c r="D979" s="14" t="s">
        <v>50</v>
      </c>
      <c r="E979" s="1">
        <v>45989</v>
      </c>
      <c r="F979" s="1">
        <v>45823</v>
      </c>
      <c r="G979" s="14" t="s">
        <v>1921</v>
      </c>
      <c r="H979" s="14" t="s">
        <v>12</v>
      </c>
      <c r="I979">
        <v>114.8</v>
      </c>
      <c r="J979" s="14" t="s">
        <v>22</v>
      </c>
    </row>
    <row r="980" spans="1:10" x14ac:dyDescent="0.25">
      <c r="A980">
        <v>1088</v>
      </c>
      <c r="B980" s="14" t="s">
        <v>1922</v>
      </c>
      <c r="C980">
        <v>19</v>
      </c>
      <c r="D980" s="14" t="s">
        <v>30</v>
      </c>
      <c r="E980" s="1">
        <v>45861</v>
      </c>
      <c r="F980" s="1">
        <v>45775</v>
      </c>
      <c r="G980" s="14" t="s">
        <v>1155</v>
      </c>
      <c r="H980" s="14" t="s">
        <v>21</v>
      </c>
      <c r="I980">
        <v>96.78</v>
      </c>
      <c r="J980" s="14" t="s">
        <v>22</v>
      </c>
    </row>
    <row r="981" spans="1:10" x14ac:dyDescent="0.25">
      <c r="A981">
        <v>1059</v>
      </c>
      <c r="B981" s="14" t="s">
        <v>1923</v>
      </c>
      <c r="C981">
        <v>65</v>
      </c>
      <c r="D981" s="14" t="s">
        <v>30</v>
      </c>
      <c r="E981" s="1">
        <v>45862</v>
      </c>
      <c r="F981" s="1">
        <v>45808</v>
      </c>
      <c r="G981" s="14" t="s">
        <v>1924</v>
      </c>
      <c r="H981" s="14" t="s">
        <v>18</v>
      </c>
      <c r="I981">
        <v>384.42</v>
      </c>
      <c r="J981" s="14" t="s">
        <v>22</v>
      </c>
    </row>
    <row r="982" spans="1:10" x14ac:dyDescent="0.25">
      <c r="A982">
        <v>1028</v>
      </c>
      <c r="B982" s="14" t="s">
        <v>1925</v>
      </c>
      <c r="C982">
        <v>43</v>
      </c>
      <c r="D982" s="14" t="s">
        <v>30</v>
      </c>
      <c r="E982" s="1">
        <v>45841</v>
      </c>
      <c r="F982" s="1">
        <v>45428</v>
      </c>
      <c r="G982" s="14" t="s">
        <v>1926</v>
      </c>
      <c r="H982" s="14" t="s">
        <v>18</v>
      </c>
      <c r="I982">
        <v>187.7</v>
      </c>
      <c r="J982" s="14" t="s">
        <v>28</v>
      </c>
    </row>
    <row r="983" spans="1:10" x14ac:dyDescent="0.25">
      <c r="A983">
        <v>1019</v>
      </c>
      <c r="B983" s="14" t="s">
        <v>1927</v>
      </c>
      <c r="C983">
        <v>66</v>
      </c>
      <c r="D983" s="14" t="s">
        <v>30</v>
      </c>
      <c r="E983" s="1">
        <v>45865</v>
      </c>
      <c r="F983" s="1">
        <v>45855</v>
      </c>
      <c r="G983" s="14" t="s">
        <v>1928</v>
      </c>
      <c r="H983" s="14" t="s">
        <v>15</v>
      </c>
      <c r="I983">
        <v>382.67</v>
      </c>
      <c r="J983" s="14" t="s">
        <v>22</v>
      </c>
    </row>
    <row r="984" spans="1:10" x14ac:dyDescent="0.25">
      <c r="A984">
        <v>1012</v>
      </c>
      <c r="B984" s="14" t="s">
        <v>1929</v>
      </c>
      <c r="C984">
        <v>78</v>
      </c>
      <c r="D984" s="14" t="s">
        <v>30</v>
      </c>
      <c r="E984" s="1">
        <v>45853</v>
      </c>
      <c r="F984" s="1">
        <v>45842</v>
      </c>
      <c r="G984" s="14" t="s">
        <v>1930</v>
      </c>
      <c r="H984" s="14" t="s">
        <v>21</v>
      </c>
      <c r="I984">
        <v>236.27</v>
      </c>
      <c r="J984" s="14" t="s">
        <v>22</v>
      </c>
    </row>
    <row r="985" spans="1:10" x14ac:dyDescent="0.25">
      <c r="A985">
        <v>1049</v>
      </c>
      <c r="B985" s="14" t="s">
        <v>1931</v>
      </c>
      <c r="C985">
        <v>84</v>
      </c>
      <c r="D985" s="14" t="s">
        <v>50</v>
      </c>
      <c r="E985" s="1">
        <v>46017</v>
      </c>
      <c r="F985" s="1">
        <v>45876</v>
      </c>
      <c r="G985" s="14" t="s">
        <v>1932</v>
      </c>
      <c r="H985" s="14" t="s">
        <v>12</v>
      </c>
      <c r="I985">
        <v>359.17</v>
      </c>
      <c r="J985" s="14" t="s">
        <v>28</v>
      </c>
    </row>
    <row r="986" spans="1:10" x14ac:dyDescent="0.25">
      <c r="A986">
        <v>1081</v>
      </c>
      <c r="B986" s="14" t="s">
        <v>1933</v>
      </c>
      <c r="C986">
        <v>43</v>
      </c>
      <c r="D986" s="14" t="s">
        <v>24</v>
      </c>
      <c r="E986" s="1">
        <v>45864</v>
      </c>
      <c r="F986" s="1">
        <v>45436</v>
      </c>
      <c r="G986" s="14" t="s">
        <v>1934</v>
      </c>
      <c r="H986" s="14" t="s">
        <v>15</v>
      </c>
      <c r="I986">
        <v>362.65</v>
      </c>
      <c r="J986" s="14" t="s">
        <v>28</v>
      </c>
    </row>
    <row r="987" spans="1:10" x14ac:dyDescent="0.25">
      <c r="A987">
        <v>1045</v>
      </c>
      <c r="B987" s="14" t="s">
        <v>1935</v>
      </c>
      <c r="C987">
        <v>29</v>
      </c>
      <c r="D987" s="14" t="s">
        <v>30</v>
      </c>
      <c r="E987" s="1">
        <v>45856</v>
      </c>
      <c r="F987" s="1">
        <v>45740</v>
      </c>
      <c r="G987" s="14" t="s">
        <v>1936</v>
      </c>
      <c r="H987" s="14" t="s">
        <v>18</v>
      </c>
      <c r="I987">
        <v>401.58</v>
      </c>
      <c r="J987" s="14" t="s">
        <v>22</v>
      </c>
    </row>
    <row r="988" spans="1:10" x14ac:dyDescent="0.25">
      <c r="A988">
        <v>1076</v>
      </c>
      <c r="B988" s="14" t="s">
        <v>1937</v>
      </c>
      <c r="C988">
        <v>79</v>
      </c>
      <c r="D988" s="14" t="s">
        <v>50</v>
      </c>
      <c r="E988" s="1">
        <v>46074</v>
      </c>
      <c r="F988" s="1">
        <v>45512</v>
      </c>
      <c r="G988" s="14" t="s">
        <v>1938</v>
      </c>
      <c r="H988" s="14" t="s">
        <v>15</v>
      </c>
      <c r="I988">
        <v>120.7</v>
      </c>
      <c r="J988" s="14" t="s">
        <v>28</v>
      </c>
    </row>
    <row r="989" spans="1:10" x14ac:dyDescent="0.25">
      <c r="A989">
        <v>1047</v>
      </c>
      <c r="B989" s="14" t="s">
        <v>1939</v>
      </c>
      <c r="C989">
        <v>54</v>
      </c>
      <c r="D989" s="14" t="s">
        <v>50</v>
      </c>
      <c r="E989" s="1">
        <v>45810</v>
      </c>
      <c r="F989" s="1">
        <v>45504</v>
      </c>
      <c r="G989" s="14" t="s">
        <v>1940</v>
      </c>
      <c r="H989" s="14" t="s">
        <v>12</v>
      </c>
      <c r="I989">
        <v>405.15</v>
      </c>
      <c r="J989" s="14" t="s">
        <v>28</v>
      </c>
    </row>
    <row r="990" spans="1:10" x14ac:dyDescent="0.25">
      <c r="A990">
        <v>1068</v>
      </c>
      <c r="B990" s="14" t="s">
        <v>1941</v>
      </c>
      <c r="C990">
        <v>42</v>
      </c>
      <c r="D990" s="14" t="s">
        <v>50</v>
      </c>
      <c r="E990" s="1">
        <v>45951</v>
      </c>
      <c r="F990" s="1">
        <v>45747</v>
      </c>
      <c r="G990" s="14" t="s">
        <v>1942</v>
      </c>
      <c r="H990" s="14" t="s">
        <v>18</v>
      </c>
      <c r="I990">
        <v>263.3</v>
      </c>
      <c r="J990" s="14" t="s">
        <v>28</v>
      </c>
    </row>
    <row r="991" spans="1:10" x14ac:dyDescent="0.25">
      <c r="A991">
        <v>1021</v>
      </c>
      <c r="B991" s="14" t="s">
        <v>1943</v>
      </c>
      <c r="C991">
        <v>41</v>
      </c>
      <c r="D991" s="14" t="s">
        <v>50</v>
      </c>
      <c r="E991" s="1">
        <v>45750</v>
      </c>
      <c r="F991" s="1">
        <v>45526</v>
      </c>
      <c r="G991" s="14" t="s">
        <v>1944</v>
      </c>
      <c r="H991" s="14" t="s">
        <v>15</v>
      </c>
      <c r="I991">
        <v>470.08</v>
      </c>
      <c r="J991" s="14" t="s">
        <v>28</v>
      </c>
    </row>
    <row r="992" spans="1:10" x14ac:dyDescent="0.25">
      <c r="A992">
        <v>1052</v>
      </c>
      <c r="B992" s="14" t="s">
        <v>1945</v>
      </c>
      <c r="C992">
        <v>48</v>
      </c>
      <c r="D992" s="14" t="s">
        <v>30</v>
      </c>
      <c r="E992" s="1">
        <v>45878</v>
      </c>
      <c r="F992" s="1">
        <v>45773</v>
      </c>
      <c r="G992" s="14" t="s">
        <v>1946</v>
      </c>
      <c r="H992" s="14" t="s">
        <v>15</v>
      </c>
      <c r="I992">
        <v>79.73</v>
      </c>
      <c r="J992" s="14" t="s">
        <v>22</v>
      </c>
    </row>
    <row r="993" spans="1:10" x14ac:dyDescent="0.25">
      <c r="A993">
        <v>1075</v>
      </c>
      <c r="B993" s="14" t="s">
        <v>1947</v>
      </c>
      <c r="C993">
        <v>43</v>
      </c>
      <c r="D993" s="14" t="s">
        <v>50</v>
      </c>
      <c r="E993" s="1">
        <v>46034</v>
      </c>
      <c r="F993" s="1">
        <v>45960</v>
      </c>
      <c r="G993" s="14" t="s">
        <v>1948</v>
      </c>
      <c r="H993" s="14" t="s">
        <v>21</v>
      </c>
      <c r="I993">
        <v>376.76</v>
      </c>
      <c r="J993" s="14" t="s">
        <v>28</v>
      </c>
    </row>
    <row r="994" spans="1:10" x14ac:dyDescent="0.25">
      <c r="A994">
        <v>1047</v>
      </c>
      <c r="B994" s="14" t="s">
        <v>1949</v>
      </c>
      <c r="C994">
        <v>76</v>
      </c>
      <c r="D994" s="14" t="s">
        <v>30</v>
      </c>
      <c r="E994" s="1">
        <v>46081</v>
      </c>
      <c r="F994" s="1">
        <v>45615</v>
      </c>
      <c r="G994" s="14" t="s">
        <v>586</v>
      </c>
      <c r="H994" s="14" t="s">
        <v>12</v>
      </c>
      <c r="I994">
        <v>378.92</v>
      </c>
      <c r="J994" s="14" t="s">
        <v>22</v>
      </c>
    </row>
    <row r="995" spans="1:10" x14ac:dyDescent="0.25">
      <c r="A995">
        <v>1017</v>
      </c>
      <c r="B995" s="14" t="s">
        <v>1950</v>
      </c>
      <c r="C995">
        <v>50</v>
      </c>
      <c r="D995" s="14" t="s">
        <v>50</v>
      </c>
      <c r="E995" s="1">
        <v>45821</v>
      </c>
      <c r="F995" s="1">
        <v>45672</v>
      </c>
      <c r="G995" s="14" t="s">
        <v>1951</v>
      </c>
      <c r="H995" s="14" t="s">
        <v>12</v>
      </c>
      <c r="I995">
        <v>370.13</v>
      </c>
      <c r="J995" s="14" t="s">
        <v>28</v>
      </c>
    </row>
    <row r="996" spans="1:10" x14ac:dyDescent="0.25">
      <c r="A996">
        <v>1068</v>
      </c>
      <c r="B996" s="14" t="s">
        <v>1952</v>
      </c>
      <c r="C996">
        <v>19</v>
      </c>
      <c r="D996" s="14" t="s">
        <v>50</v>
      </c>
      <c r="E996" s="1">
        <v>46048</v>
      </c>
      <c r="F996" s="1">
        <v>45624</v>
      </c>
      <c r="G996" s="14" t="s">
        <v>1953</v>
      </c>
      <c r="H996" s="14" t="s">
        <v>21</v>
      </c>
      <c r="I996">
        <v>377.38</v>
      </c>
      <c r="J996" s="14" t="s">
        <v>28</v>
      </c>
    </row>
    <row r="997" spans="1:10" x14ac:dyDescent="0.25">
      <c r="A997">
        <v>1082</v>
      </c>
      <c r="B997" s="14" t="s">
        <v>1954</v>
      </c>
      <c r="C997">
        <v>64</v>
      </c>
      <c r="D997" s="14" t="s">
        <v>30</v>
      </c>
      <c r="E997" s="1">
        <v>45914</v>
      </c>
      <c r="F997" s="1">
        <v>45488</v>
      </c>
      <c r="G997" s="14" t="s">
        <v>1955</v>
      </c>
      <c r="H997" s="14" t="s">
        <v>21</v>
      </c>
      <c r="I997">
        <v>200.43</v>
      </c>
      <c r="J997" s="14" t="s">
        <v>28</v>
      </c>
    </row>
    <row r="998" spans="1:10" x14ac:dyDescent="0.25">
      <c r="A998">
        <v>1008</v>
      </c>
      <c r="B998" s="14" t="s">
        <v>1956</v>
      </c>
      <c r="C998">
        <v>67</v>
      </c>
      <c r="D998" s="14" t="s">
        <v>30</v>
      </c>
      <c r="E998" s="1">
        <v>45756</v>
      </c>
      <c r="F998" s="1">
        <v>45463</v>
      </c>
      <c r="G998" s="14" t="s">
        <v>766</v>
      </c>
      <c r="H998" s="14" t="s">
        <v>21</v>
      </c>
      <c r="I998">
        <v>244.49</v>
      </c>
      <c r="J998" s="14" t="s">
        <v>22</v>
      </c>
    </row>
    <row r="999" spans="1:10" x14ac:dyDescent="0.25">
      <c r="A999">
        <v>1022</v>
      </c>
      <c r="B999" s="14" t="s">
        <v>1053</v>
      </c>
      <c r="C999">
        <v>28</v>
      </c>
      <c r="D999" s="14" t="s">
        <v>50</v>
      </c>
      <c r="E999" s="1">
        <v>46066</v>
      </c>
      <c r="F999" s="1">
        <v>45456</v>
      </c>
      <c r="G999" s="14" t="s">
        <v>1957</v>
      </c>
      <c r="H999" s="14" t="s">
        <v>18</v>
      </c>
      <c r="I999">
        <v>154.47999999999999</v>
      </c>
      <c r="J999" s="14" t="s">
        <v>22</v>
      </c>
    </row>
    <row r="1000" spans="1:10" x14ac:dyDescent="0.25">
      <c r="A1000">
        <v>1088</v>
      </c>
      <c r="B1000" s="14" t="s">
        <v>872</v>
      </c>
      <c r="C1000">
        <v>65</v>
      </c>
      <c r="D1000" s="14" t="s">
        <v>30</v>
      </c>
      <c r="E1000" s="1">
        <v>45842</v>
      </c>
      <c r="F1000" s="1">
        <v>45397</v>
      </c>
      <c r="G1000" s="14" t="s">
        <v>1958</v>
      </c>
      <c r="H1000" s="14" t="s">
        <v>18</v>
      </c>
      <c r="I1000">
        <v>434.95</v>
      </c>
      <c r="J1000" s="14" t="s">
        <v>22</v>
      </c>
    </row>
    <row r="1001" spans="1:10" x14ac:dyDescent="0.25">
      <c r="A1001">
        <v>1003</v>
      </c>
      <c r="B1001" s="14" t="s">
        <v>1959</v>
      </c>
      <c r="C1001">
        <v>79</v>
      </c>
      <c r="D1001" s="14" t="s">
        <v>50</v>
      </c>
      <c r="E1001" s="1">
        <v>45966</v>
      </c>
      <c r="F1001" s="1">
        <v>45495</v>
      </c>
      <c r="G1001" s="14" t="s">
        <v>1960</v>
      </c>
      <c r="H1001" s="14" t="s">
        <v>12</v>
      </c>
      <c r="I1001">
        <v>102.23</v>
      </c>
      <c r="J1001" s="14" t="s">
        <v>28</v>
      </c>
    </row>
    <row r="1002" spans="1:10" x14ac:dyDescent="0.25">
      <c r="A1002">
        <v>1101</v>
      </c>
      <c r="B1002" s="14" t="s">
        <v>2965</v>
      </c>
      <c r="C1002">
        <v>35</v>
      </c>
      <c r="D1002" s="14" t="s">
        <v>30</v>
      </c>
      <c r="E1002" s="1">
        <v>46037</v>
      </c>
      <c r="F1002" s="1">
        <v>45889</v>
      </c>
      <c r="G1002" s="14" t="s">
        <v>2966</v>
      </c>
      <c r="H1002" s="14" t="s">
        <v>21</v>
      </c>
      <c r="I1002">
        <v>150</v>
      </c>
      <c r="J1002" s="14" t="s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2AB0-6444-401C-ACA9-0F558D7311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6F1900-D7B0-42DF-9CB2-F42516A61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messy_clinic_appointments</vt:lpstr>
      <vt:lpstr>Data_Entry</vt:lpstr>
      <vt:lpstr>Sheet4</vt:lpstr>
      <vt:lpstr>Sheet1</vt:lpstr>
      <vt:lpstr>messy_clinic_appointments (2)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Paolo Follante</dc:creator>
  <cp:lastModifiedBy>Adrian Paolo Follante</cp:lastModifiedBy>
  <cp:lastPrinted>2026-05-24T06:25:30Z</cp:lastPrinted>
  <dcterms:created xsi:type="dcterms:W3CDTF">2026-05-24T04:32:21Z</dcterms:created>
  <dcterms:modified xsi:type="dcterms:W3CDTF">2026-05-25T13:01:12Z</dcterms:modified>
</cp:coreProperties>
</file>